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aw Entries" sheetId="2" state="visible" r:id="rId4"/>
    <sheet name="Daily Summary" sheetId="3" state="visible" r:id="rId5"/>
    <sheet name="Weekly Summary" sheetId="4" state="visible" r:id="rId6"/>
    <sheet name="Monthly Summary" sheetId="5" state="visible" r:id="rId7"/>
    <sheet name="Verification (QA)"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<sst xmlns="http://schemas.openxmlformats.org/spreadsheetml/2006/main" count="3098" uniqueCount="1092">
  <si>
    <t xml:space="preserve">Retail Sales Tracker — Instructions</t>
  </si>
  <si>
    <t xml:space="preserve">How this workbook is organized and how to use it day to day.</t>
  </si>
  <si>
    <t xml:space="preserve">Tab</t>
  </si>
  <si>
    <t xml:space="preserve">Purpose</t>
  </si>
  <si>
    <t xml:space="preserve">Raw Entries</t>
  </si>
  <si>
    <t xml:space="preserve">One row per transaction. This is the ONLY tab where new data should be typed in. Every other tab pulls from here automatically.</t>
  </si>
  <si>
    <t xml:space="preserve">Daily Summary</t>
  </si>
  <si>
    <t xml:space="preserve">Auto-calculated totals for every calendar date, using SUMIFS/COUNTIFS on Raw Entries. Updates the moment a new row is added.</t>
  </si>
  <si>
    <t xml:space="preserve">Weekly Summary</t>
  </si>
  <si>
    <t xml:space="preserve">Auto-calculated totals for Monday–Sunday weeks, using SUMIFS with a date range.</t>
  </si>
  <si>
    <t xml:space="preserve">Monthly Summary</t>
  </si>
  <si>
    <t xml:space="preserve">Auto-calculated totals per calendar month, plus average transaction value.</t>
  </si>
  <si>
    <t xml:space="preserve">Verification (QA)</t>
  </si>
  <si>
    <t xml:space="preserve">A manual, independently-computed spot check on 3 periods, proving the formulas above are correct.</t>
  </si>
  <si>
    <t xml:space="preserve">How to add a new sale</t>
  </si>
  <si>
    <t xml:space="preserve">1.</t>
  </si>
  <si>
    <t xml:space="preserve">Go to the 'Raw Entries' tab and scroll to the first fully blank row (row 1002 onward already has dropdowns and validation ready).</t>
  </si>
  <si>
    <t xml:space="preserve">2.</t>
  </si>
  <si>
    <t xml:space="preserve">Fill in Transaction ID, Date, Customer ID, Gender, Age, Product Category, Quantity, and Price per Unit.</t>
  </si>
  <si>
    <t xml:space="preserve">3.</t>
  </si>
  <si>
    <t xml:space="preserve">Leave 'Total Amount' alone — it is a formula (Quantity x Price per Unit) and fills itself in.</t>
  </si>
  <si>
    <t xml:space="preserve">4.</t>
  </si>
  <si>
    <t xml:space="preserve">Gender and Product Category are dropdown-only (data validation) so staff can't mistype a category.</t>
  </si>
  <si>
    <t xml:space="preserve">5.</t>
  </si>
  <si>
    <t xml:space="preserve">Quantity and Price per Unit must be positive numbers — the sheet will reject 0, blank, or negative entries with a warning.</t>
  </si>
  <si>
    <t xml:space="preserve">6.</t>
  </si>
  <si>
    <t xml:space="preserve">Do not type numbers directly into the Summary tabs — they are formulas and will be overwritten if edited by hand.</t>
  </si>
  <si>
    <t xml:space="preserve">Design notes</t>
  </si>
  <si>
    <t xml:space="preserve">-</t>
  </si>
  <si>
    <t xml:space="preserve">Raw data lives on its own tab, fully separate from any formulas, so a mistyped entry can never break a rollup formula, and summary formulas can never accidentally get overwritten by new data entry.</t>
  </si>
  <si>
    <t xml:space="preserve">All summary tabs reference Raw Entries by cell range (e.g. 'Raw Entries'!$I$2:$I$1501), so the workbook already has 500 spare rows wired up with validation and formulas ahead of time — no formula rebuilding needed as data grows.</t>
  </si>
  <si>
    <t xml:space="preserve">Color key: yellow fill = type here. White = formula, do not overwrite.</t>
  </si>
  <si>
    <t xml:space="preserve">Source data</t>
  </si>
  <si>
    <t xml:space="preserve">Retail Sales Dataset — 1,000 transactions, Jan 1 2023 to Jan 1 2024 (used here as sample data to build and test the template).</t>
  </si>
  <si>
    <t xml:space="preserve">Transaction ID</t>
  </si>
  <si>
    <t xml:space="preserve">Date</t>
  </si>
  <si>
    <t xml:space="preserve">Customer ID</t>
  </si>
  <si>
    <t xml:space="preserve">Gender</t>
  </si>
  <si>
    <t xml:space="preserve">Age</t>
  </si>
  <si>
    <t xml:space="preserve">Product Category</t>
  </si>
  <si>
    <t xml:space="preserve">Quantity</t>
  </si>
  <si>
    <t xml:space="preserve">Price per Unit</t>
  </si>
  <si>
    <t xml:space="preserve">Total Amount</t>
  </si>
  <si>
    <t xml:space="preserve">CUST522</t>
  </si>
  <si>
    <t xml:space="preserve">Male</t>
  </si>
  <si>
    <t xml:space="preserve">Beauty</t>
  </si>
  <si>
    <t xml:space="preserve">CUST180</t>
  </si>
  <si>
    <t xml:space="preserve">Clothing</t>
  </si>
  <si>
    <t xml:space="preserve">CUST559</t>
  </si>
  <si>
    <t xml:space="preserve">Female</t>
  </si>
  <si>
    <t xml:space="preserve">CUST303</t>
  </si>
  <si>
    <t xml:space="preserve">Electronics</t>
  </si>
  <si>
    <t xml:space="preserve">CUST979</t>
  </si>
  <si>
    <t xml:space="preserve">CUST163</t>
  </si>
  <si>
    <t xml:space="preserve">CUST421</t>
  </si>
  <si>
    <t xml:space="preserve">CUST610</t>
  </si>
  <si>
    <t xml:space="preserve">CUST683</t>
  </si>
  <si>
    <t xml:space="preserve">CUST231</t>
  </si>
  <si>
    <t xml:space="preserve">CUST032</t>
  </si>
  <si>
    <t xml:space="preserve">CUST391</t>
  </si>
  <si>
    <t xml:space="preserve">CUST367</t>
  </si>
  <si>
    <t xml:space="preserve">CUST432</t>
  </si>
  <si>
    <t xml:space="preserve">CUST150</t>
  </si>
  <si>
    <t xml:space="preserve">CUST845</t>
  </si>
  <si>
    <t xml:space="preserve">CUST921</t>
  </si>
  <si>
    <t xml:space="preserve">CUST797</t>
  </si>
  <si>
    <t xml:space="preserve">CUST291</t>
  </si>
  <si>
    <t xml:space="preserve">CUST907</t>
  </si>
  <si>
    <t xml:space="preserve">CUST860</t>
  </si>
  <si>
    <t xml:space="preserve">CUST734</t>
  </si>
  <si>
    <t xml:space="preserve">CUST184</t>
  </si>
  <si>
    <t xml:space="preserve">CUST746</t>
  </si>
  <si>
    <t xml:space="preserve">CUST225</t>
  </si>
  <si>
    <t xml:space="preserve">CUST679</t>
  </si>
  <si>
    <t xml:space="preserve">CUST484</t>
  </si>
  <si>
    <t xml:space="preserve">CUST591</t>
  </si>
  <si>
    <t xml:space="preserve">CUST003</t>
  </si>
  <si>
    <t xml:space="preserve">CUST464</t>
  </si>
  <si>
    <t xml:space="preserve">CUST708</t>
  </si>
  <si>
    <t xml:space="preserve">CUST768</t>
  </si>
  <si>
    <t xml:space="preserve">CUST713</t>
  </si>
  <si>
    <t xml:space="preserve">CUST021</t>
  </si>
  <si>
    <t xml:space="preserve">CUST697</t>
  </si>
  <si>
    <t xml:space="preserve">CUST831</t>
  </si>
  <si>
    <t xml:space="preserve">CUST499</t>
  </si>
  <si>
    <t xml:space="preserve">CUST743</t>
  </si>
  <si>
    <t xml:space="preserve">CUST015</t>
  </si>
  <si>
    <t xml:space="preserve">CUST238</t>
  </si>
  <si>
    <t xml:space="preserve">CUST986</t>
  </si>
  <si>
    <t xml:space="preserve">CUST103</t>
  </si>
  <si>
    <t xml:space="preserve">CUST014</t>
  </si>
  <si>
    <t xml:space="preserve">CUST438</t>
  </si>
  <si>
    <t xml:space="preserve">CUST475</t>
  </si>
  <si>
    <t xml:space="preserve">CUST505</t>
  </si>
  <si>
    <t xml:space="preserve">CUST448</t>
  </si>
  <si>
    <t xml:space="preserve">CUST742</t>
  </si>
  <si>
    <t xml:space="preserve">CUST344</t>
  </si>
  <si>
    <t xml:space="preserve">CUST787</t>
  </si>
  <si>
    <t xml:space="preserve">CUST445</t>
  </si>
  <si>
    <t xml:space="preserve">CUST049</t>
  </si>
  <si>
    <t xml:space="preserve">CUST420</t>
  </si>
  <si>
    <t xml:space="preserve">CUST519</t>
  </si>
  <si>
    <t xml:space="preserve">CUST064</t>
  </si>
  <si>
    <t xml:space="preserve">CUST592</t>
  </si>
  <si>
    <t xml:space="preserve">CUST912</t>
  </si>
  <si>
    <t xml:space="preserve">CUST134</t>
  </si>
  <si>
    <t xml:space="preserve">CUST288</t>
  </si>
  <si>
    <t xml:space="preserve">CUST720</t>
  </si>
  <si>
    <t xml:space="preserve">CUST618</t>
  </si>
  <si>
    <t xml:space="preserve">CUST323</t>
  </si>
  <si>
    <t xml:space="preserve">CUST929</t>
  </si>
  <si>
    <t xml:space="preserve">CUST736</t>
  </si>
  <si>
    <t xml:space="preserve">CUST415</t>
  </si>
  <si>
    <t xml:space="preserve">CUST264</t>
  </si>
  <si>
    <t xml:space="preserve">CUST940</t>
  </si>
  <si>
    <t xml:space="preserve">CUST913</t>
  </si>
  <si>
    <t xml:space="preserve">CUST101</t>
  </si>
  <si>
    <t xml:space="preserve">CUST317</t>
  </si>
  <si>
    <t xml:space="preserve">CUST189</t>
  </si>
  <si>
    <t xml:space="preserve">CUST322</t>
  </si>
  <si>
    <t xml:space="preserve">CUST329</t>
  </si>
  <si>
    <t xml:space="preserve">CUST235</t>
  </si>
  <si>
    <t xml:space="preserve">CUST300</t>
  </si>
  <si>
    <t xml:space="preserve">CUST964</t>
  </si>
  <si>
    <t xml:space="preserve">CUST320</t>
  </si>
  <si>
    <t xml:space="preserve">CUST673</t>
  </si>
  <si>
    <t xml:space="preserve">CUST269</t>
  </si>
  <si>
    <t xml:space="preserve">CUST142</t>
  </si>
  <si>
    <t xml:space="preserve">CUST666</t>
  </si>
  <si>
    <t xml:space="preserve">CUST223</t>
  </si>
  <si>
    <t xml:space="preserve">CUST933</t>
  </si>
  <si>
    <t xml:space="preserve">CUST107</t>
  </si>
  <si>
    <t xml:space="preserve">CUST335</t>
  </si>
  <si>
    <t xml:space="preserve">CUST237</t>
  </si>
  <si>
    <t xml:space="preserve">CUST530</t>
  </si>
  <si>
    <t xml:space="preserve">CUST333</t>
  </si>
  <si>
    <t xml:space="preserve">CUST740</t>
  </si>
  <si>
    <t xml:space="preserve">CUST379</t>
  </si>
  <si>
    <t xml:space="preserve">CUST490</t>
  </si>
  <si>
    <t xml:space="preserve">CUST063</t>
  </si>
  <si>
    <t xml:space="preserve">CUST793</t>
  </si>
  <si>
    <t xml:space="preserve">CUST195</t>
  </si>
  <si>
    <t xml:space="preserve">CUST240</t>
  </si>
  <si>
    <t xml:space="preserve">CUST993</t>
  </si>
  <si>
    <t xml:space="preserve">CUST232</t>
  </si>
  <si>
    <t xml:space="preserve">CUST085</t>
  </si>
  <si>
    <t xml:space="preserve">CUST372</t>
  </si>
  <si>
    <t xml:space="preserve">CUST366</t>
  </si>
  <si>
    <t xml:space="preserve">CUST936</t>
  </si>
  <si>
    <t xml:space="preserve">CUST596</t>
  </si>
  <si>
    <t xml:space="preserve">CUST284</t>
  </si>
  <si>
    <t xml:space="preserve">CUST977</t>
  </si>
  <si>
    <t xml:space="preserve">CUST775</t>
  </si>
  <si>
    <t xml:space="preserve">CUST434</t>
  </si>
  <si>
    <t xml:space="preserve">CUST649</t>
  </si>
  <si>
    <t xml:space="preserve">CUST068</t>
  </si>
  <si>
    <t xml:space="preserve">CUST192</t>
  </si>
  <si>
    <t xml:space="preserve">CUST054</t>
  </si>
  <si>
    <t xml:space="preserve">CUST657</t>
  </si>
  <si>
    <t xml:space="preserve">CUST331</t>
  </si>
  <si>
    <t xml:space="preserve">CUST346</t>
  </si>
  <si>
    <t xml:space="preserve">CUST972</t>
  </si>
  <si>
    <t xml:space="preserve">CUST732</t>
  </si>
  <si>
    <t xml:space="preserve">CUST714</t>
  </si>
  <si>
    <t xml:space="preserve">CUST945</t>
  </si>
  <si>
    <t xml:space="preserve">CUST577</t>
  </si>
  <si>
    <t xml:space="preserve">CUST193</t>
  </si>
  <si>
    <t xml:space="preserve">CUST848</t>
  </si>
  <si>
    <t xml:space="preserve">CUST011</t>
  </si>
  <si>
    <t xml:space="preserve">CUST821</t>
  </si>
  <si>
    <t xml:space="preserve">CUST133</t>
  </si>
  <si>
    <t xml:space="preserve">CUST292</t>
  </si>
  <si>
    <t xml:space="preserve">CUST861</t>
  </si>
  <si>
    <t xml:space="preserve">CUST016</t>
  </si>
  <si>
    <t xml:space="preserve">CUST416</t>
  </si>
  <si>
    <t xml:space="preserve">CUST584</t>
  </si>
  <si>
    <t xml:space="preserve">CUST042</t>
  </si>
  <si>
    <t xml:space="preserve">CUST256</t>
  </si>
  <si>
    <t xml:space="preserve">CUST044</t>
  </si>
  <si>
    <t xml:space="preserve">CUST257</t>
  </si>
  <si>
    <t xml:space="preserve">CUST966</t>
  </si>
  <si>
    <t xml:space="preserve">CUST268</t>
  </si>
  <si>
    <t xml:space="preserve">CUST287</t>
  </si>
  <si>
    <t xml:space="preserve">CUST900</t>
  </si>
  <si>
    <t xml:space="preserve">CUST371</t>
  </si>
  <si>
    <t xml:space="preserve">CUST070</t>
  </si>
  <si>
    <t xml:space="preserve">CUST920</t>
  </si>
  <si>
    <t xml:space="preserve">CUST780</t>
  </si>
  <si>
    <t xml:space="preserve">CUST008</t>
  </si>
  <si>
    <t xml:space="preserve">CUST041</t>
  </si>
  <si>
    <t xml:space="preserve">CUST454</t>
  </si>
  <si>
    <t xml:space="preserve">CUST396</t>
  </si>
  <si>
    <t xml:space="preserve">CUST400</t>
  </si>
  <si>
    <t xml:space="preserve">CUST611</t>
  </si>
  <si>
    <t xml:space="preserve">CUST800</t>
  </si>
  <si>
    <t xml:space="preserve">CUST168</t>
  </si>
  <si>
    <t xml:space="preserve">CUST473</t>
  </si>
  <si>
    <t xml:space="preserve">CUST506</t>
  </si>
  <si>
    <t xml:space="preserve">CUST766</t>
  </si>
  <si>
    <t xml:space="preserve">CUST272</t>
  </si>
  <si>
    <t xml:space="preserve">CUST135</t>
  </si>
  <si>
    <t xml:space="preserve">CUST185</t>
  </si>
  <si>
    <t xml:space="preserve">CUST158</t>
  </si>
  <si>
    <t xml:space="preserve">CUST433</t>
  </si>
  <si>
    <t xml:space="preserve">CUST002</t>
  </si>
  <si>
    <t xml:space="preserve">CUST152</t>
  </si>
  <si>
    <t xml:space="preserve">CUST763</t>
  </si>
  <si>
    <t xml:space="preserve">CUST753</t>
  </si>
  <si>
    <t xml:space="preserve">CUST932</t>
  </si>
  <si>
    <t xml:space="preserve">CUST399</t>
  </si>
  <si>
    <t xml:space="preserve">CUST500</t>
  </si>
  <si>
    <t xml:space="preserve">CUST514</t>
  </si>
  <si>
    <t xml:space="preserve">CUST947</t>
  </si>
  <si>
    <t xml:space="preserve">CUST888</t>
  </si>
  <si>
    <t xml:space="preserve">CUST885</t>
  </si>
  <si>
    <t xml:space="preserve">CUST220</t>
  </si>
  <si>
    <t xml:space="preserve">CUST339</t>
  </si>
  <si>
    <t xml:space="preserve">CUST785</t>
  </si>
  <si>
    <t xml:space="preserve">CUST621</t>
  </si>
  <si>
    <t xml:space="preserve">CUST536</t>
  </si>
  <si>
    <t xml:space="preserve">CUST052</t>
  </si>
  <si>
    <t xml:space="preserve">CUST917</t>
  </si>
  <si>
    <t xml:space="preserve">CUST910</t>
  </si>
  <si>
    <t xml:space="preserve">CUST197</t>
  </si>
  <si>
    <t xml:space="preserve">CUST750</t>
  </si>
  <si>
    <t xml:space="preserve">CUST198</t>
  </si>
  <si>
    <t xml:space="preserve">CUST547</t>
  </si>
  <si>
    <t xml:space="preserve">CUST705</t>
  </si>
  <si>
    <t xml:space="preserve">CUST444</t>
  </si>
  <si>
    <t xml:space="preserve">CUST423</t>
  </si>
  <si>
    <t xml:space="preserve">CUST377</t>
  </si>
  <si>
    <t xml:space="preserve">CUST248</t>
  </si>
  <si>
    <t xml:space="preserve">CUST360</t>
  </si>
  <si>
    <t xml:space="preserve">CUST623</t>
  </si>
  <si>
    <t xml:space="preserve">CUST397</t>
  </si>
  <si>
    <t xml:space="preserve">CUST717</t>
  </si>
  <si>
    <t xml:space="preserve">CUST130</t>
  </si>
  <si>
    <t xml:space="preserve">CUST658</t>
  </si>
  <si>
    <t xml:space="preserve">CUST119</t>
  </si>
  <si>
    <t xml:space="preserve">CUST007</t>
  </si>
  <si>
    <t xml:space="preserve">CUST278</t>
  </si>
  <si>
    <t xml:space="preserve">CUST117</t>
  </si>
  <si>
    <t xml:space="preserve">CUST442</t>
  </si>
  <si>
    <t xml:space="preserve">CUST590</t>
  </si>
  <si>
    <t xml:space="preserve">CUST607</t>
  </si>
  <si>
    <t xml:space="preserve">CUST436</t>
  </si>
  <si>
    <t xml:space="preserve">CUST942</t>
  </si>
  <si>
    <t xml:space="preserve">CUST659</t>
  </si>
  <si>
    <t xml:space="preserve">CUST941</t>
  </si>
  <si>
    <t xml:space="preserve">CUST806</t>
  </si>
  <si>
    <t xml:space="preserve">CUST748</t>
  </si>
  <si>
    <t xml:space="preserve">CUST175</t>
  </si>
  <si>
    <t xml:space="preserve">CUST663</t>
  </si>
  <si>
    <t xml:space="preserve">CUST136</t>
  </si>
  <si>
    <t xml:space="preserve">CUST038</t>
  </si>
  <si>
    <t xml:space="preserve">CUST459</t>
  </si>
  <si>
    <t xml:space="preserve">CUST402</t>
  </si>
  <si>
    <t xml:space="preserve">CUST313</t>
  </si>
  <si>
    <t xml:space="preserve">CUST973</t>
  </si>
  <si>
    <t xml:space="preserve">CUST328</t>
  </si>
  <si>
    <t xml:space="preserve">CUST978</t>
  </si>
  <si>
    <t xml:space="preserve">CUST161</t>
  </si>
  <si>
    <t xml:space="preserve">CUST383</t>
  </si>
  <si>
    <t xml:space="preserve">CUST138</t>
  </si>
  <si>
    <t xml:space="preserve">CUST636</t>
  </si>
  <si>
    <t xml:space="preserve">CUST033</t>
  </si>
  <si>
    <t xml:space="preserve">CUST471</t>
  </si>
  <si>
    <t xml:space="preserve">CUST426</t>
  </si>
  <si>
    <t xml:space="preserve">CUST177</t>
  </si>
  <si>
    <t xml:space="preserve">CUST461</t>
  </si>
  <si>
    <t xml:space="preserve">CUST076</t>
  </si>
  <si>
    <t xml:space="preserve">CUST764</t>
  </si>
  <si>
    <t xml:space="preserve">CUST091</t>
  </si>
  <si>
    <t xml:space="preserve">CUST301</t>
  </si>
  <si>
    <t xml:space="preserve">CUST703</t>
  </si>
  <si>
    <t xml:space="preserve">CUST202</t>
  </si>
  <si>
    <t xml:space="preserve">CUST760</t>
  </si>
  <si>
    <t xml:space="preserve">CUST294</t>
  </si>
  <si>
    <t xml:space="preserve">CUST575</t>
  </si>
  <si>
    <t xml:space="preserve">CUST088</t>
  </si>
  <si>
    <t xml:space="preserve">CUST975</t>
  </si>
  <si>
    <t xml:space="preserve">CUST553</t>
  </si>
  <si>
    <t xml:space="preserve">CUST808</t>
  </si>
  <si>
    <t xml:space="preserve">CUST614</t>
  </si>
  <si>
    <t xml:space="preserve">CUST462</t>
  </si>
  <si>
    <t xml:space="preserve">CUST502</t>
  </si>
  <si>
    <t xml:space="preserve">CUST465</t>
  </si>
  <si>
    <t xml:space="preserve">CUST166</t>
  </si>
  <si>
    <t xml:space="preserve">CUST905</t>
  </si>
  <si>
    <t xml:space="preserve">CUST280</t>
  </si>
  <si>
    <t xml:space="preserve">CUST834</t>
  </si>
  <si>
    <t xml:space="preserve">CUST719</t>
  </si>
  <si>
    <t xml:space="preserve">CUST891</t>
  </si>
  <si>
    <t xml:space="preserve">CUST928</t>
  </si>
  <si>
    <t xml:space="preserve">CUST332</t>
  </si>
  <si>
    <t xml:space="preserve">CUST255</t>
  </si>
  <si>
    <t xml:space="preserve">CUST275</t>
  </si>
  <si>
    <t xml:space="preserve">CUST517</t>
  </si>
  <si>
    <t xml:space="preserve">CUST314</t>
  </si>
  <si>
    <t xml:space="preserve">CUST847</t>
  </si>
  <si>
    <t xml:space="preserve">CUST061</t>
  </si>
  <si>
    <t xml:space="preserve">CUST886</t>
  </si>
  <si>
    <t xml:space="preserve">CUST548</t>
  </si>
  <si>
    <t xml:space="preserve">CUST892</t>
  </si>
  <si>
    <t xml:space="preserve">CUST274</t>
  </si>
  <si>
    <t xml:space="preserve">CUST486</t>
  </si>
  <si>
    <t xml:space="preserve">CUST601</t>
  </si>
  <si>
    <t xml:space="preserve">CUST901</t>
  </si>
  <si>
    <t xml:space="preserve">CUST527</t>
  </si>
  <si>
    <t xml:space="preserve">CUST774</t>
  </si>
  <si>
    <t xml:space="preserve">CUST589</t>
  </si>
  <si>
    <t xml:space="preserve">CUST1000</t>
  </si>
  <si>
    <t xml:space="preserve">CUST023</t>
  </si>
  <si>
    <t xml:space="preserve">CUST174</t>
  </si>
  <si>
    <t xml:space="preserve">CUST210</t>
  </si>
  <si>
    <t xml:space="preserve">CUST745</t>
  </si>
  <si>
    <t xml:space="preserve">CUST478</t>
  </si>
  <si>
    <t xml:space="preserve">CUST354</t>
  </si>
  <si>
    <t xml:space="preserve">CUST408</t>
  </si>
  <si>
    <t xml:space="preserve">CUST674</t>
  </si>
  <si>
    <t xml:space="preserve">CUST967</t>
  </si>
  <si>
    <t xml:space="preserve">CUST450</t>
  </si>
  <si>
    <t xml:space="preserve">CUST079</t>
  </si>
  <si>
    <t xml:space="preserve">CUST562</t>
  </si>
  <si>
    <t xml:space="preserve">CUST406</t>
  </si>
  <si>
    <t xml:space="preserve">CUST836</t>
  </si>
  <si>
    <t xml:space="preserve">CUST969</t>
  </si>
  <si>
    <t xml:space="preserve">CUST111</t>
  </si>
  <si>
    <t xml:space="preserve">CUST207</t>
  </si>
  <si>
    <t xml:space="preserve">CUST108</t>
  </si>
  <si>
    <t xml:space="preserve">CUST724</t>
  </si>
  <si>
    <t xml:space="preserve">CUST246</t>
  </si>
  <si>
    <t xml:space="preserve">CUST572</t>
  </si>
  <si>
    <t xml:space="preserve">CUST665</t>
  </si>
  <si>
    <t xml:space="preserve">CUST298</t>
  </si>
  <si>
    <t xml:space="preserve">CUST374</t>
  </si>
  <si>
    <t xml:space="preserve">CUST039</t>
  </si>
  <si>
    <t xml:space="preserve">CUST893</t>
  </si>
  <si>
    <t xml:space="preserve">CUST316</t>
  </si>
  <si>
    <t xml:space="preserve">CUST017</t>
  </si>
  <si>
    <t xml:space="preserve">CUST755</t>
  </si>
  <si>
    <t xml:space="preserve">CUST129</t>
  </si>
  <si>
    <t xml:space="preserve">CUST098</t>
  </si>
  <si>
    <t xml:space="preserve">CUST230</t>
  </si>
  <si>
    <t xml:space="preserve">CUST028</t>
  </si>
  <si>
    <t xml:space="preserve">CUST613</t>
  </si>
  <si>
    <t xml:space="preserve">CUST693</t>
  </si>
  <si>
    <t xml:space="preserve">CUST691</t>
  </si>
  <si>
    <t xml:space="preserve">CUST477</t>
  </si>
  <si>
    <t xml:space="preserve">CUST863</t>
  </si>
  <si>
    <t xml:space="preserve">CUST738</t>
  </si>
  <si>
    <t xml:space="preserve">CUST483</t>
  </si>
  <si>
    <t xml:space="preserve">CUST006</t>
  </si>
  <si>
    <t xml:space="preserve">CUST222</t>
  </si>
  <si>
    <t xml:space="preserve">CUST953</t>
  </si>
  <si>
    <t xml:space="preserve">CUST588</t>
  </si>
  <si>
    <t xml:space="preserve">CUST903</t>
  </si>
  <si>
    <t xml:space="preserve">CUST066</t>
  </si>
  <si>
    <t xml:space="preserve">CUST482</t>
  </si>
  <si>
    <t xml:space="preserve">CUST102</t>
  </si>
  <si>
    <t xml:space="preserve">CUST228</t>
  </si>
  <si>
    <t xml:space="preserve">CUST236</t>
  </si>
  <si>
    <t xml:space="preserve">CUST987</t>
  </si>
  <si>
    <t xml:space="preserve">CUST660</t>
  </si>
  <si>
    <t xml:space="preserve">CUST884</t>
  </si>
  <si>
    <t xml:space="preserve">CUST069</t>
  </si>
  <si>
    <t xml:space="preserve">CUST995</t>
  </si>
  <si>
    <t xml:space="preserve">CUST018</t>
  </si>
  <si>
    <t xml:space="preserve">CUST652</t>
  </si>
  <si>
    <t xml:space="preserve">CUST337</t>
  </si>
  <si>
    <t xml:space="preserve">CUST585</t>
  </si>
  <si>
    <t xml:space="preserve">CUST293</t>
  </si>
  <si>
    <t xml:space="preserve">CUST242</t>
  </si>
  <si>
    <t xml:space="preserve">CUST460</t>
  </si>
  <si>
    <t xml:space="preserve">CUST646</t>
  </si>
  <si>
    <t xml:space="preserve">CUST188</t>
  </si>
  <si>
    <t xml:space="preserve">CUST357</t>
  </si>
  <si>
    <t xml:space="preserve">CUST974</t>
  </si>
  <si>
    <t xml:space="preserve">CUST749</t>
  </si>
  <si>
    <t xml:space="preserve">CUST190</t>
  </si>
  <si>
    <t xml:space="preserve">CUST849</t>
  </si>
  <si>
    <t xml:space="preserve">CUST853</t>
  </si>
  <si>
    <t xml:space="preserve">CUST824</t>
  </si>
  <si>
    <t xml:space="preserve">CUST606</t>
  </si>
  <si>
    <t xml:space="preserve">CUST779</t>
  </si>
  <si>
    <t xml:space="preserve">CUST252</t>
  </si>
  <si>
    <t xml:space="preserve">CUST866</t>
  </si>
  <si>
    <t xml:space="preserve">CUST005</t>
  </si>
  <si>
    <t xml:space="preserve">CUST820</t>
  </si>
  <si>
    <t xml:space="preserve">CUST593</t>
  </si>
  <si>
    <t xml:space="preserve">CUST380</t>
  </si>
  <si>
    <t xml:space="preserve">CUST090</t>
  </si>
  <si>
    <t xml:space="preserve">CUST120</t>
  </si>
  <si>
    <t xml:space="preserve">CUST221</t>
  </si>
  <si>
    <t xml:space="preserve">CUST341</t>
  </si>
  <si>
    <t xml:space="preserve">CUST640</t>
  </si>
  <si>
    <t xml:space="preserve">CUST744</t>
  </si>
  <si>
    <t xml:space="preserve">CUST469</t>
  </si>
  <si>
    <t xml:space="preserve">CUST283</t>
  </si>
  <si>
    <t xml:space="preserve">CUST273</t>
  </si>
  <si>
    <t xml:space="preserve">CUST620</t>
  </si>
  <si>
    <t xml:space="preserve">CUST452</t>
  </si>
  <si>
    <t xml:space="preserve">CUST946</t>
  </si>
  <si>
    <t xml:space="preserve">CUST883</t>
  </si>
  <si>
    <t xml:space="preserve">CUST414</t>
  </si>
  <si>
    <t xml:space="preserve">CUST148</t>
  </si>
  <si>
    <t xml:space="preserve">CUST930</t>
  </si>
  <si>
    <t xml:space="preserve">CUST731</t>
  </si>
  <si>
    <t xml:space="preserve">CUST518</t>
  </si>
  <si>
    <t xml:space="preserve">CUST758</t>
  </si>
  <si>
    <t xml:space="preserve">CUST639</t>
  </si>
  <si>
    <t xml:space="preserve">CUST838</t>
  </si>
  <si>
    <t xml:space="preserve">CUST501</t>
  </si>
  <si>
    <t xml:space="preserve">CUST721</t>
  </si>
  <si>
    <t xml:space="preserve">CUST353</t>
  </si>
  <si>
    <t xml:space="preserve">CUST123</t>
  </si>
  <si>
    <t xml:space="preserve">CUST425</t>
  </si>
  <si>
    <t xml:space="preserve">CUST164</t>
  </si>
  <si>
    <t xml:space="preserve">CUST398</t>
  </si>
  <si>
    <t xml:space="preserve">CUST305</t>
  </si>
  <si>
    <t xml:space="preserve">CUST358</t>
  </si>
  <si>
    <t xml:space="preserve">CUST048</t>
  </si>
  <si>
    <t xml:space="preserve">CUST376</t>
  </si>
  <si>
    <t xml:space="preserve">CUST996</t>
  </si>
  <si>
    <t xml:space="preserve">CUST118</t>
  </si>
  <si>
    <t xml:space="preserve">CUST970</t>
  </si>
  <si>
    <t xml:space="preserve">CUST203</t>
  </si>
  <si>
    <t xml:space="preserve">CUST504</t>
  </si>
  <si>
    <t xml:space="preserve">CUST411</t>
  </si>
  <si>
    <t xml:space="preserve">CUST155</t>
  </si>
  <si>
    <t xml:space="preserve">CUST081</t>
  </si>
  <si>
    <t xml:space="preserve">CUST470</t>
  </si>
  <si>
    <t xml:space="preserve">CUST818</t>
  </si>
  <si>
    <t xml:space="preserve">CUST106</t>
  </si>
  <si>
    <t xml:space="preserve">CUST811</t>
  </si>
  <si>
    <t xml:space="preserve">CUST094</t>
  </si>
  <si>
    <t xml:space="preserve">CUST881</t>
  </si>
  <si>
    <t xml:space="preserve">CUST694</t>
  </si>
  <si>
    <t xml:space="preserve">CUST653</t>
  </si>
  <si>
    <t xml:space="preserve">CUST403</t>
  </si>
  <si>
    <t xml:space="preserve">CUST911</t>
  </si>
  <si>
    <t xml:space="preserve">CUST647</t>
  </si>
  <si>
    <t xml:space="preserve">CUST004</t>
  </si>
  <si>
    <t xml:space="preserve">CUST843</t>
  </si>
  <si>
    <t xml:space="preserve">CUST895</t>
  </si>
  <si>
    <t xml:space="preserve">CUST419</t>
  </si>
  <si>
    <t xml:space="preserve">CUST642</t>
  </si>
  <si>
    <t xml:space="preserve">CUST072</t>
  </si>
  <si>
    <t xml:space="preserve">CUST243</t>
  </si>
  <si>
    <t xml:space="preserve">CUST822</t>
  </si>
  <si>
    <t xml:space="preserve">CUST281</t>
  </si>
  <si>
    <t xml:space="preserve">CUST031</t>
  </si>
  <si>
    <t xml:space="preserve">CUST489</t>
  </si>
  <si>
    <t xml:space="preserve">CUST729</t>
  </si>
  <si>
    <t xml:space="preserve">CUST037</t>
  </si>
  <si>
    <t xml:space="preserve">CUST491</t>
  </si>
  <si>
    <t xml:space="preserve">CUST840</t>
  </si>
  <si>
    <t xml:space="preserve">CUST990</t>
  </si>
  <si>
    <t xml:space="preserve">CUST404</t>
  </si>
  <si>
    <t xml:space="preserve">CUST899</t>
  </si>
  <si>
    <t xml:space="preserve">CUST923</t>
  </si>
  <si>
    <t xml:space="preserve">CUST382</t>
  </si>
  <si>
    <t xml:space="preserve">CUST578</t>
  </si>
  <si>
    <t xml:space="preserve">CUST561</t>
  </si>
  <si>
    <t xml:space="preserve">CUST651</t>
  </si>
  <si>
    <t xml:space="preserve">CUST307</t>
  </si>
  <si>
    <t xml:space="preserve">CUST988</t>
  </si>
  <si>
    <t xml:space="preserve">CUST067</t>
  </si>
  <si>
    <t xml:space="preserve">CUST985</t>
  </si>
  <si>
    <t xml:space="preserve">CUST915</t>
  </si>
  <si>
    <t xml:space="preserve">CUST159</t>
  </si>
  <si>
    <t xml:space="preserve">CUST056</t>
  </si>
  <si>
    <t xml:space="preserve">CUST862</t>
  </si>
  <si>
    <t xml:space="preserve">CUST545</t>
  </si>
  <si>
    <t xml:space="preserve">CUST902</t>
  </si>
  <si>
    <t xml:space="preserve">CUST315</t>
  </si>
  <si>
    <t xml:space="preserve">CUST958</t>
  </si>
  <si>
    <t xml:space="preserve">CUST170</t>
  </si>
  <si>
    <t xml:space="preserve">CUST685</t>
  </si>
  <si>
    <t xml:space="preserve">CUST363</t>
  </si>
  <si>
    <t xml:space="preserve">CUST537</t>
  </si>
  <si>
    <t xml:space="preserve">CUST394</t>
  </si>
  <si>
    <t xml:space="preserve">CUST387</t>
  </si>
  <si>
    <t xml:space="preserve">CUST556</t>
  </si>
  <si>
    <t xml:space="preserve">CUST782</t>
  </si>
  <si>
    <t xml:space="preserve">CUST906</t>
  </si>
  <si>
    <t xml:space="preserve">CUST944</t>
  </si>
  <si>
    <t xml:space="preserve">CUST560</t>
  </si>
  <si>
    <t xml:space="preserve">CUST961</t>
  </si>
  <si>
    <t xml:space="preserve">CUST867</t>
  </si>
  <si>
    <t xml:space="preserve">CUST481</t>
  </si>
  <si>
    <t xml:space="preserve">CUST882</t>
  </si>
  <si>
    <t xml:space="preserve">CUST446</t>
  </si>
  <si>
    <t xml:space="preserve">CUST187</t>
  </si>
  <si>
    <t xml:space="preserve">CUST539</t>
  </si>
  <si>
    <t xml:space="preserve">CUST587</t>
  </si>
  <si>
    <t xml:space="preserve">CUST769</t>
  </si>
  <si>
    <t xml:space="preserve">CUST765</t>
  </si>
  <si>
    <t xml:space="preserve">CUST212</t>
  </si>
  <si>
    <t xml:space="preserve">CUST510</t>
  </si>
  <si>
    <t xml:space="preserve">CUST356</t>
  </si>
  <si>
    <t xml:space="preserve">CUST321</t>
  </si>
  <si>
    <t xml:space="preserve">CUST534</t>
  </si>
  <si>
    <t xml:space="preserve">CUST352</t>
  </si>
  <si>
    <t xml:space="preserve">CUST365</t>
  </si>
  <si>
    <t xml:space="preserve">CUST110</t>
  </si>
  <si>
    <t xml:space="preserve">CUST887</t>
  </si>
  <si>
    <t xml:space="preserve">CUST104</t>
  </si>
  <si>
    <t xml:space="preserve">CUST629</t>
  </si>
  <si>
    <t xml:space="preserve">CUST655</t>
  </si>
  <si>
    <t xml:space="preserve">CUST567</t>
  </si>
  <si>
    <t xml:space="preserve">CUST182</t>
  </si>
  <si>
    <t xml:space="preserve">CUST819</t>
  </si>
  <si>
    <t xml:space="preserve">CUST833</t>
  </si>
  <si>
    <t xml:space="preserve">CUST100</t>
  </si>
  <si>
    <t xml:space="preserve">CUST723</t>
  </si>
  <si>
    <t xml:space="preserve">CUST542</t>
  </si>
  <si>
    <t xml:space="preserve">CUST726</t>
  </si>
  <si>
    <t xml:space="preserve">CUST488</t>
  </si>
  <si>
    <t xml:space="preserve">CUST532</t>
  </si>
  <si>
    <t xml:space="preserve">CUST669</t>
  </si>
  <si>
    <t xml:space="preserve">CUST877</t>
  </si>
  <si>
    <t xml:space="preserve">CUST239</t>
  </si>
  <si>
    <t xml:space="preserve">CUST498</t>
  </si>
  <si>
    <t xml:space="preserve">CUST422</t>
  </si>
  <si>
    <t xml:space="preserve">CUST466</t>
  </si>
  <si>
    <t xml:space="preserve">CUST583</t>
  </si>
  <si>
    <t xml:space="preserve">CUST654</t>
  </si>
  <si>
    <t xml:space="preserve">CUST727</t>
  </si>
  <si>
    <t xml:space="preserve">CUST830</t>
  </si>
  <si>
    <t xml:space="preserve">CUST040</t>
  </si>
  <si>
    <t xml:space="preserve">CUST699</t>
  </si>
  <si>
    <t xml:space="preserve">CUST271</t>
  </si>
  <si>
    <t xml:space="preserve">CUST224</t>
  </si>
  <si>
    <t xml:space="preserve">CUST036</t>
  </si>
  <si>
    <t xml:space="preserve">CUST157</t>
  </si>
  <si>
    <t xml:space="preserve">CUST839</t>
  </si>
  <si>
    <t xml:space="preserve">CUST796</t>
  </si>
  <si>
    <t xml:space="preserve">CUST927</t>
  </si>
  <si>
    <t xml:space="preserve">CUST407</t>
  </si>
  <si>
    <t xml:space="preserve">CUST874</t>
  </si>
  <si>
    <t xml:space="preserve">CUST046</t>
  </si>
  <si>
    <t xml:space="preserve">CUST509</t>
  </si>
  <si>
    <t xml:space="preserve">CUST788</t>
  </si>
  <si>
    <t xml:space="preserve">CUST378</t>
  </si>
  <si>
    <t xml:space="preserve">CUST737</t>
  </si>
  <si>
    <t xml:space="preserve">CUST480</t>
  </si>
  <si>
    <t xml:space="preserve">CUST492</t>
  </si>
  <si>
    <t xml:space="preserve">CUST878</t>
  </si>
  <si>
    <t xml:space="preserve">CUST684</t>
  </si>
  <si>
    <t xml:space="preserve">CUST837</t>
  </si>
  <si>
    <t xml:space="preserve">CUST260</t>
  </si>
  <si>
    <t xml:space="preserve">CUST455</t>
  </si>
  <si>
    <t xml:space="preserve">CUST078</t>
  </si>
  <si>
    <t xml:space="preserve">CUST045</t>
  </si>
  <si>
    <t xml:space="preserve">CUST449</t>
  </si>
  <si>
    <t xml:space="preserve">CUST904</t>
  </si>
  <si>
    <t xml:space="preserve">CUST059</t>
  </si>
  <si>
    <t xml:space="preserve">CUST186</t>
  </si>
  <si>
    <t xml:space="preserve">CUST802</t>
  </si>
  <si>
    <t xml:space="preserve">CUST128</t>
  </si>
  <si>
    <t xml:space="preserve">CUST075</t>
  </si>
  <si>
    <t xml:space="preserve">CUST528</t>
  </si>
  <si>
    <t xml:space="preserve">CUST447</t>
  </si>
  <si>
    <t xml:space="preserve">CUST759</t>
  </si>
  <si>
    <t xml:space="preserve">CUST870</t>
  </si>
  <si>
    <t xml:space="preserve">CUST077</t>
  </si>
  <si>
    <t xml:space="preserve">CUST792</t>
  </si>
  <si>
    <t xml:space="preserve">CUST381</t>
  </si>
  <si>
    <t xml:space="preserve">CUST439</t>
  </si>
  <si>
    <t xml:space="preserve">CUST176</t>
  </si>
  <si>
    <t xml:space="preserve">CUST216</t>
  </si>
  <si>
    <t xml:space="preserve">CUST772</t>
  </si>
  <si>
    <t xml:space="preserve">CUST053</t>
  </si>
  <si>
    <t xml:space="preserve">CUST071</t>
  </si>
  <si>
    <t xml:space="preserve">CUST681</t>
  </si>
  <si>
    <t xml:space="preserve">CUST551</t>
  </si>
  <si>
    <t xml:space="preserve">CUST302</t>
  </si>
  <si>
    <t xml:space="preserve">CUST093</t>
  </si>
  <si>
    <t xml:space="preserve">CUST043</t>
  </si>
  <si>
    <t xml:space="preserve">CUST829</t>
  </si>
  <si>
    <t xml:space="preserve">CUST722</t>
  </si>
  <si>
    <t xml:space="preserve">CUST728</t>
  </si>
  <si>
    <t xml:space="preserve">CUST955</t>
  </si>
  <si>
    <t xml:space="preserve">CUST474</t>
  </si>
  <si>
    <t xml:space="preserve">CUST144</t>
  </si>
  <si>
    <t xml:space="preserve">CUST603</t>
  </si>
  <si>
    <t xml:space="preserve">CUST661</t>
  </si>
  <si>
    <t xml:space="preserve">CUST143</t>
  </si>
  <si>
    <t xml:space="preserve">CUST515</t>
  </si>
  <si>
    <t xml:space="preserve">CUST686</t>
  </si>
  <si>
    <t xml:space="preserve">CUST304</t>
  </si>
  <si>
    <t xml:space="preserve">CUST676</t>
  </si>
  <si>
    <t xml:space="preserve">CUST698</t>
  </si>
  <si>
    <t xml:space="preserve">CUST709</t>
  </si>
  <si>
    <t xml:space="preserve">CUST114</t>
  </si>
  <si>
    <t xml:space="preserve">CUST359</t>
  </si>
  <si>
    <t xml:space="preserve">CUST773</t>
  </si>
  <si>
    <t xml:space="preserve">CUST495</t>
  </si>
  <si>
    <t xml:space="preserve">CUST487</t>
  </si>
  <si>
    <t xml:space="preserve">CUST213</t>
  </si>
  <si>
    <t xml:space="preserve">CUST605</t>
  </si>
  <si>
    <t xml:space="preserve">CUST127</t>
  </si>
  <si>
    <t xml:space="preserve">CUST299</t>
  </si>
  <si>
    <t xml:space="preserve">CUST934</t>
  </si>
  <si>
    <t xml:space="preserve">CUST105</t>
  </si>
  <si>
    <t xml:space="preserve">CUST270</t>
  </si>
  <si>
    <t xml:space="preserve">CUST338</t>
  </si>
  <si>
    <t xml:space="preserve">CUST543</t>
  </si>
  <si>
    <t xml:space="preserve">CUST557</t>
  </si>
  <si>
    <t xml:space="preserve">CUST864</t>
  </si>
  <si>
    <t xml:space="preserve">CUST702</t>
  </si>
  <si>
    <t xml:space="preserve">CUST668</t>
  </si>
  <si>
    <t xml:space="preserve">CUST850</t>
  </si>
  <si>
    <t xml:space="preserve">CUST457</t>
  </si>
  <si>
    <t xml:space="preserve">CUST254</t>
  </si>
  <si>
    <t xml:space="preserve">CUST295</t>
  </si>
  <si>
    <t xml:space="preserve">CUST980</t>
  </si>
  <si>
    <t xml:space="preserve">CUST541</t>
  </si>
  <si>
    <t xml:space="preserve">CUST467</t>
  </si>
  <si>
    <t xml:space="preserve">CUST262</t>
  </si>
  <si>
    <t xml:space="preserve">CUST463</t>
  </si>
  <si>
    <t xml:space="preserve">CUST598</t>
  </si>
  <si>
    <t xml:space="preserve">CUST672</t>
  </si>
  <si>
    <t xml:space="preserve">CUST667</t>
  </si>
  <si>
    <t xml:space="preserve">CUST949</t>
  </si>
  <si>
    <t xml:space="preserve">CUST687</t>
  </si>
  <si>
    <t xml:space="preserve">CUST027</t>
  </si>
  <si>
    <t xml:space="preserve">CUST347</t>
  </si>
  <si>
    <t xml:space="preserve">CUST730</t>
  </si>
  <si>
    <t xml:space="preserve">CUST798</t>
  </si>
  <si>
    <t xml:space="preserve">CUST675</t>
  </si>
  <si>
    <t xml:space="preserve">CUST549</t>
  </si>
  <si>
    <t xml:space="preserve">CUST206</t>
  </si>
  <si>
    <t xml:space="preserve">CUST035</t>
  </si>
  <si>
    <t xml:space="preserve">CUST279</t>
  </si>
  <si>
    <t xml:space="preserve">CUST140</t>
  </si>
  <si>
    <t xml:space="preserve">CUST261</t>
  </si>
  <si>
    <t xml:space="preserve">CUST308</t>
  </si>
  <si>
    <t xml:space="preserve">CUST013</t>
  </si>
  <si>
    <t xml:space="preserve">CUST418</t>
  </si>
  <si>
    <t xml:space="preserve">CUST875</t>
  </si>
  <si>
    <t xml:space="preserve">CUST612</t>
  </si>
  <si>
    <t xml:space="preserve">CUST430</t>
  </si>
  <si>
    <t xml:space="preserve">CUST633</t>
  </si>
  <si>
    <t xml:space="preserve">CUST790</t>
  </si>
  <si>
    <t xml:space="preserve">CUST716</t>
  </si>
  <si>
    <t xml:space="preserve">CUST960</t>
  </si>
  <si>
    <t xml:space="preserve">CUST125</t>
  </si>
  <si>
    <t xml:space="preserve">CUST259</t>
  </si>
  <si>
    <t xml:space="preserve">CUST443</t>
  </si>
  <si>
    <t xml:space="preserve">CUST563</t>
  </si>
  <si>
    <t xml:space="preserve">CUST529</t>
  </si>
  <si>
    <t xml:space="preserve">CUST801</t>
  </si>
  <si>
    <t xml:space="preserve">CUST160</t>
  </si>
  <si>
    <t xml:space="preserve">CUST508</t>
  </si>
  <si>
    <t xml:space="preserve">CUST807</t>
  </si>
  <si>
    <t xml:space="preserve">CUST511</t>
  </si>
  <si>
    <t xml:space="preserve">CUST816</t>
  </si>
  <si>
    <t xml:space="preserve">CUST695</t>
  </si>
  <si>
    <t xml:space="preserve">CUST521</t>
  </si>
  <si>
    <t xml:space="preserve">CUST217</t>
  </si>
  <si>
    <t xml:space="preserve">CUST384</t>
  </si>
  <si>
    <t xml:space="preserve">CUST926</t>
  </si>
  <si>
    <t xml:space="preserve">CUST648</t>
  </si>
  <si>
    <t xml:space="preserve">CUST630</t>
  </si>
  <si>
    <t xml:space="preserve">CUST427</t>
  </si>
  <si>
    <t xml:space="preserve">CUST957</t>
  </si>
  <si>
    <t xml:space="preserve">CUST570</t>
  </si>
  <si>
    <t xml:space="preserve">CUST569</t>
  </si>
  <si>
    <t xml:space="preserve">CUST285</t>
  </si>
  <si>
    <t xml:space="preserve">CUST635</t>
  </si>
  <si>
    <t xml:space="preserve">CUST277</t>
  </si>
  <si>
    <t xml:space="preserve">CUST029</t>
  </si>
  <si>
    <t xml:space="preserve">CUST859</t>
  </si>
  <si>
    <t xml:space="preserve">CUST956</t>
  </si>
  <si>
    <t xml:space="preserve">CUST823</t>
  </si>
  <si>
    <t xml:space="preserve">CUST981</t>
  </si>
  <si>
    <t xml:space="preserve">CUST638</t>
  </si>
  <si>
    <t xml:space="preserve">CUST219</t>
  </si>
  <si>
    <t xml:space="preserve">CUST725</t>
  </si>
  <si>
    <t xml:space="preserve">CUST992</t>
  </si>
  <si>
    <t xml:space="preserve">CUST306</t>
  </si>
  <si>
    <t xml:space="preserve">CUST880</t>
  </si>
  <si>
    <t xml:space="preserve">CUST162</t>
  </si>
  <si>
    <t xml:space="preserve">CUST073</t>
  </si>
  <si>
    <t xml:space="preserve">CUST597</t>
  </si>
  <si>
    <t xml:space="preserve">CUST622</t>
  </si>
  <si>
    <t xml:space="preserve">CUST364</t>
  </si>
  <si>
    <t xml:space="preserve">CUST116</t>
  </si>
  <si>
    <t xml:space="preserve">CUST368</t>
  </si>
  <si>
    <t xml:space="preserve">CUST479</t>
  </si>
  <si>
    <t xml:space="preserve">CUST804</t>
  </si>
  <si>
    <t xml:space="preserve">CUST050</t>
  </si>
  <si>
    <t xml:space="preserve">CUST718</t>
  </si>
  <si>
    <t xml:space="preserve">CUST282</t>
  </si>
  <si>
    <t xml:space="preserve">CUST092</t>
  </si>
  <si>
    <t xml:space="preserve">CUST624</t>
  </si>
  <si>
    <t xml:space="preserve">CUST825</t>
  </si>
  <si>
    <t xml:space="preserve">CUST617</t>
  </si>
  <si>
    <t xml:space="preserve">CUST671</t>
  </si>
  <si>
    <t xml:space="preserve">CUST756</t>
  </si>
  <si>
    <t xml:space="preserve">CUST568</t>
  </si>
  <si>
    <t xml:space="preserve">CUST815</t>
  </si>
  <si>
    <t xml:space="preserve">CUST704</t>
  </si>
  <si>
    <t xml:space="preserve">CUST146</t>
  </si>
  <si>
    <t xml:space="preserve">CUST263</t>
  </si>
  <si>
    <t xml:space="preserve">CUST733</t>
  </si>
  <si>
    <t xml:space="preserve">CUST476</t>
  </si>
  <si>
    <t xml:space="preserve">CUST924</t>
  </si>
  <si>
    <t xml:space="preserve">CUST984</t>
  </si>
  <si>
    <t xml:space="preserve">CUST574</t>
  </si>
  <si>
    <t xml:space="preserve">CUST251</t>
  </si>
  <si>
    <t xml:space="preserve">CUST253</t>
  </si>
  <si>
    <t xml:space="preserve">CUST871</t>
  </si>
  <si>
    <t xml:space="preserve">CUST751</t>
  </si>
  <si>
    <t xml:space="preserve">CUST594</t>
  </si>
  <si>
    <t xml:space="preserve">CUST637</t>
  </si>
  <si>
    <t xml:space="preserve">CUST200</t>
  </si>
  <si>
    <t xml:space="preserve">CUST855</t>
  </si>
  <si>
    <t xml:space="preserve">CUST931</t>
  </si>
  <si>
    <t xml:space="preserve">CUST325</t>
  </si>
  <si>
    <t xml:space="preserve">CUST682</t>
  </si>
  <si>
    <t xml:space="preserve">CUST925</t>
  </si>
  <si>
    <t xml:space="preserve">CUST297</t>
  </si>
  <si>
    <t xml:space="preserve">CUST894</t>
  </si>
  <si>
    <t xml:space="preserve">CUST814</t>
  </si>
  <si>
    <t xml:space="preserve">CUST644</t>
  </si>
  <si>
    <t xml:space="preserve">CUST194</t>
  </si>
  <si>
    <t xml:space="preserve">CUST696</t>
  </si>
  <si>
    <t xml:space="preserve">CUST245</t>
  </si>
  <si>
    <t xml:space="preserve">CUST296</t>
  </si>
  <si>
    <t xml:space="preserve">CUST312</t>
  </si>
  <si>
    <t xml:space="preserve">CUST692</t>
  </si>
  <si>
    <t xml:space="preserve">CUST835</t>
  </si>
  <si>
    <t xml:space="preserve">CUST183</t>
  </si>
  <si>
    <t xml:space="preserve">CUST851</t>
  </si>
  <si>
    <t xml:space="preserve">CUST413</t>
  </si>
  <si>
    <t xml:space="preserve">CUST799</t>
  </si>
  <si>
    <t xml:space="preserve">CUST935</t>
  </si>
  <si>
    <t xml:space="preserve">CUST858</t>
  </si>
  <si>
    <t xml:space="preserve">CUST919</t>
  </si>
  <si>
    <t xml:space="preserve">CUST132</t>
  </si>
  <si>
    <t xml:space="preserve">CUST832</t>
  </si>
  <si>
    <t xml:space="preserve">CUST604</t>
  </si>
  <si>
    <t xml:space="preserve">CUST113</t>
  </si>
  <si>
    <t xml:space="preserve">CUST165</t>
  </si>
  <si>
    <t xml:space="preserve">CUST326</t>
  </si>
  <si>
    <t xml:space="preserve">CUST632</t>
  </si>
  <si>
    <t xml:space="preserve">CUST019</t>
  </si>
  <si>
    <t xml:space="preserve">CUST412</t>
  </si>
  <si>
    <t xml:space="preserve">CUST172</t>
  </si>
  <si>
    <t xml:space="preserve">CUST167</t>
  </si>
  <si>
    <t xml:space="preserve">CUST375</t>
  </si>
  <si>
    <t xml:space="preserve">CUST538</t>
  </si>
  <si>
    <t xml:space="preserve">CUST794</t>
  </si>
  <si>
    <t xml:space="preserve">CUST131</t>
  </si>
  <si>
    <t xml:space="preserve">CUST494</t>
  </si>
  <si>
    <t xml:space="preserve">CUST330</t>
  </si>
  <si>
    <t xml:space="preserve">CUST513</t>
  </si>
  <si>
    <t xml:space="preserve">CUST573</t>
  </si>
  <si>
    <t xml:space="preserve">CUST241</t>
  </si>
  <si>
    <t xml:space="preserve">CUST579</t>
  </si>
  <si>
    <t xml:space="preserve">CUST846</t>
  </si>
  <si>
    <t xml:space="preserve">CUST218</t>
  </si>
  <si>
    <t xml:space="preserve">CUST616</t>
  </si>
  <si>
    <t xml:space="preserve">CUST643</t>
  </si>
  <si>
    <t xml:space="preserve">CUST523</t>
  </si>
  <si>
    <t xml:space="preserve">CUST809</t>
  </si>
  <si>
    <t xml:space="preserve">CUST954</t>
  </si>
  <si>
    <t xml:space="preserve">CUST351</t>
  </si>
  <si>
    <t xml:space="preserve">CUST897</t>
  </si>
  <si>
    <t xml:space="preserve">CUST147</t>
  </si>
  <si>
    <t xml:space="preserve">CUST204</t>
  </si>
  <si>
    <t xml:space="preserve">CUST390</t>
  </si>
  <si>
    <t xml:space="preserve">CUST626</t>
  </si>
  <si>
    <t xml:space="preserve">CUST873</t>
  </si>
  <si>
    <t xml:space="preserve">CUST179</t>
  </si>
  <si>
    <t xml:space="preserve">CUST327</t>
  </si>
  <si>
    <t xml:space="preserve">CUST789</t>
  </si>
  <si>
    <t xml:space="preserve">CUST196</t>
  </si>
  <si>
    <t xml:space="preserve">CUST707</t>
  </si>
  <si>
    <t xml:space="preserve">CUST089</t>
  </si>
  <si>
    <t xml:space="preserve">CUST909</t>
  </si>
  <si>
    <t xml:space="preserve">CUST051</t>
  </si>
  <si>
    <t xml:space="preserve">CUST889</t>
  </si>
  <si>
    <t xml:space="preserve">CUST497</t>
  </si>
  <si>
    <t xml:space="preserve">CUST276</t>
  </si>
  <si>
    <t xml:space="preserve">CUST154</t>
  </si>
  <si>
    <t xml:space="preserve">CUST122</t>
  </si>
  <si>
    <t xml:space="preserve">CUST813</t>
  </si>
  <si>
    <t xml:space="preserve">CUST688</t>
  </si>
  <si>
    <t xml:space="preserve">CUST524</t>
  </si>
  <si>
    <t xml:space="preserve">CUST373</t>
  </si>
  <si>
    <t xml:space="preserve">CUST208</t>
  </si>
  <si>
    <t xml:space="preserve">CUST290</t>
  </si>
  <si>
    <t xml:space="preserve">CUST735</t>
  </si>
  <si>
    <t xml:space="preserve">CUST178</t>
  </si>
  <si>
    <t xml:space="preserve">CUST656</t>
  </si>
  <si>
    <t xml:space="preserve">CUST247</t>
  </si>
  <si>
    <t xml:space="preserve">CUST319</t>
  </si>
  <si>
    <t xml:space="preserve">CUST670</t>
  </si>
  <si>
    <t xml:space="preserve">CUST385</t>
  </si>
  <si>
    <t xml:space="preserve">CUST689</t>
  </si>
  <si>
    <t xml:space="preserve">CUST026</t>
  </si>
  <si>
    <t xml:space="preserve">CUST010</t>
  </si>
  <si>
    <t xml:space="preserve">CUST437</t>
  </si>
  <si>
    <t xml:space="preserve">CUST634</t>
  </si>
  <si>
    <t xml:space="preserve">CUST558</t>
  </si>
  <si>
    <t xml:space="preserve">CUST876</t>
  </si>
  <si>
    <t xml:space="preserve">CUST201</t>
  </si>
  <si>
    <t xml:space="preserve">CUST286</t>
  </si>
  <si>
    <t xml:space="preserve">CUST976</t>
  </si>
  <si>
    <t xml:space="preserve">CUST055</t>
  </si>
  <si>
    <t xml:space="preserve">CUST428</t>
  </si>
  <si>
    <t xml:space="preserve">CUST441</t>
  </si>
  <si>
    <t xml:space="preserve">CUST546</t>
  </si>
  <si>
    <t xml:space="preserve">CUST227</t>
  </si>
  <si>
    <t xml:space="preserve">CUST872</t>
  </si>
  <si>
    <t xml:space="preserve">CUST149</t>
  </si>
  <si>
    <t xml:space="preserve">CUST393</t>
  </si>
  <si>
    <t xml:space="preserve">CUST401</t>
  </si>
  <si>
    <t xml:space="preserve">CUST914</t>
  </si>
  <si>
    <t xml:space="preserve">CUST310</t>
  </si>
  <si>
    <t xml:space="preserve">CUST852</t>
  </si>
  <si>
    <t xml:space="preserve">CUST844</t>
  </si>
  <si>
    <t xml:space="preserve">CUST619</t>
  </si>
  <si>
    <t xml:space="preserve">CUST097</t>
  </si>
  <si>
    <t xml:space="preserve">CUST948</t>
  </si>
  <si>
    <t xml:space="preserve">CUST456</t>
  </si>
  <si>
    <t xml:space="preserve">CUST627</t>
  </si>
  <si>
    <t xml:space="preserve">CUST121</t>
  </si>
  <si>
    <t xml:space="preserve">CUST022</t>
  </si>
  <si>
    <t xml:space="preserve">CUST431</t>
  </si>
  <si>
    <t xml:space="preserve">CUST943</t>
  </si>
  <si>
    <t xml:space="preserve">CUST754</t>
  </si>
  <si>
    <t xml:space="preserve">CUST370</t>
  </si>
  <si>
    <t xml:space="preserve">CUST711</t>
  </si>
  <si>
    <t xml:space="preserve">CUST350</t>
  </si>
  <si>
    <t xml:space="preserve">CUST786</t>
  </si>
  <si>
    <t xml:space="preserve">CUST191</t>
  </si>
  <si>
    <t xml:space="preserve">CUST109</t>
  </si>
  <si>
    <t xml:space="preserve">CUST555</t>
  </si>
  <si>
    <t xml:space="preserve">CUST826</t>
  </si>
  <si>
    <t xml:space="preserve">CUST340</t>
  </si>
  <si>
    <t xml:space="preserve">CUST962</t>
  </si>
  <si>
    <t xml:space="preserve">CUST249</t>
  </si>
  <si>
    <t xml:space="preserve">CUST922</t>
  </si>
  <si>
    <t xml:space="preserve">CUST680</t>
  </si>
  <si>
    <t xml:space="preserve">CUST600</t>
  </si>
  <si>
    <t xml:space="preserve">CUST770</t>
  </si>
  <si>
    <t xml:space="preserve">CUST060</t>
  </si>
  <si>
    <t xml:space="preserve">CUST937</t>
  </si>
  <si>
    <t xml:space="preserve">CUST516</t>
  </si>
  <si>
    <t xml:space="preserve">CUST250</t>
  </si>
  <si>
    <t xml:space="preserve">CUST342</t>
  </si>
  <si>
    <t xml:space="preserve">CUST767</t>
  </si>
  <si>
    <t xml:space="preserve">CUST564</t>
  </si>
  <si>
    <t xml:space="preserve">CUST318</t>
  </si>
  <si>
    <t xml:space="preserve">CUST869</t>
  </si>
  <si>
    <t xml:space="preserve">CUST503</t>
  </si>
  <si>
    <t xml:space="preserve">CUST126</t>
  </si>
  <si>
    <t xml:space="preserve">CUST349</t>
  </si>
  <si>
    <t xml:space="preserve">CUST440</t>
  </si>
  <si>
    <t xml:space="preserve">CUST677</t>
  </si>
  <si>
    <t xml:space="preserve">CUST324</t>
  </si>
  <si>
    <t xml:space="preserve">CUST124</t>
  </si>
  <si>
    <t xml:space="preserve">CUST030</t>
  </si>
  <si>
    <t xml:space="preserve">CUST959</t>
  </si>
  <si>
    <t xml:space="preserve">CUST896</t>
  </si>
  <si>
    <t xml:space="preserve">CUST998</t>
  </si>
  <si>
    <t xml:space="preserve">CUST226</t>
  </si>
  <si>
    <t xml:space="preserve">CUST229</t>
  </si>
  <si>
    <t xml:space="preserve">CUST012</t>
  </si>
  <si>
    <t xml:space="preserve">CUST817</t>
  </si>
  <si>
    <t xml:space="preserve">CUST776</t>
  </si>
  <si>
    <t xml:space="preserve">CUST710</t>
  </si>
  <si>
    <t xml:space="preserve">CUST983</t>
  </si>
  <si>
    <t xml:space="preserve">CUST334</t>
  </si>
  <si>
    <t xml:space="preserve">CUST628</t>
  </si>
  <si>
    <t xml:space="preserve">CUST343</t>
  </si>
  <si>
    <t xml:space="preserve">CUST841</t>
  </si>
  <si>
    <t xml:space="preserve">CUST141</t>
  </si>
  <si>
    <t xml:space="preserve">CUST145</t>
  </si>
  <si>
    <t xml:space="preserve">CUST898</t>
  </si>
  <si>
    <t xml:space="preserve">CUST951</t>
  </si>
  <si>
    <t xml:space="preserve">CUST507</t>
  </si>
  <si>
    <t xml:space="preserve">CUST181</t>
  </si>
  <si>
    <t xml:space="preserve">CUST784</t>
  </si>
  <si>
    <t xml:space="preserve">CUST690</t>
  </si>
  <si>
    <t xml:space="preserve">CUST020</t>
  </si>
  <si>
    <t xml:space="preserve">CUST047</t>
  </si>
  <si>
    <t xml:space="preserve">CUST405</t>
  </si>
  <si>
    <t xml:space="preserve">CUST565</t>
  </si>
  <si>
    <t xml:space="preserve">CUST950</t>
  </si>
  <si>
    <t xml:space="preserve">CUST761</t>
  </si>
  <si>
    <t xml:space="preserve">CUST762</t>
  </si>
  <si>
    <t xml:space="preserve">CUST205</t>
  </si>
  <si>
    <t xml:space="preserve">CUST512</t>
  </si>
  <si>
    <t xml:space="preserve">CUST173</t>
  </si>
  <si>
    <t xml:space="preserve">CUST086</t>
  </si>
  <si>
    <t xml:space="preserve">CUST595</t>
  </si>
  <si>
    <t xml:space="preserve">CUST827</t>
  </si>
  <si>
    <t xml:space="preserve">CUST965</t>
  </si>
  <si>
    <t xml:space="preserve">CUST388</t>
  </si>
  <si>
    <t xml:space="preserve">CUST631</t>
  </si>
  <si>
    <t xml:space="preserve">CUST812</t>
  </si>
  <si>
    <t xml:space="preserve">CUST554</t>
  </si>
  <si>
    <t xml:space="preserve">CUST952</t>
  </si>
  <si>
    <t xml:space="preserve">CUST058</t>
  </si>
  <si>
    <t xml:space="preserve">CUST582</t>
  </si>
  <si>
    <t xml:space="preserve">CUST458</t>
  </si>
  <si>
    <t xml:space="preserve">CUST345</t>
  </si>
  <si>
    <t xml:space="preserve">CUST963</t>
  </si>
  <si>
    <t xml:space="preserve">CUST747</t>
  </si>
  <si>
    <t xml:space="preserve">CUST369</t>
  </si>
  <si>
    <t xml:space="preserve">CUST706</t>
  </si>
  <si>
    <t xml:space="preserve">CUST533</t>
  </si>
  <si>
    <t xml:space="preserve">CUST997</t>
  </si>
  <si>
    <t xml:space="preserve">CUST645</t>
  </si>
  <si>
    <t xml:space="preserve">CUST968</t>
  </si>
  <si>
    <t xml:space="preserve">CUST169</t>
  </si>
  <si>
    <t xml:space="preserve">CUST057</t>
  </si>
  <si>
    <t xml:space="preserve">CUST137</t>
  </si>
  <si>
    <t xml:space="preserve">CUST778</t>
  </si>
  <si>
    <t xml:space="preserve">CUST938</t>
  </si>
  <si>
    <t xml:space="preserve">CUST599</t>
  </si>
  <si>
    <t xml:space="preserve">CUST234</t>
  </si>
  <si>
    <t xml:space="preserve">CUST410</t>
  </si>
  <si>
    <t xml:space="preserve">CUST581</t>
  </si>
  <si>
    <t xml:space="preserve">CUST417</t>
  </si>
  <si>
    <t xml:space="preserve">CUST074</t>
  </si>
  <si>
    <t xml:space="preserve">CUST087</t>
  </si>
  <si>
    <t xml:space="preserve">CUST803</t>
  </si>
  <si>
    <t xml:space="preserve">CUST424</t>
  </si>
  <si>
    <t xml:space="preserve">CUST641</t>
  </si>
  <si>
    <t xml:space="preserve">CUST918</t>
  </si>
  <si>
    <t xml:space="preserve">CUST001</t>
  </si>
  <si>
    <t xml:space="preserve">CUST095</t>
  </si>
  <si>
    <t xml:space="preserve">CUST171</t>
  </si>
  <si>
    <t xml:space="preserve">CUST156</t>
  </si>
  <si>
    <t xml:space="preserve">CUST493</t>
  </si>
  <si>
    <t xml:space="preserve">CUST715</t>
  </si>
  <si>
    <t xml:space="preserve">CUST115</t>
  </si>
  <si>
    <t xml:space="preserve">CUST362</t>
  </si>
  <si>
    <t xml:space="preserve">CUST267</t>
  </si>
  <si>
    <t xml:space="preserve">CUST856</t>
  </si>
  <si>
    <t xml:space="preserve">CUST084</t>
  </si>
  <si>
    <t xml:space="preserve">CUST795</t>
  </si>
  <si>
    <t xml:space="preserve">CUST739</t>
  </si>
  <si>
    <t xml:space="preserve">CUST215</t>
  </si>
  <si>
    <t xml:space="preserve">CUST024</t>
  </si>
  <si>
    <t xml:space="preserve">CUST289</t>
  </si>
  <si>
    <t xml:space="preserve">CUST741</t>
  </si>
  <si>
    <t xml:space="preserve">CUST810</t>
  </si>
  <si>
    <t xml:space="preserve">CUST266</t>
  </si>
  <si>
    <t xml:space="preserve">CUST389</t>
  </si>
  <si>
    <t xml:space="preserve">CUST112</t>
  </si>
  <si>
    <t xml:space="preserve">CUST608</t>
  </si>
  <si>
    <t xml:space="preserve">CUST566</t>
  </si>
  <si>
    <t xml:space="preserve">CUST348</t>
  </si>
  <si>
    <t xml:space="preserve">CUST576</t>
  </si>
  <si>
    <t xml:space="preserve">CUST258</t>
  </si>
  <si>
    <t xml:space="preserve">CUST485</t>
  </si>
  <si>
    <t xml:space="preserve">CUST199</t>
  </si>
  <si>
    <t xml:space="preserve">CUST311</t>
  </si>
  <si>
    <t xml:space="preserve">CUST999</t>
  </si>
  <si>
    <t xml:space="preserve">CUST065</t>
  </si>
  <si>
    <t xml:space="preserve">CUST971</t>
  </si>
  <si>
    <t xml:space="preserve">CUST791</t>
  </si>
  <si>
    <t xml:space="preserve">CUST868</t>
  </si>
  <si>
    <t xml:space="preserve">CUST535</t>
  </si>
  <si>
    <t xml:space="preserve">CUST580</t>
  </si>
  <si>
    <t xml:space="preserve">CUST395</t>
  </si>
  <si>
    <t xml:space="preserve">CUST712</t>
  </si>
  <si>
    <t xml:space="preserve">CUST531</t>
  </si>
  <si>
    <t xml:space="preserve">CUST550</t>
  </si>
  <si>
    <t xml:space="preserve">CUST453</t>
  </si>
  <si>
    <t xml:space="preserve">CUST625</t>
  </si>
  <si>
    <t xml:space="preserve">CUST392</t>
  </si>
  <si>
    <t xml:space="preserve">CUST540</t>
  </si>
  <si>
    <t xml:space="preserve">CUST468</t>
  </si>
  <si>
    <t xml:space="preserve">CUST355</t>
  </si>
  <si>
    <t xml:space="preserve">CUST828</t>
  </si>
  <si>
    <t xml:space="preserve">CUST244</t>
  </si>
  <si>
    <t xml:space="preserve">CUST752</t>
  </si>
  <si>
    <t xml:space="preserve">CUST700</t>
  </si>
  <si>
    <t xml:space="preserve">CUST080</t>
  </si>
  <si>
    <t xml:space="preserve">CUST214</t>
  </si>
  <si>
    <t xml:space="preserve">CUST361</t>
  </si>
  <si>
    <t xml:space="preserve">CUST526</t>
  </si>
  <si>
    <t xml:space="preserve">CUST586</t>
  </si>
  <si>
    <t xml:space="preserve">CUST265</t>
  </si>
  <si>
    <t xml:space="preserve">CUST336</t>
  </si>
  <si>
    <t xml:space="preserve">CUST571</t>
  </si>
  <si>
    <t xml:space="preserve">CUST771</t>
  </si>
  <si>
    <t xml:space="preserve">CUST009</t>
  </si>
  <si>
    <t xml:space="preserve">CUST552</t>
  </si>
  <si>
    <t xml:space="preserve">CUST701</t>
  </si>
  <si>
    <t xml:space="preserve">CUST496</t>
  </si>
  <si>
    <t xml:space="preserve">CUST139</t>
  </si>
  <si>
    <t xml:space="preserve">CUST151</t>
  </si>
  <si>
    <t xml:space="preserve">CUST083</t>
  </si>
  <si>
    <t xml:space="preserve">CUST153</t>
  </si>
  <si>
    <t xml:space="preserve">CUST451</t>
  </si>
  <si>
    <t xml:space="preserve">CUST783</t>
  </si>
  <si>
    <t xml:space="preserve">CUST099</t>
  </si>
  <si>
    <t xml:space="preserve">CUST525</t>
  </si>
  <si>
    <t xml:space="preserve">CUST994</t>
  </si>
  <si>
    <t xml:space="preserve">CUST409</t>
  </si>
  <si>
    <t xml:space="preserve">CUST939</t>
  </si>
  <si>
    <t xml:space="preserve">CUST096</t>
  </si>
  <si>
    <t xml:space="preserve">CUST982</t>
  </si>
  <si>
    <t xml:space="preserve">CUST609</t>
  </si>
  <si>
    <t xml:space="preserve">CUST777</t>
  </si>
  <si>
    <t xml:space="preserve">CUST209</t>
  </si>
  <si>
    <t xml:space="preserve">CUST890</t>
  </si>
  <si>
    <t xml:space="preserve">CUST435</t>
  </si>
  <si>
    <t xml:space="preserve">CUST854</t>
  </si>
  <si>
    <t xml:space="preserve">CUST865</t>
  </si>
  <si>
    <t xml:space="preserve">CUST662</t>
  </si>
  <si>
    <t xml:space="preserve">CUST678</t>
  </si>
  <si>
    <t xml:space="preserve">CUST615</t>
  </si>
  <si>
    <t xml:space="preserve">CUST602</t>
  </si>
  <si>
    <t xml:space="preserve">CUST544</t>
  </si>
  <si>
    <t xml:space="preserve">CUST781</t>
  </si>
  <si>
    <t xml:space="preserve">CUST309</t>
  </si>
  <si>
    <t xml:space="preserve">CUST034</t>
  </si>
  <si>
    <t xml:space="preserve">CUST916</t>
  </si>
  <si>
    <t xml:space="preserve">CUST757</t>
  </si>
  <si>
    <t xml:space="preserve">CUST082</t>
  </si>
  <si>
    <t xml:space="preserve">CUST025</t>
  </si>
  <si>
    <t xml:space="preserve">CUST842</t>
  </si>
  <si>
    <t xml:space="preserve">CUST472</t>
  </si>
  <si>
    <t xml:space="preserve">CUST991</t>
  </si>
  <si>
    <t xml:space="preserve">CUST879</t>
  </si>
  <si>
    <t xml:space="preserve">CUST062</t>
  </si>
  <si>
    <t xml:space="preserve">CUST386</t>
  </si>
  <si>
    <t xml:space="preserve">CUST989</t>
  </si>
  <si>
    <t xml:space="preserve">CUST664</t>
  </si>
  <si>
    <t xml:space="preserve">CUST429</t>
  </si>
  <si>
    <t xml:space="preserve">CUST908</t>
  </si>
  <si>
    <t xml:space="preserve">CUST520</t>
  </si>
  <si>
    <t xml:space="preserve">CUST233</t>
  </si>
  <si>
    <t xml:space="preserve">CUST805</t>
  </si>
  <si>
    <t xml:space="preserve">CUST857</t>
  </si>
  <si>
    <t xml:space="preserve">CUST211</t>
  </si>
  <si>
    <t xml:space="preserve">CUST650</t>
  </si>
  <si>
    <t xml:space="preserve">Daily Sales Summary</t>
  </si>
  <si>
    <t xml:space="preserve">Auto-calculated from Raw Entries via SUMIFS / COUNTIFS. Do not type values into columns B:E.</t>
  </si>
  <si>
    <t xml:space="preserve">Total Sales</t>
  </si>
  <si>
    <t xml:space="preserve">Total Transactions</t>
  </si>
  <si>
    <t xml:space="preserve">Total Quantity Sold</t>
  </si>
  <si>
    <t xml:space="preserve">Avg Sale Value</t>
  </si>
  <si>
    <t xml:space="preserve">Grand Total</t>
  </si>
  <si>
    <t xml:space="preserve">Weekly Sales Summary (Monday–Sunday)</t>
  </si>
  <si>
    <t xml:space="preserve">Auto-calculated from Raw Entries via SUMIFS with a date-range condition.</t>
  </si>
  <si>
    <t xml:space="preserve">Week Start</t>
  </si>
  <si>
    <t xml:space="preserve">Week End</t>
  </si>
  <si>
    <t xml:space="preserve">Monthly Sales Summary</t>
  </si>
  <si>
    <t xml:space="preserve">Auto-calculated from Raw Entries via SUMIFS with a month-range condition.</t>
  </si>
  <si>
    <t xml:space="preserve">Month</t>
  </si>
  <si>
    <t xml:space="preserve">Month Start</t>
  </si>
  <si>
    <t xml:space="preserve">Month End</t>
  </si>
  <si>
    <t xml:space="preserve">Avg Transaction Value</t>
  </si>
  <si>
    <t xml:space="preserve">Jan 2023</t>
  </si>
  <si>
    <t xml:space="preserve">Feb 2023</t>
  </si>
  <si>
    <t xml:space="preserve">Mar 2023</t>
  </si>
  <si>
    <t xml:space="preserve">Apr 2023</t>
  </si>
  <si>
    <t xml:space="preserve">May 2023</t>
  </si>
  <si>
    <t xml:space="preserve">Jun 2023</t>
  </si>
  <si>
    <t xml:space="preserve">Jul 2023</t>
  </si>
  <si>
    <t xml:space="preserve">Aug 2023</t>
  </si>
  <si>
    <t xml:space="preserve">Sep 2023</t>
  </si>
  <si>
    <t xml:space="preserve">Oct 2023</t>
  </si>
  <si>
    <t xml:space="preserve">Nov 2023</t>
  </si>
  <si>
    <t xml:space="preserve">Dec 2023</t>
  </si>
  <si>
    <t xml:space="preserve">Jan 2024</t>
  </si>
  <si>
    <t xml:space="preserve">Manual Verification / QA Check</t>
  </si>
  <si>
    <t xml:space="preserve">Three totals were recomputed independently in Python (outside the spreadsheet) and compared to the sheet's own formulas, to confirm the SUMIFS/COUNTIFS logic is correct.</t>
  </si>
  <si>
    <t xml:space="preserve">Check</t>
  </si>
  <si>
    <t xml:space="preserve">Period</t>
  </si>
  <si>
    <t xml:space="preserve">Manual Total (Python)</t>
  </si>
  <si>
    <t xml:space="preserve">Sheet Formula Total</t>
  </si>
  <si>
    <t xml:space="preserve">Match?</t>
  </si>
  <si>
    <t xml:space="preserve">Manual Txn Count</t>
  </si>
  <si>
    <t xml:space="preserve">Daily total</t>
  </si>
  <si>
    <t xml:space="preserve">2023-06-30</t>
  </si>
  <si>
    <t xml:space="preserve">Weekly total</t>
  </si>
  <si>
    <t xml:space="preserve">2023-07-03 to 2023-07-09</t>
  </si>
  <si>
    <t xml:space="preserve">Monthly total</t>
  </si>
  <si>
    <t xml:space="preserve">Note: 'Manual Total (Python)' was computed by filtering the raw CSV directly with pandas, independent of any spreadsheet formula, then compared to the live sheet formula above. All three checks returned MATCH.</t>
  </si>
</sst>
</file>

<file path=xl/styles.xml><?xml version="1.0" encoding="utf-8"?>
<styleSheet xmlns="http://schemas.openxmlformats.org/spreadsheetml/2006/main">
  <numFmts count="3">
    <numFmt numFmtId="164" formatCode="General"/>
    <numFmt numFmtId="165" formatCode="yyyy\-mm\-dd"/>
    <numFmt numFmtId="166"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55555"/>
      <name val="Arial"/>
      <family val="0"/>
      <charset val="1"/>
    </font>
    <font>
      <sz val="10"/>
      <name val="Arial"/>
      <family val="0"/>
      <charset val="1"/>
    </font>
    <font>
      <b val="true"/>
      <sz val="10"/>
      <name val="Arial"/>
      <family val="0"/>
      <charset val="1"/>
    </font>
    <font>
      <b val="true"/>
      <sz val="11"/>
      <color rgb="FFFFFFFF"/>
      <name val="Arial"/>
      <family val="0"/>
      <charset val="1"/>
    </font>
    <font>
      <i val="true"/>
      <sz val="9"/>
      <color rgb="FF777777"/>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3"/>
    </row>
    <row r="5" customFormat="false" ht="15" hidden="false" customHeight="false" outlineLevel="0" collapsed="false">
      <c r="A5" s="3" t="s">
        <v>2</v>
      </c>
      <c r="B5" s="3" t="s">
        <v>3</v>
      </c>
    </row>
    <row r="6" customFormat="false" ht="23.85" hidden="false" customHeight="false" outlineLevel="0" collapsed="false">
      <c r="A6" s="3" t="s">
        <v>4</v>
      </c>
      <c r="B6" s="3" t="s">
        <v>5</v>
      </c>
    </row>
    <row r="7" customFormat="false" ht="23.85" hidden="false" customHeight="false" outlineLevel="0" collapsed="false">
      <c r="A7" s="3" t="s">
        <v>6</v>
      </c>
      <c r="B7" s="3" t="s">
        <v>7</v>
      </c>
    </row>
    <row r="8" customFormat="false" ht="15" hidden="false" customHeight="false" outlineLevel="0" collapsed="false">
      <c r="A8" s="3" t="s">
        <v>8</v>
      </c>
      <c r="B8" s="3" t="s">
        <v>9</v>
      </c>
    </row>
    <row r="9" customFormat="false" ht="15" hidden="false" customHeight="false" outlineLevel="0" collapsed="false">
      <c r="A9" s="3" t="s">
        <v>10</v>
      </c>
      <c r="B9" s="3" t="s">
        <v>11</v>
      </c>
    </row>
    <row r="10" customFormat="false" ht="15" hidden="false" customHeight="false" outlineLevel="0" collapsed="false">
      <c r="A10" s="3" t="s">
        <v>12</v>
      </c>
      <c r="B10" s="3" t="s">
        <v>13</v>
      </c>
    </row>
    <row r="11" customFormat="false" ht="15" hidden="false" customHeight="false" outlineLevel="0" collapsed="false">
      <c r="A11" s="3"/>
      <c r="B11" s="3"/>
    </row>
    <row r="12" customFormat="false" ht="23.85" hidden="false" customHeight="false" outlineLevel="0" collapsed="false">
      <c r="A12" s="4" t="s">
        <v>14</v>
      </c>
      <c r="B12" s="3"/>
    </row>
    <row r="13" customFormat="false" ht="23.85" hidden="false" customHeight="false" outlineLevel="0" collapsed="false">
      <c r="A13" s="3" t="s">
        <v>15</v>
      </c>
      <c r="B13" s="3" t="s">
        <v>16</v>
      </c>
    </row>
    <row r="14" customFormat="false" ht="15" hidden="false" customHeight="false" outlineLevel="0" collapsed="false">
      <c r="A14" s="3" t="s">
        <v>17</v>
      </c>
      <c r="B14" s="3" t="s">
        <v>18</v>
      </c>
    </row>
    <row r="15" customFormat="false" ht="15" hidden="false" customHeight="false" outlineLevel="0" collapsed="false">
      <c r="A15" s="3" t="s">
        <v>19</v>
      </c>
      <c r="B15" s="3" t="s">
        <v>20</v>
      </c>
    </row>
    <row r="16" customFormat="false" ht="15" hidden="false" customHeight="false" outlineLevel="0" collapsed="false">
      <c r="A16" s="3" t="s">
        <v>21</v>
      </c>
      <c r="B16" s="3" t="s">
        <v>22</v>
      </c>
    </row>
    <row r="17" customFormat="false" ht="15" hidden="false" customHeight="false" outlineLevel="0" collapsed="false">
      <c r="A17" s="3" t="s">
        <v>23</v>
      </c>
      <c r="B17" s="3" t="s">
        <v>24</v>
      </c>
    </row>
    <row r="18" customFormat="false" ht="15" hidden="false" customHeight="false" outlineLevel="0" collapsed="false">
      <c r="A18" s="3" t="s">
        <v>25</v>
      </c>
      <c r="B18" s="3" t="s">
        <v>26</v>
      </c>
    </row>
    <row r="19" customFormat="false" ht="15" hidden="false" customHeight="false" outlineLevel="0" collapsed="false">
      <c r="A19" s="3"/>
      <c r="B19" s="3"/>
    </row>
    <row r="20" customFormat="false" ht="15" hidden="false" customHeight="false" outlineLevel="0" collapsed="false">
      <c r="A20" s="4" t="s">
        <v>27</v>
      </c>
      <c r="B20" s="3"/>
    </row>
    <row r="21" customFormat="false" ht="23.85" hidden="false" customHeight="false" outlineLevel="0" collapsed="false">
      <c r="A21" s="3" t="s">
        <v>28</v>
      </c>
      <c r="B21" s="3" t="s">
        <v>29</v>
      </c>
    </row>
    <row r="22" customFormat="false" ht="23.85" hidden="false" customHeight="false" outlineLevel="0" collapsed="false">
      <c r="A22" s="3" t="s">
        <v>28</v>
      </c>
      <c r="B22" s="3" t="s">
        <v>30</v>
      </c>
    </row>
    <row r="23" customFormat="false" ht="15" hidden="false" customHeight="false" outlineLevel="0" collapsed="false">
      <c r="A23" s="3" t="s">
        <v>28</v>
      </c>
      <c r="B23" s="3" t="s">
        <v>31</v>
      </c>
    </row>
    <row r="24" customFormat="false" ht="15" hidden="false" customHeight="false" outlineLevel="0" collapsed="false">
      <c r="A24" s="3"/>
      <c r="B24" s="3"/>
    </row>
    <row r="25" customFormat="false" ht="23.85" hidden="false" customHeight="false" outlineLevel="0" collapsed="false">
      <c r="A25" s="3" t="s">
        <v>32</v>
      </c>
      <c r="B25" s="3"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13"/>
    <col collapsed="false" customWidth="true" hidden="false" outlineLevel="0" max="4" min="4" style="0" width="10"/>
    <col collapsed="false" customWidth="true" hidden="false" outlineLevel="0" max="5" min="5" style="0" width="7"/>
    <col collapsed="false" customWidth="true" hidden="false" outlineLevel="0" max="6" min="6" style="0" width="16"/>
    <col collapsed="false" customWidth="true" hidden="false" outlineLevel="0" max="7" min="7" style="0" width="10"/>
    <col collapsed="false" customWidth="true" hidden="false" outlineLevel="0" max="9" min="8" style="0" width="14"/>
  </cols>
  <sheetData>
    <row r="1" customFormat="false" ht="21.75" hidden="false" customHeight="true" outlineLevel="0" collapsed="false">
      <c r="A1" s="5" t="s">
        <v>34</v>
      </c>
      <c r="B1" s="5" t="s">
        <v>35</v>
      </c>
      <c r="C1" s="5" t="s">
        <v>36</v>
      </c>
      <c r="D1" s="5" t="s">
        <v>37</v>
      </c>
      <c r="E1" s="5" t="s">
        <v>38</v>
      </c>
      <c r="F1" s="5" t="s">
        <v>39</v>
      </c>
      <c r="G1" s="5" t="s">
        <v>40</v>
      </c>
      <c r="H1" s="5" t="s">
        <v>41</v>
      </c>
      <c r="I1" s="5" t="s">
        <v>42</v>
      </c>
    </row>
    <row r="2" customFormat="false" ht="15" hidden="false" customHeight="false" outlineLevel="0" collapsed="false">
      <c r="A2" s="6" t="n">
        <v>522</v>
      </c>
      <c r="B2" s="7" t="n">
        <v>44927</v>
      </c>
      <c r="C2" s="6" t="s">
        <v>43</v>
      </c>
      <c r="D2" s="6" t="s">
        <v>44</v>
      </c>
      <c r="E2" s="6" t="n">
        <v>46</v>
      </c>
      <c r="F2" s="6" t="s">
        <v>45</v>
      </c>
      <c r="G2" s="6" t="n">
        <v>3</v>
      </c>
      <c r="H2" s="8" t="n">
        <v>500</v>
      </c>
      <c r="I2" s="8" t="n">
        <f aca="false">G2*H2</f>
        <v>1500</v>
      </c>
    </row>
    <row r="3" customFormat="false" ht="15" hidden="false" customHeight="false" outlineLevel="0" collapsed="false">
      <c r="A3" s="6" t="n">
        <v>180</v>
      </c>
      <c r="B3" s="7" t="n">
        <v>44927</v>
      </c>
      <c r="C3" s="6" t="s">
        <v>46</v>
      </c>
      <c r="D3" s="6" t="s">
        <v>44</v>
      </c>
      <c r="E3" s="6" t="n">
        <v>41</v>
      </c>
      <c r="F3" s="6" t="s">
        <v>47</v>
      </c>
      <c r="G3" s="6" t="n">
        <v>3</v>
      </c>
      <c r="H3" s="8" t="n">
        <v>300</v>
      </c>
      <c r="I3" s="8" t="n">
        <f aca="false">G3*H3</f>
        <v>900</v>
      </c>
    </row>
    <row r="4" customFormat="false" ht="15" hidden="false" customHeight="false" outlineLevel="0" collapsed="false">
      <c r="A4" s="6" t="n">
        <v>559</v>
      </c>
      <c r="B4" s="7" t="n">
        <v>44927</v>
      </c>
      <c r="C4" s="6" t="s">
        <v>48</v>
      </c>
      <c r="D4" s="6" t="s">
        <v>49</v>
      </c>
      <c r="E4" s="6" t="n">
        <v>40</v>
      </c>
      <c r="F4" s="6" t="s">
        <v>47</v>
      </c>
      <c r="G4" s="6" t="n">
        <v>4</v>
      </c>
      <c r="H4" s="8" t="n">
        <v>300</v>
      </c>
      <c r="I4" s="8" t="n">
        <f aca="false">G4*H4</f>
        <v>1200</v>
      </c>
    </row>
    <row r="5" customFormat="false" ht="15" hidden="false" customHeight="false" outlineLevel="0" collapsed="false">
      <c r="A5" s="6" t="n">
        <v>303</v>
      </c>
      <c r="B5" s="7" t="n">
        <v>44928</v>
      </c>
      <c r="C5" s="6" t="s">
        <v>50</v>
      </c>
      <c r="D5" s="6" t="s">
        <v>44</v>
      </c>
      <c r="E5" s="6" t="n">
        <v>19</v>
      </c>
      <c r="F5" s="6" t="s">
        <v>51</v>
      </c>
      <c r="G5" s="6" t="n">
        <v>3</v>
      </c>
      <c r="H5" s="8" t="n">
        <v>30</v>
      </c>
      <c r="I5" s="8" t="n">
        <f aca="false">G5*H5</f>
        <v>90</v>
      </c>
    </row>
    <row r="6" customFormat="false" ht="15" hidden="false" customHeight="false" outlineLevel="0" collapsed="false">
      <c r="A6" s="6" t="n">
        <v>979</v>
      </c>
      <c r="B6" s="7" t="n">
        <v>44928</v>
      </c>
      <c r="C6" s="6" t="s">
        <v>52</v>
      </c>
      <c r="D6" s="6" t="s">
        <v>49</v>
      </c>
      <c r="E6" s="6" t="n">
        <v>19</v>
      </c>
      <c r="F6" s="6" t="s">
        <v>45</v>
      </c>
      <c r="G6" s="6" t="n">
        <v>1</v>
      </c>
      <c r="H6" s="8" t="n">
        <v>25</v>
      </c>
      <c r="I6" s="8" t="n">
        <f aca="false">G6*H6</f>
        <v>25</v>
      </c>
    </row>
    <row r="7" customFormat="false" ht="15" hidden="false" customHeight="false" outlineLevel="0" collapsed="false">
      <c r="A7" s="6" t="n">
        <v>163</v>
      </c>
      <c r="B7" s="7" t="n">
        <v>44928</v>
      </c>
      <c r="C7" s="6" t="s">
        <v>53</v>
      </c>
      <c r="D7" s="6" t="s">
        <v>49</v>
      </c>
      <c r="E7" s="6" t="n">
        <v>64</v>
      </c>
      <c r="F7" s="6" t="s">
        <v>47</v>
      </c>
      <c r="G7" s="6" t="n">
        <v>3</v>
      </c>
      <c r="H7" s="8" t="n">
        <v>50</v>
      </c>
      <c r="I7" s="8" t="n">
        <f aca="false">G7*H7</f>
        <v>150</v>
      </c>
    </row>
    <row r="8" customFormat="false" ht="15" hidden="false" customHeight="false" outlineLevel="0" collapsed="false">
      <c r="A8" s="6" t="n">
        <v>421</v>
      </c>
      <c r="B8" s="7" t="n">
        <v>44928</v>
      </c>
      <c r="C8" s="6" t="s">
        <v>54</v>
      </c>
      <c r="D8" s="6" t="s">
        <v>49</v>
      </c>
      <c r="E8" s="6" t="n">
        <v>37</v>
      </c>
      <c r="F8" s="6" t="s">
        <v>47</v>
      </c>
      <c r="G8" s="6" t="n">
        <v>3</v>
      </c>
      <c r="H8" s="8" t="n">
        <v>500</v>
      </c>
      <c r="I8" s="8" t="n">
        <f aca="false">G8*H8</f>
        <v>1500</v>
      </c>
    </row>
    <row r="9" customFormat="false" ht="15" hidden="false" customHeight="false" outlineLevel="0" collapsed="false">
      <c r="A9" s="6" t="n">
        <v>610</v>
      </c>
      <c r="B9" s="7" t="n">
        <v>44929</v>
      </c>
      <c r="C9" s="6" t="s">
        <v>55</v>
      </c>
      <c r="D9" s="6" t="s">
        <v>49</v>
      </c>
      <c r="E9" s="6" t="n">
        <v>26</v>
      </c>
      <c r="F9" s="6" t="s">
        <v>45</v>
      </c>
      <c r="G9" s="6" t="n">
        <v>2</v>
      </c>
      <c r="H9" s="8" t="n">
        <v>300</v>
      </c>
      <c r="I9" s="8" t="n">
        <f aca="false">G9*H9</f>
        <v>600</v>
      </c>
    </row>
    <row r="10" customFormat="false" ht="15" hidden="false" customHeight="false" outlineLevel="0" collapsed="false">
      <c r="A10" s="6" t="n">
        <v>683</v>
      </c>
      <c r="B10" s="7" t="n">
        <v>44930</v>
      </c>
      <c r="C10" s="6" t="s">
        <v>56</v>
      </c>
      <c r="D10" s="6" t="s">
        <v>44</v>
      </c>
      <c r="E10" s="6" t="n">
        <v>38</v>
      </c>
      <c r="F10" s="6" t="s">
        <v>45</v>
      </c>
      <c r="G10" s="6" t="n">
        <v>2</v>
      </c>
      <c r="H10" s="8" t="n">
        <v>500</v>
      </c>
      <c r="I10" s="8" t="n">
        <f aca="false">G10*H10</f>
        <v>1000</v>
      </c>
    </row>
    <row r="11" customFormat="false" ht="15" hidden="false" customHeight="false" outlineLevel="0" collapsed="false">
      <c r="A11" s="6" t="n">
        <v>231</v>
      </c>
      <c r="B11" s="7" t="n">
        <v>44930</v>
      </c>
      <c r="C11" s="6" t="s">
        <v>57</v>
      </c>
      <c r="D11" s="6" t="s">
        <v>49</v>
      </c>
      <c r="E11" s="6" t="n">
        <v>23</v>
      </c>
      <c r="F11" s="6" t="s">
        <v>47</v>
      </c>
      <c r="G11" s="6" t="n">
        <v>3</v>
      </c>
      <c r="H11" s="8" t="n">
        <v>50</v>
      </c>
      <c r="I11" s="8" t="n">
        <f aca="false">G11*H11</f>
        <v>150</v>
      </c>
    </row>
    <row r="12" customFormat="false" ht="15" hidden="false" customHeight="false" outlineLevel="0" collapsed="false">
      <c r="A12" s="6" t="n">
        <v>32</v>
      </c>
      <c r="B12" s="7" t="n">
        <v>44930</v>
      </c>
      <c r="C12" s="6" t="s">
        <v>58</v>
      </c>
      <c r="D12" s="6" t="s">
        <v>44</v>
      </c>
      <c r="E12" s="6" t="n">
        <v>30</v>
      </c>
      <c r="F12" s="6" t="s">
        <v>45</v>
      </c>
      <c r="G12" s="6" t="n">
        <v>3</v>
      </c>
      <c r="H12" s="8" t="n">
        <v>30</v>
      </c>
      <c r="I12" s="8" t="n">
        <f aca="false">G12*H12</f>
        <v>90</v>
      </c>
    </row>
    <row r="13" customFormat="false" ht="15" hidden="false" customHeight="false" outlineLevel="0" collapsed="false">
      <c r="A13" s="6" t="n">
        <v>391</v>
      </c>
      <c r="B13" s="7" t="n">
        <v>44931</v>
      </c>
      <c r="C13" s="6" t="s">
        <v>59</v>
      </c>
      <c r="D13" s="6" t="s">
        <v>44</v>
      </c>
      <c r="E13" s="6" t="n">
        <v>19</v>
      </c>
      <c r="F13" s="6" t="s">
        <v>45</v>
      </c>
      <c r="G13" s="6" t="n">
        <v>2</v>
      </c>
      <c r="H13" s="8" t="n">
        <v>25</v>
      </c>
      <c r="I13" s="8" t="n">
        <f aca="false">G13*H13</f>
        <v>50</v>
      </c>
    </row>
    <row r="14" customFormat="false" ht="15" hidden="false" customHeight="false" outlineLevel="0" collapsed="false">
      <c r="A14" s="6" t="n">
        <v>367</v>
      </c>
      <c r="B14" s="7" t="n">
        <v>44931</v>
      </c>
      <c r="C14" s="6" t="s">
        <v>60</v>
      </c>
      <c r="D14" s="6" t="s">
        <v>49</v>
      </c>
      <c r="E14" s="6" t="n">
        <v>57</v>
      </c>
      <c r="F14" s="6" t="s">
        <v>51</v>
      </c>
      <c r="G14" s="6" t="n">
        <v>1</v>
      </c>
      <c r="H14" s="8" t="n">
        <v>50</v>
      </c>
      <c r="I14" s="8" t="n">
        <f aca="false">G14*H14</f>
        <v>50</v>
      </c>
    </row>
    <row r="15" customFormat="false" ht="15" hidden="false" customHeight="false" outlineLevel="0" collapsed="false">
      <c r="A15" s="6" t="n">
        <v>432</v>
      </c>
      <c r="B15" s="7" t="n">
        <v>44931</v>
      </c>
      <c r="C15" s="6" t="s">
        <v>61</v>
      </c>
      <c r="D15" s="6" t="s">
        <v>49</v>
      </c>
      <c r="E15" s="6" t="n">
        <v>60</v>
      </c>
      <c r="F15" s="6" t="s">
        <v>51</v>
      </c>
      <c r="G15" s="6" t="n">
        <v>2</v>
      </c>
      <c r="H15" s="8" t="n">
        <v>500</v>
      </c>
      <c r="I15" s="8" t="n">
        <f aca="false">G15*H15</f>
        <v>1000</v>
      </c>
    </row>
    <row r="16" customFormat="false" ht="15" hidden="false" customHeight="false" outlineLevel="0" collapsed="false">
      <c r="A16" s="6" t="n">
        <v>150</v>
      </c>
      <c r="B16" s="7" t="n">
        <v>44932</v>
      </c>
      <c r="C16" s="6" t="s">
        <v>62</v>
      </c>
      <c r="D16" s="6" t="s">
        <v>49</v>
      </c>
      <c r="E16" s="6" t="n">
        <v>58</v>
      </c>
      <c r="F16" s="6" t="s">
        <v>51</v>
      </c>
      <c r="G16" s="6" t="n">
        <v>4</v>
      </c>
      <c r="H16" s="8" t="n">
        <v>30</v>
      </c>
      <c r="I16" s="8" t="n">
        <f aca="false">G16*H16</f>
        <v>120</v>
      </c>
    </row>
    <row r="17" customFormat="false" ht="15" hidden="false" customHeight="false" outlineLevel="0" collapsed="false">
      <c r="A17" s="6" t="n">
        <v>845</v>
      </c>
      <c r="B17" s="7" t="n">
        <v>44932</v>
      </c>
      <c r="C17" s="6" t="s">
        <v>63</v>
      </c>
      <c r="D17" s="6" t="s">
        <v>44</v>
      </c>
      <c r="E17" s="6" t="n">
        <v>54</v>
      </c>
      <c r="F17" s="6" t="s">
        <v>47</v>
      </c>
      <c r="G17" s="6" t="n">
        <v>1</v>
      </c>
      <c r="H17" s="8" t="n">
        <v>500</v>
      </c>
      <c r="I17" s="8" t="n">
        <f aca="false">G17*H17</f>
        <v>500</v>
      </c>
    </row>
    <row r="18" customFormat="false" ht="15" hidden="false" customHeight="false" outlineLevel="0" collapsed="false">
      <c r="A18" s="6" t="n">
        <v>921</v>
      </c>
      <c r="B18" s="7" t="n">
        <v>44933</v>
      </c>
      <c r="C18" s="6" t="s">
        <v>64</v>
      </c>
      <c r="D18" s="6" t="s">
        <v>44</v>
      </c>
      <c r="E18" s="6" t="n">
        <v>51</v>
      </c>
      <c r="F18" s="6" t="s">
        <v>51</v>
      </c>
      <c r="G18" s="6" t="n">
        <v>3</v>
      </c>
      <c r="H18" s="8" t="n">
        <v>25</v>
      </c>
      <c r="I18" s="8" t="n">
        <f aca="false">G18*H18</f>
        <v>75</v>
      </c>
    </row>
    <row r="19" customFormat="false" ht="15" hidden="false" customHeight="false" outlineLevel="0" collapsed="false">
      <c r="A19" s="6" t="n">
        <v>797</v>
      </c>
      <c r="B19" s="7" t="n">
        <v>44933</v>
      </c>
      <c r="C19" s="6" t="s">
        <v>65</v>
      </c>
      <c r="D19" s="6" t="s">
        <v>44</v>
      </c>
      <c r="E19" s="6" t="n">
        <v>40</v>
      </c>
      <c r="F19" s="6" t="s">
        <v>47</v>
      </c>
      <c r="G19" s="6" t="n">
        <v>3</v>
      </c>
      <c r="H19" s="8" t="n">
        <v>25</v>
      </c>
      <c r="I19" s="8" t="n">
        <f aca="false">G19*H19</f>
        <v>75</v>
      </c>
    </row>
    <row r="20" customFormat="false" ht="15" hidden="false" customHeight="false" outlineLevel="0" collapsed="false">
      <c r="A20" s="6" t="n">
        <v>291</v>
      </c>
      <c r="B20" s="7" t="n">
        <v>44934</v>
      </c>
      <c r="C20" s="6" t="s">
        <v>66</v>
      </c>
      <c r="D20" s="6" t="s">
        <v>44</v>
      </c>
      <c r="E20" s="6" t="n">
        <v>60</v>
      </c>
      <c r="F20" s="6" t="s">
        <v>47</v>
      </c>
      <c r="G20" s="6" t="n">
        <v>2</v>
      </c>
      <c r="H20" s="8" t="n">
        <v>300</v>
      </c>
      <c r="I20" s="8" t="n">
        <f aca="false">G20*H20</f>
        <v>600</v>
      </c>
    </row>
    <row r="21" customFormat="false" ht="15" hidden="false" customHeight="false" outlineLevel="0" collapsed="false">
      <c r="A21" s="6" t="n">
        <v>907</v>
      </c>
      <c r="B21" s="7" t="n">
        <v>44934</v>
      </c>
      <c r="C21" s="6" t="s">
        <v>67</v>
      </c>
      <c r="D21" s="6" t="s">
        <v>49</v>
      </c>
      <c r="E21" s="6" t="n">
        <v>45</v>
      </c>
      <c r="F21" s="6" t="s">
        <v>51</v>
      </c>
      <c r="G21" s="6" t="n">
        <v>1</v>
      </c>
      <c r="H21" s="8" t="n">
        <v>25</v>
      </c>
      <c r="I21" s="8" t="n">
        <f aca="false">G21*H21</f>
        <v>25</v>
      </c>
    </row>
    <row r="22" customFormat="false" ht="15" hidden="false" customHeight="false" outlineLevel="0" collapsed="false">
      <c r="A22" s="6" t="n">
        <v>860</v>
      </c>
      <c r="B22" s="7" t="n">
        <v>44935</v>
      </c>
      <c r="C22" s="6" t="s">
        <v>68</v>
      </c>
      <c r="D22" s="6" t="s">
        <v>44</v>
      </c>
      <c r="E22" s="6" t="n">
        <v>63</v>
      </c>
      <c r="F22" s="6" t="s">
        <v>47</v>
      </c>
      <c r="G22" s="6" t="n">
        <v>4</v>
      </c>
      <c r="H22" s="8" t="n">
        <v>50</v>
      </c>
      <c r="I22" s="8" t="n">
        <f aca="false">G22*H22</f>
        <v>200</v>
      </c>
    </row>
    <row r="23" customFormat="false" ht="15" hidden="false" customHeight="false" outlineLevel="0" collapsed="false">
      <c r="A23" s="6" t="n">
        <v>734</v>
      </c>
      <c r="B23" s="7" t="n">
        <v>44936</v>
      </c>
      <c r="C23" s="6" t="s">
        <v>69</v>
      </c>
      <c r="D23" s="6" t="s">
        <v>49</v>
      </c>
      <c r="E23" s="6" t="n">
        <v>27</v>
      </c>
      <c r="F23" s="6" t="s">
        <v>47</v>
      </c>
      <c r="G23" s="6" t="n">
        <v>1</v>
      </c>
      <c r="H23" s="8" t="n">
        <v>30</v>
      </c>
      <c r="I23" s="8" t="n">
        <f aca="false">G23*H23</f>
        <v>30</v>
      </c>
    </row>
    <row r="24" customFormat="false" ht="15" hidden="false" customHeight="false" outlineLevel="0" collapsed="false">
      <c r="A24" s="6" t="n">
        <v>184</v>
      </c>
      <c r="B24" s="7" t="n">
        <v>44936</v>
      </c>
      <c r="C24" s="6" t="s">
        <v>70</v>
      </c>
      <c r="D24" s="6" t="s">
        <v>44</v>
      </c>
      <c r="E24" s="6" t="n">
        <v>31</v>
      </c>
      <c r="F24" s="6" t="s">
        <v>51</v>
      </c>
      <c r="G24" s="6" t="n">
        <v>4</v>
      </c>
      <c r="H24" s="8" t="n">
        <v>50</v>
      </c>
      <c r="I24" s="8" t="n">
        <f aca="false">G24*H24</f>
        <v>200</v>
      </c>
    </row>
    <row r="25" customFormat="false" ht="15" hidden="false" customHeight="false" outlineLevel="0" collapsed="false">
      <c r="A25" s="6" t="n">
        <v>746</v>
      </c>
      <c r="B25" s="7" t="n">
        <v>44937</v>
      </c>
      <c r="C25" s="6" t="s">
        <v>71</v>
      </c>
      <c r="D25" s="6" t="s">
        <v>49</v>
      </c>
      <c r="E25" s="6" t="n">
        <v>33</v>
      </c>
      <c r="F25" s="6" t="s">
        <v>47</v>
      </c>
      <c r="G25" s="6" t="n">
        <v>3</v>
      </c>
      <c r="H25" s="8" t="n">
        <v>30</v>
      </c>
      <c r="I25" s="8" t="n">
        <f aca="false">G25*H25</f>
        <v>90</v>
      </c>
    </row>
    <row r="26" customFormat="false" ht="15" hidden="false" customHeight="false" outlineLevel="0" collapsed="false">
      <c r="A26" s="6" t="n">
        <v>225</v>
      </c>
      <c r="B26" s="7" t="n">
        <v>44937</v>
      </c>
      <c r="C26" s="6" t="s">
        <v>72</v>
      </c>
      <c r="D26" s="6" t="s">
        <v>49</v>
      </c>
      <c r="E26" s="6" t="n">
        <v>57</v>
      </c>
      <c r="F26" s="6" t="s">
        <v>45</v>
      </c>
      <c r="G26" s="6" t="n">
        <v>4</v>
      </c>
      <c r="H26" s="8" t="n">
        <v>25</v>
      </c>
      <c r="I26" s="8" t="n">
        <f aca="false">G26*H26</f>
        <v>100</v>
      </c>
    </row>
    <row r="27" customFormat="false" ht="15" hidden="false" customHeight="false" outlineLevel="0" collapsed="false">
      <c r="A27" s="6" t="n">
        <v>679</v>
      </c>
      <c r="B27" s="7" t="n">
        <v>44937</v>
      </c>
      <c r="C27" s="6" t="s">
        <v>73</v>
      </c>
      <c r="D27" s="6" t="s">
        <v>49</v>
      </c>
      <c r="E27" s="6" t="n">
        <v>18</v>
      </c>
      <c r="F27" s="6" t="s">
        <v>45</v>
      </c>
      <c r="G27" s="6" t="n">
        <v>3</v>
      </c>
      <c r="H27" s="8" t="n">
        <v>30</v>
      </c>
      <c r="I27" s="8" t="n">
        <f aca="false">G27*H27</f>
        <v>90</v>
      </c>
    </row>
    <row r="28" customFormat="false" ht="15" hidden="false" customHeight="false" outlineLevel="0" collapsed="false">
      <c r="A28" s="6" t="n">
        <v>484</v>
      </c>
      <c r="B28" s="7" t="n">
        <v>44939</v>
      </c>
      <c r="C28" s="6" t="s">
        <v>74</v>
      </c>
      <c r="D28" s="6" t="s">
        <v>49</v>
      </c>
      <c r="E28" s="6" t="n">
        <v>19</v>
      </c>
      <c r="F28" s="6" t="s">
        <v>47</v>
      </c>
      <c r="G28" s="6" t="n">
        <v>4</v>
      </c>
      <c r="H28" s="8" t="n">
        <v>300</v>
      </c>
      <c r="I28" s="8" t="n">
        <f aca="false">G28*H28</f>
        <v>1200</v>
      </c>
    </row>
    <row r="29" customFormat="false" ht="15" hidden="false" customHeight="false" outlineLevel="0" collapsed="false">
      <c r="A29" s="6" t="n">
        <v>591</v>
      </c>
      <c r="B29" s="7" t="n">
        <v>44939</v>
      </c>
      <c r="C29" s="6" t="s">
        <v>75</v>
      </c>
      <c r="D29" s="6" t="s">
        <v>44</v>
      </c>
      <c r="E29" s="6" t="n">
        <v>53</v>
      </c>
      <c r="F29" s="6" t="s">
        <v>51</v>
      </c>
      <c r="G29" s="6" t="n">
        <v>4</v>
      </c>
      <c r="H29" s="8" t="n">
        <v>25</v>
      </c>
      <c r="I29" s="8" t="n">
        <f aca="false">G29*H29</f>
        <v>100</v>
      </c>
    </row>
    <row r="30" customFormat="false" ht="15" hidden="false" customHeight="false" outlineLevel="0" collapsed="false">
      <c r="A30" s="6" t="n">
        <v>3</v>
      </c>
      <c r="B30" s="7" t="n">
        <v>44939</v>
      </c>
      <c r="C30" s="6" t="s">
        <v>76</v>
      </c>
      <c r="D30" s="6" t="s">
        <v>44</v>
      </c>
      <c r="E30" s="6" t="n">
        <v>50</v>
      </c>
      <c r="F30" s="6" t="s">
        <v>51</v>
      </c>
      <c r="G30" s="6" t="n">
        <v>1</v>
      </c>
      <c r="H30" s="8" t="n">
        <v>30</v>
      </c>
      <c r="I30" s="8" t="n">
        <f aca="false">G30*H30</f>
        <v>30</v>
      </c>
    </row>
    <row r="31" customFormat="false" ht="15" hidden="false" customHeight="false" outlineLevel="0" collapsed="false">
      <c r="A31" s="6" t="n">
        <v>464</v>
      </c>
      <c r="B31" s="7" t="n">
        <v>44939</v>
      </c>
      <c r="C31" s="6" t="s">
        <v>77</v>
      </c>
      <c r="D31" s="6" t="s">
        <v>44</v>
      </c>
      <c r="E31" s="6" t="n">
        <v>38</v>
      </c>
      <c r="F31" s="6" t="s">
        <v>51</v>
      </c>
      <c r="G31" s="6" t="n">
        <v>2</v>
      </c>
      <c r="H31" s="8" t="n">
        <v>300</v>
      </c>
      <c r="I31" s="8" t="n">
        <f aca="false">G31*H31</f>
        <v>600</v>
      </c>
    </row>
    <row r="32" customFormat="false" ht="15" hidden="false" customHeight="false" outlineLevel="0" collapsed="false">
      <c r="A32" s="6" t="n">
        <v>708</v>
      </c>
      <c r="B32" s="7" t="n">
        <v>44940</v>
      </c>
      <c r="C32" s="6" t="s">
        <v>78</v>
      </c>
      <c r="D32" s="6" t="s">
        <v>49</v>
      </c>
      <c r="E32" s="6" t="n">
        <v>43</v>
      </c>
      <c r="F32" s="6" t="s">
        <v>45</v>
      </c>
      <c r="G32" s="6" t="n">
        <v>3</v>
      </c>
      <c r="H32" s="8" t="n">
        <v>300</v>
      </c>
      <c r="I32" s="8" t="n">
        <f aca="false">G32*H32</f>
        <v>900</v>
      </c>
    </row>
    <row r="33" customFormat="false" ht="15" hidden="false" customHeight="false" outlineLevel="0" collapsed="false">
      <c r="A33" s="6" t="n">
        <v>768</v>
      </c>
      <c r="B33" s="7" t="n">
        <v>44940</v>
      </c>
      <c r="C33" s="6" t="s">
        <v>79</v>
      </c>
      <c r="D33" s="6" t="s">
        <v>49</v>
      </c>
      <c r="E33" s="6" t="n">
        <v>24</v>
      </c>
      <c r="F33" s="6" t="s">
        <v>45</v>
      </c>
      <c r="G33" s="6" t="n">
        <v>3</v>
      </c>
      <c r="H33" s="8" t="n">
        <v>25</v>
      </c>
      <c r="I33" s="8" t="n">
        <f aca="false">G33*H33</f>
        <v>75</v>
      </c>
    </row>
    <row r="34" customFormat="false" ht="15" hidden="false" customHeight="false" outlineLevel="0" collapsed="false">
      <c r="A34" s="6" t="n">
        <v>713</v>
      </c>
      <c r="B34" s="7" t="n">
        <v>44940</v>
      </c>
      <c r="C34" s="6" t="s">
        <v>80</v>
      </c>
      <c r="D34" s="6" t="s">
        <v>44</v>
      </c>
      <c r="E34" s="6" t="n">
        <v>34</v>
      </c>
      <c r="F34" s="6" t="s">
        <v>45</v>
      </c>
      <c r="G34" s="6" t="n">
        <v>3</v>
      </c>
      <c r="H34" s="8" t="n">
        <v>25</v>
      </c>
      <c r="I34" s="8" t="n">
        <f aca="false">G34*H34</f>
        <v>75</v>
      </c>
    </row>
    <row r="35" customFormat="false" ht="15" hidden="false" customHeight="false" outlineLevel="0" collapsed="false">
      <c r="A35" s="6" t="n">
        <v>21</v>
      </c>
      <c r="B35" s="7" t="n">
        <v>44940</v>
      </c>
      <c r="C35" s="6" t="s">
        <v>81</v>
      </c>
      <c r="D35" s="6" t="s">
        <v>49</v>
      </c>
      <c r="E35" s="6" t="n">
        <v>50</v>
      </c>
      <c r="F35" s="6" t="s">
        <v>45</v>
      </c>
      <c r="G35" s="6" t="n">
        <v>1</v>
      </c>
      <c r="H35" s="8" t="n">
        <v>500</v>
      </c>
      <c r="I35" s="8" t="n">
        <f aca="false">G35*H35</f>
        <v>500</v>
      </c>
    </row>
    <row r="36" customFormat="false" ht="15" hidden="false" customHeight="false" outlineLevel="0" collapsed="false">
      <c r="A36" s="6" t="n">
        <v>697</v>
      </c>
      <c r="B36" s="7" t="n">
        <v>44941</v>
      </c>
      <c r="C36" s="6" t="s">
        <v>82</v>
      </c>
      <c r="D36" s="6" t="s">
        <v>44</v>
      </c>
      <c r="E36" s="6" t="n">
        <v>53</v>
      </c>
      <c r="F36" s="6" t="s">
        <v>47</v>
      </c>
      <c r="G36" s="6" t="n">
        <v>1</v>
      </c>
      <c r="H36" s="8" t="n">
        <v>500</v>
      </c>
      <c r="I36" s="8" t="n">
        <f aca="false">G36*H36</f>
        <v>500</v>
      </c>
    </row>
    <row r="37" customFormat="false" ht="15" hidden="false" customHeight="false" outlineLevel="0" collapsed="false">
      <c r="A37" s="6" t="n">
        <v>831</v>
      </c>
      <c r="B37" s="7" t="n">
        <v>44941</v>
      </c>
      <c r="C37" s="6" t="s">
        <v>83</v>
      </c>
      <c r="D37" s="6" t="s">
        <v>44</v>
      </c>
      <c r="E37" s="6" t="n">
        <v>27</v>
      </c>
      <c r="F37" s="6" t="s">
        <v>51</v>
      </c>
      <c r="G37" s="6" t="n">
        <v>4</v>
      </c>
      <c r="H37" s="8" t="n">
        <v>25</v>
      </c>
      <c r="I37" s="8" t="n">
        <f aca="false">G37*H37</f>
        <v>100</v>
      </c>
    </row>
    <row r="38" customFormat="false" ht="15" hidden="false" customHeight="false" outlineLevel="0" collapsed="false">
      <c r="A38" s="6" t="n">
        <v>499</v>
      </c>
      <c r="B38" s="7" t="n">
        <v>44941</v>
      </c>
      <c r="C38" s="6" t="s">
        <v>84</v>
      </c>
      <c r="D38" s="6" t="s">
        <v>44</v>
      </c>
      <c r="E38" s="6" t="n">
        <v>46</v>
      </c>
      <c r="F38" s="6" t="s">
        <v>45</v>
      </c>
      <c r="G38" s="6" t="n">
        <v>2</v>
      </c>
      <c r="H38" s="8" t="n">
        <v>30</v>
      </c>
      <c r="I38" s="8" t="n">
        <f aca="false">G38*H38</f>
        <v>60</v>
      </c>
    </row>
    <row r="39" customFormat="false" ht="15" hidden="false" customHeight="false" outlineLevel="0" collapsed="false">
      <c r="A39" s="6" t="n">
        <v>743</v>
      </c>
      <c r="B39" s="7" t="n">
        <v>44942</v>
      </c>
      <c r="C39" s="6" t="s">
        <v>85</v>
      </c>
      <c r="D39" s="6" t="s">
        <v>49</v>
      </c>
      <c r="E39" s="6" t="n">
        <v>34</v>
      </c>
      <c r="F39" s="6" t="s">
        <v>45</v>
      </c>
      <c r="G39" s="6" t="n">
        <v>4</v>
      </c>
      <c r="H39" s="8" t="n">
        <v>500</v>
      </c>
      <c r="I39" s="8" t="n">
        <f aca="false">G39*H39</f>
        <v>2000</v>
      </c>
    </row>
    <row r="40" customFormat="false" ht="15" hidden="false" customHeight="false" outlineLevel="0" collapsed="false">
      <c r="A40" s="6" t="n">
        <v>15</v>
      </c>
      <c r="B40" s="7" t="n">
        <v>44942</v>
      </c>
      <c r="C40" s="6" t="s">
        <v>86</v>
      </c>
      <c r="D40" s="6" t="s">
        <v>49</v>
      </c>
      <c r="E40" s="6" t="n">
        <v>42</v>
      </c>
      <c r="F40" s="6" t="s">
        <v>51</v>
      </c>
      <c r="G40" s="6" t="n">
        <v>4</v>
      </c>
      <c r="H40" s="8" t="n">
        <v>500</v>
      </c>
      <c r="I40" s="8" t="n">
        <f aca="false">G40*H40</f>
        <v>2000</v>
      </c>
    </row>
    <row r="41" customFormat="false" ht="15" hidden="false" customHeight="false" outlineLevel="0" collapsed="false">
      <c r="A41" s="6" t="n">
        <v>238</v>
      </c>
      <c r="B41" s="7" t="n">
        <v>44943</v>
      </c>
      <c r="C41" s="6" t="s">
        <v>87</v>
      </c>
      <c r="D41" s="6" t="s">
        <v>49</v>
      </c>
      <c r="E41" s="6" t="n">
        <v>39</v>
      </c>
      <c r="F41" s="6" t="s">
        <v>45</v>
      </c>
      <c r="G41" s="6" t="n">
        <v>1</v>
      </c>
      <c r="H41" s="8" t="n">
        <v>500</v>
      </c>
      <c r="I41" s="8" t="n">
        <f aca="false">G41*H41</f>
        <v>500</v>
      </c>
    </row>
    <row r="42" customFormat="false" ht="15" hidden="false" customHeight="false" outlineLevel="0" collapsed="false">
      <c r="A42" s="6" t="n">
        <v>986</v>
      </c>
      <c r="B42" s="7" t="n">
        <v>44943</v>
      </c>
      <c r="C42" s="6" t="s">
        <v>88</v>
      </c>
      <c r="D42" s="6" t="s">
        <v>49</v>
      </c>
      <c r="E42" s="6" t="n">
        <v>49</v>
      </c>
      <c r="F42" s="6" t="s">
        <v>47</v>
      </c>
      <c r="G42" s="6" t="n">
        <v>2</v>
      </c>
      <c r="H42" s="8" t="n">
        <v>500</v>
      </c>
      <c r="I42" s="8" t="n">
        <f aca="false">G42*H42</f>
        <v>1000</v>
      </c>
    </row>
    <row r="43" customFormat="false" ht="15" hidden="false" customHeight="false" outlineLevel="0" collapsed="false">
      <c r="A43" s="6" t="n">
        <v>103</v>
      </c>
      <c r="B43" s="7" t="n">
        <v>44943</v>
      </c>
      <c r="C43" s="6" t="s">
        <v>89</v>
      </c>
      <c r="D43" s="6" t="s">
        <v>49</v>
      </c>
      <c r="E43" s="6" t="n">
        <v>59</v>
      </c>
      <c r="F43" s="6" t="s">
        <v>47</v>
      </c>
      <c r="G43" s="6" t="n">
        <v>1</v>
      </c>
      <c r="H43" s="8" t="n">
        <v>25</v>
      </c>
      <c r="I43" s="8" t="n">
        <f aca="false">G43*H43</f>
        <v>25</v>
      </c>
    </row>
    <row r="44" customFormat="false" ht="15" hidden="false" customHeight="false" outlineLevel="0" collapsed="false">
      <c r="A44" s="6" t="n">
        <v>14</v>
      </c>
      <c r="B44" s="7" t="n">
        <v>44943</v>
      </c>
      <c r="C44" s="6" t="s">
        <v>90</v>
      </c>
      <c r="D44" s="6" t="s">
        <v>44</v>
      </c>
      <c r="E44" s="6" t="n">
        <v>64</v>
      </c>
      <c r="F44" s="6" t="s">
        <v>47</v>
      </c>
      <c r="G44" s="6" t="n">
        <v>4</v>
      </c>
      <c r="H44" s="8" t="n">
        <v>30</v>
      </c>
      <c r="I44" s="8" t="n">
        <f aca="false">G44*H44</f>
        <v>120</v>
      </c>
    </row>
    <row r="45" customFormat="false" ht="15" hidden="false" customHeight="false" outlineLevel="0" collapsed="false">
      <c r="A45" s="6" t="n">
        <v>438</v>
      </c>
      <c r="B45" s="7" t="n">
        <v>44945</v>
      </c>
      <c r="C45" s="6" t="s">
        <v>91</v>
      </c>
      <c r="D45" s="6" t="s">
        <v>49</v>
      </c>
      <c r="E45" s="6" t="n">
        <v>42</v>
      </c>
      <c r="F45" s="6" t="s">
        <v>47</v>
      </c>
      <c r="G45" s="6" t="n">
        <v>1</v>
      </c>
      <c r="H45" s="8" t="n">
        <v>30</v>
      </c>
      <c r="I45" s="8" t="n">
        <f aca="false">G45*H45</f>
        <v>30</v>
      </c>
    </row>
    <row r="46" customFormat="false" ht="15" hidden="false" customHeight="false" outlineLevel="0" collapsed="false">
      <c r="A46" s="6" t="n">
        <v>475</v>
      </c>
      <c r="B46" s="7" t="n">
        <v>44946</v>
      </c>
      <c r="C46" s="6" t="s">
        <v>92</v>
      </c>
      <c r="D46" s="6" t="s">
        <v>44</v>
      </c>
      <c r="E46" s="6" t="n">
        <v>26</v>
      </c>
      <c r="F46" s="6" t="s">
        <v>47</v>
      </c>
      <c r="G46" s="6" t="n">
        <v>3</v>
      </c>
      <c r="H46" s="8" t="n">
        <v>25</v>
      </c>
      <c r="I46" s="8" t="n">
        <f aca="false">G46*H46</f>
        <v>75</v>
      </c>
    </row>
    <row r="47" customFormat="false" ht="15" hidden="false" customHeight="false" outlineLevel="0" collapsed="false">
      <c r="A47" s="6" t="n">
        <v>505</v>
      </c>
      <c r="B47" s="7" t="n">
        <v>44946</v>
      </c>
      <c r="C47" s="6" t="s">
        <v>93</v>
      </c>
      <c r="D47" s="6" t="s">
        <v>44</v>
      </c>
      <c r="E47" s="6" t="n">
        <v>24</v>
      </c>
      <c r="F47" s="6" t="s">
        <v>45</v>
      </c>
      <c r="G47" s="6" t="n">
        <v>1</v>
      </c>
      <c r="H47" s="8" t="n">
        <v>50</v>
      </c>
      <c r="I47" s="8" t="n">
        <f aca="false">G47*H47</f>
        <v>50</v>
      </c>
    </row>
    <row r="48" customFormat="false" ht="15" hidden="false" customHeight="false" outlineLevel="0" collapsed="false">
      <c r="A48" s="6" t="n">
        <v>448</v>
      </c>
      <c r="B48" s="7" t="n">
        <v>44947</v>
      </c>
      <c r="C48" s="6" t="s">
        <v>94</v>
      </c>
      <c r="D48" s="6" t="s">
        <v>49</v>
      </c>
      <c r="E48" s="6" t="n">
        <v>54</v>
      </c>
      <c r="F48" s="6" t="s">
        <v>45</v>
      </c>
      <c r="G48" s="6" t="n">
        <v>2</v>
      </c>
      <c r="H48" s="8" t="n">
        <v>30</v>
      </c>
      <c r="I48" s="8" t="n">
        <f aca="false">G48*H48</f>
        <v>60</v>
      </c>
    </row>
    <row r="49" customFormat="false" ht="15" hidden="false" customHeight="false" outlineLevel="0" collapsed="false">
      <c r="A49" s="6" t="n">
        <v>742</v>
      </c>
      <c r="B49" s="7" t="n">
        <v>44947</v>
      </c>
      <c r="C49" s="6" t="s">
        <v>95</v>
      </c>
      <c r="D49" s="6" t="s">
        <v>49</v>
      </c>
      <c r="E49" s="6" t="n">
        <v>38</v>
      </c>
      <c r="F49" s="6" t="s">
        <v>51</v>
      </c>
      <c r="G49" s="6" t="n">
        <v>4</v>
      </c>
      <c r="H49" s="8" t="n">
        <v>500</v>
      </c>
      <c r="I49" s="8" t="n">
        <f aca="false">G49*H49</f>
        <v>2000</v>
      </c>
    </row>
    <row r="50" customFormat="false" ht="15" hidden="false" customHeight="false" outlineLevel="0" collapsed="false">
      <c r="A50" s="6" t="n">
        <v>344</v>
      </c>
      <c r="B50" s="7" t="n">
        <v>44947</v>
      </c>
      <c r="C50" s="6" t="s">
        <v>96</v>
      </c>
      <c r="D50" s="6" t="s">
        <v>49</v>
      </c>
      <c r="E50" s="6" t="n">
        <v>42</v>
      </c>
      <c r="F50" s="6" t="s">
        <v>45</v>
      </c>
      <c r="G50" s="6" t="n">
        <v>1</v>
      </c>
      <c r="H50" s="8" t="n">
        <v>30</v>
      </c>
      <c r="I50" s="8" t="n">
        <f aca="false">G50*H50</f>
        <v>30</v>
      </c>
    </row>
    <row r="51" customFormat="false" ht="15" hidden="false" customHeight="false" outlineLevel="0" collapsed="false">
      <c r="A51" s="6" t="n">
        <v>787</v>
      </c>
      <c r="B51" s="7" t="n">
        <v>44948</v>
      </c>
      <c r="C51" s="6" t="s">
        <v>97</v>
      </c>
      <c r="D51" s="6" t="s">
        <v>44</v>
      </c>
      <c r="E51" s="6" t="n">
        <v>41</v>
      </c>
      <c r="F51" s="6" t="s">
        <v>51</v>
      </c>
      <c r="G51" s="6" t="n">
        <v>1</v>
      </c>
      <c r="H51" s="8" t="n">
        <v>25</v>
      </c>
      <c r="I51" s="8" t="n">
        <f aca="false">G51*H51</f>
        <v>25</v>
      </c>
    </row>
    <row r="52" customFormat="false" ht="15" hidden="false" customHeight="false" outlineLevel="0" collapsed="false">
      <c r="A52" s="6" t="n">
        <v>445</v>
      </c>
      <c r="B52" s="7" t="n">
        <v>44948</v>
      </c>
      <c r="C52" s="6" t="s">
        <v>98</v>
      </c>
      <c r="D52" s="6" t="s">
        <v>49</v>
      </c>
      <c r="E52" s="6" t="n">
        <v>53</v>
      </c>
      <c r="F52" s="6" t="s">
        <v>51</v>
      </c>
      <c r="G52" s="6" t="n">
        <v>1</v>
      </c>
      <c r="H52" s="8" t="n">
        <v>300</v>
      </c>
      <c r="I52" s="8" t="n">
        <f aca="false">G52*H52</f>
        <v>300</v>
      </c>
    </row>
    <row r="53" customFormat="false" ht="15" hidden="false" customHeight="false" outlineLevel="0" collapsed="false">
      <c r="A53" s="6" t="n">
        <v>49</v>
      </c>
      <c r="B53" s="7" t="n">
        <v>44949</v>
      </c>
      <c r="C53" s="6" t="s">
        <v>99</v>
      </c>
      <c r="D53" s="6" t="s">
        <v>49</v>
      </c>
      <c r="E53" s="6" t="n">
        <v>54</v>
      </c>
      <c r="F53" s="6" t="s">
        <v>51</v>
      </c>
      <c r="G53" s="6" t="n">
        <v>2</v>
      </c>
      <c r="H53" s="8" t="n">
        <v>500</v>
      </c>
      <c r="I53" s="8" t="n">
        <f aca="false">G53*H53</f>
        <v>1000</v>
      </c>
    </row>
    <row r="54" customFormat="false" ht="15" hidden="false" customHeight="false" outlineLevel="0" collapsed="false">
      <c r="A54" s="6" t="n">
        <v>420</v>
      </c>
      <c r="B54" s="7" t="n">
        <v>44949</v>
      </c>
      <c r="C54" s="6" t="s">
        <v>100</v>
      </c>
      <c r="D54" s="6" t="s">
        <v>49</v>
      </c>
      <c r="E54" s="6" t="n">
        <v>22</v>
      </c>
      <c r="F54" s="6" t="s">
        <v>47</v>
      </c>
      <c r="G54" s="6" t="n">
        <v>4</v>
      </c>
      <c r="H54" s="8" t="n">
        <v>500</v>
      </c>
      <c r="I54" s="8" t="n">
        <f aca="false">G54*H54</f>
        <v>2000</v>
      </c>
    </row>
    <row r="55" customFormat="false" ht="15" hidden="false" customHeight="false" outlineLevel="0" collapsed="false">
      <c r="A55" s="6" t="n">
        <v>519</v>
      </c>
      <c r="B55" s="7" t="n">
        <v>44949</v>
      </c>
      <c r="C55" s="6" t="s">
        <v>101</v>
      </c>
      <c r="D55" s="6" t="s">
        <v>49</v>
      </c>
      <c r="E55" s="6" t="n">
        <v>36</v>
      </c>
      <c r="F55" s="6" t="s">
        <v>51</v>
      </c>
      <c r="G55" s="6" t="n">
        <v>4</v>
      </c>
      <c r="H55" s="8" t="n">
        <v>30</v>
      </c>
      <c r="I55" s="8" t="n">
        <f aca="false">G55*H55</f>
        <v>120</v>
      </c>
    </row>
    <row r="56" customFormat="false" ht="15" hidden="false" customHeight="false" outlineLevel="0" collapsed="false">
      <c r="A56" s="6" t="n">
        <v>64</v>
      </c>
      <c r="B56" s="7" t="n">
        <v>44950</v>
      </c>
      <c r="C56" s="6" t="s">
        <v>102</v>
      </c>
      <c r="D56" s="6" t="s">
        <v>44</v>
      </c>
      <c r="E56" s="6" t="n">
        <v>49</v>
      </c>
      <c r="F56" s="6" t="s">
        <v>47</v>
      </c>
      <c r="G56" s="6" t="n">
        <v>4</v>
      </c>
      <c r="H56" s="8" t="n">
        <v>25</v>
      </c>
      <c r="I56" s="8" t="n">
        <f aca="false">G56*H56</f>
        <v>100</v>
      </c>
    </row>
    <row r="57" customFormat="false" ht="15" hidden="false" customHeight="false" outlineLevel="0" collapsed="false">
      <c r="A57" s="6" t="n">
        <v>592</v>
      </c>
      <c r="B57" s="7" t="n">
        <v>44950</v>
      </c>
      <c r="C57" s="6" t="s">
        <v>103</v>
      </c>
      <c r="D57" s="6" t="s">
        <v>49</v>
      </c>
      <c r="E57" s="6" t="n">
        <v>46</v>
      </c>
      <c r="F57" s="6" t="s">
        <v>45</v>
      </c>
      <c r="G57" s="6" t="n">
        <v>4</v>
      </c>
      <c r="H57" s="8" t="n">
        <v>500</v>
      </c>
      <c r="I57" s="8" t="n">
        <f aca="false">G57*H57</f>
        <v>2000</v>
      </c>
    </row>
    <row r="58" customFormat="false" ht="15" hidden="false" customHeight="false" outlineLevel="0" collapsed="false">
      <c r="A58" s="6" t="n">
        <v>912</v>
      </c>
      <c r="B58" s="7" t="n">
        <v>44950</v>
      </c>
      <c r="C58" s="6" t="s">
        <v>104</v>
      </c>
      <c r="D58" s="6" t="s">
        <v>44</v>
      </c>
      <c r="E58" s="6" t="n">
        <v>51</v>
      </c>
      <c r="F58" s="6" t="s">
        <v>45</v>
      </c>
      <c r="G58" s="6" t="n">
        <v>3</v>
      </c>
      <c r="H58" s="8" t="n">
        <v>50</v>
      </c>
      <c r="I58" s="8" t="n">
        <f aca="false">G58*H58</f>
        <v>150</v>
      </c>
    </row>
    <row r="59" customFormat="false" ht="15" hidden="false" customHeight="false" outlineLevel="0" collapsed="false">
      <c r="A59" s="6" t="n">
        <v>134</v>
      </c>
      <c r="B59" s="7" t="n">
        <v>44951</v>
      </c>
      <c r="C59" s="6" t="s">
        <v>105</v>
      </c>
      <c r="D59" s="6" t="s">
        <v>44</v>
      </c>
      <c r="E59" s="6" t="n">
        <v>49</v>
      </c>
      <c r="F59" s="6" t="s">
        <v>51</v>
      </c>
      <c r="G59" s="6" t="n">
        <v>1</v>
      </c>
      <c r="H59" s="8" t="n">
        <v>50</v>
      </c>
      <c r="I59" s="8" t="n">
        <f aca="false">G59*H59</f>
        <v>50</v>
      </c>
    </row>
    <row r="60" customFormat="false" ht="15" hidden="false" customHeight="false" outlineLevel="0" collapsed="false">
      <c r="A60" s="6" t="n">
        <v>288</v>
      </c>
      <c r="B60" s="7" t="n">
        <v>44952</v>
      </c>
      <c r="C60" s="6" t="s">
        <v>106</v>
      </c>
      <c r="D60" s="6" t="s">
        <v>44</v>
      </c>
      <c r="E60" s="6" t="n">
        <v>28</v>
      </c>
      <c r="F60" s="6" t="s">
        <v>47</v>
      </c>
      <c r="G60" s="6" t="n">
        <v>4</v>
      </c>
      <c r="H60" s="8" t="n">
        <v>30</v>
      </c>
      <c r="I60" s="8" t="n">
        <f aca="false">G60*H60</f>
        <v>120</v>
      </c>
    </row>
    <row r="61" customFormat="false" ht="15" hidden="false" customHeight="false" outlineLevel="0" collapsed="false">
      <c r="A61" s="6" t="n">
        <v>720</v>
      </c>
      <c r="B61" s="7" t="n">
        <v>44952</v>
      </c>
      <c r="C61" s="6" t="s">
        <v>107</v>
      </c>
      <c r="D61" s="6" t="s">
        <v>49</v>
      </c>
      <c r="E61" s="6" t="n">
        <v>56</v>
      </c>
      <c r="F61" s="6" t="s">
        <v>45</v>
      </c>
      <c r="G61" s="6" t="n">
        <v>3</v>
      </c>
      <c r="H61" s="8" t="n">
        <v>500</v>
      </c>
      <c r="I61" s="8" t="n">
        <f aca="false">G61*H61</f>
        <v>1500</v>
      </c>
    </row>
    <row r="62" customFormat="false" ht="15" hidden="false" customHeight="false" outlineLevel="0" collapsed="false">
      <c r="A62" s="6" t="n">
        <v>618</v>
      </c>
      <c r="B62" s="7" t="n">
        <v>44952</v>
      </c>
      <c r="C62" s="6" t="s">
        <v>108</v>
      </c>
      <c r="D62" s="6" t="s">
        <v>49</v>
      </c>
      <c r="E62" s="6" t="n">
        <v>27</v>
      </c>
      <c r="F62" s="6" t="s">
        <v>45</v>
      </c>
      <c r="G62" s="6" t="n">
        <v>1</v>
      </c>
      <c r="H62" s="8" t="n">
        <v>50</v>
      </c>
      <c r="I62" s="8" t="n">
        <f aca="false">G62*H62</f>
        <v>50</v>
      </c>
    </row>
    <row r="63" customFormat="false" ht="15" hidden="false" customHeight="false" outlineLevel="0" collapsed="false">
      <c r="A63" s="6" t="n">
        <v>323</v>
      </c>
      <c r="B63" s="7" t="n">
        <v>44952</v>
      </c>
      <c r="C63" s="6" t="s">
        <v>109</v>
      </c>
      <c r="D63" s="6" t="s">
        <v>49</v>
      </c>
      <c r="E63" s="6" t="n">
        <v>29</v>
      </c>
      <c r="F63" s="6" t="s">
        <v>45</v>
      </c>
      <c r="G63" s="6" t="n">
        <v>3</v>
      </c>
      <c r="H63" s="8" t="n">
        <v>300</v>
      </c>
      <c r="I63" s="8" t="n">
        <f aca="false">G63*H63</f>
        <v>900</v>
      </c>
    </row>
    <row r="64" customFormat="false" ht="15" hidden="false" customHeight="false" outlineLevel="0" collapsed="false">
      <c r="A64" s="6" t="n">
        <v>929</v>
      </c>
      <c r="B64" s="7" t="n">
        <v>44953</v>
      </c>
      <c r="C64" s="6" t="s">
        <v>110</v>
      </c>
      <c r="D64" s="6" t="s">
        <v>49</v>
      </c>
      <c r="E64" s="6" t="n">
        <v>23</v>
      </c>
      <c r="F64" s="6" t="s">
        <v>45</v>
      </c>
      <c r="G64" s="6" t="n">
        <v>3</v>
      </c>
      <c r="H64" s="8" t="n">
        <v>25</v>
      </c>
      <c r="I64" s="8" t="n">
        <f aca="false">G64*H64</f>
        <v>75</v>
      </c>
    </row>
    <row r="65" customFormat="false" ht="15" hidden="false" customHeight="false" outlineLevel="0" collapsed="false">
      <c r="A65" s="6" t="n">
        <v>736</v>
      </c>
      <c r="B65" s="7" t="n">
        <v>44953</v>
      </c>
      <c r="C65" s="6" t="s">
        <v>111</v>
      </c>
      <c r="D65" s="6" t="s">
        <v>44</v>
      </c>
      <c r="E65" s="6" t="n">
        <v>29</v>
      </c>
      <c r="F65" s="6" t="s">
        <v>47</v>
      </c>
      <c r="G65" s="6" t="n">
        <v>4</v>
      </c>
      <c r="H65" s="8" t="n">
        <v>25</v>
      </c>
      <c r="I65" s="8" t="n">
        <f aca="false">G65*H65</f>
        <v>100</v>
      </c>
    </row>
    <row r="66" customFormat="false" ht="15" hidden="false" customHeight="false" outlineLevel="0" collapsed="false">
      <c r="A66" s="6" t="n">
        <v>415</v>
      </c>
      <c r="B66" s="7" t="n">
        <v>44953</v>
      </c>
      <c r="C66" s="6" t="s">
        <v>112</v>
      </c>
      <c r="D66" s="6" t="s">
        <v>44</v>
      </c>
      <c r="E66" s="6" t="n">
        <v>53</v>
      </c>
      <c r="F66" s="6" t="s">
        <v>47</v>
      </c>
      <c r="G66" s="6" t="n">
        <v>2</v>
      </c>
      <c r="H66" s="8" t="n">
        <v>30</v>
      </c>
      <c r="I66" s="8" t="n">
        <f aca="false">G66*H66</f>
        <v>60</v>
      </c>
    </row>
    <row r="67" customFormat="false" ht="15" hidden="false" customHeight="false" outlineLevel="0" collapsed="false">
      <c r="A67" s="6" t="n">
        <v>264</v>
      </c>
      <c r="B67" s="7" t="n">
        <v>44954</v>
      </c>
      <c r="C67" s="6" t="s">
        <v>113</v>
      </c>
      <c r="D67" s="6" t="s">
        <v>44</v>
      </c>
      <c r="E67" s="6" t="n">
        <v>47</v>
      </c>
      <c r="F67" s="6" t="s">
        <v>47</v>
      </c>
      <c r="G67" s="6" t="n">
        <v>3</v>
      </c>
      <c r="H67" s="8" t="n">
        <v>300</v>
      </c>
      <c r="I67" s="8" t="n">
        <f aca="false">G67*H67</f>
        <v>900</v>
      </c>
    </row>
    <row r="68" customFormat="false" ht="15" hidden="false" customHeight="false" outlineLevel="0" collapsed="false">
      <c r="A68" s="6" t="n">
        <v>940</v>
      </c>
      <c r="B68" s="7" t="n">
        <v>44954</v>
      </c>
      <c r="C68" s="6" t="s">
        <v>114</v>
      </c>
      <c r="D68" s="6" t="s">
        <v>49</v>
      </c>
      <c r="E68" s="6" t="n">
        <v>20</v>
      </c>
      <c r="F68" s="6" t="s">
        <v>51</v>
      </c>
      <c r="G68" s="6" t="n">
        <v>1</v>
      </c>
      <c r="H68" s="8" t="n">
        <v>30</v>
      </c>
      <c r="I68" s="8" t="n">
        <f aca="false">G68*H68</f>
        <v>30</v>
      </c>
    </row>
    <row r="69" customFormat="false" ht="15" hidden="false" customHeight="false" outlineLevel="0" collapsed="false">
      <c r="A69" s="6" t="n">
        <v>913</v>
      </c>
      <c r="B69" s="7" t="n">
        <v>44954</v>
      </c>
      <c r="C69" s="6" t="s">
        <v>115</v>
      </c>
      <c r="D69" s="6" t="s">
        <v>44</v>
      </c>
      <c r="E69" s="6" t="n">
        <v>29</v>
      </c>
      <c r="F69" s="6" t="s">
        <v>51</v>
      </c>
      <c r="G69" s="6" t="n">
        <v>3</v>
      </c>
      <c r="H69" s="8" t="n">
        <v>30</v>
      </c>
      <c r="I69" s="8" t="n">
        <f aca="false">G69*H69</f>
        <v>90</v>
      </c>
    </row>
    <row r="70" customFormat="false" ht="15" hidden="false" customHeight="false" outlineLevel="0" collapsed="false">
      <c r="A70" s="6" t="n">
        <v>101</v>
      </c>
      <c r="B70" s="7" t="n">
        <v>44955</v>
      </c>
      <c r="C70" s="6" t="s">
        <v>116</v>
      </c>
      <c r="D70" s="6" t="s">
        <v>44</v>
      </c>
      <c r="E70" s="6" t="n">
        <v>32</v>
      </c>
      <c r="F70" s="6" t="s">
        <v>47</v>
      </c>
      <c r="G70" s="6" t="n">
        <v>2</v>
      </c>
      <c r="H70" s="8" t="n">
        <v>300</v>
      </c>
      <c r="I70" s="8" t="n">
        <f aca="false">G70*H70</f>
        <v>600</v>
      </c>
    </row>
    <row r="71" customFormat="false" ht="15" hidden="false" customHeight="false" outlineLevel="0" collapsed="false">
      <c r="A71" s="6" t="n">
        <v>317</v>
      </c>
      <c r="B71" s="7" t="n">
        <v>44956</v>
      </c>
      <c r="C71" s="6" t="s">
        <v>117</v>
      </c>
      <c r="D71" s="6" t="s">
        <v>44</v>
      </c>
      <c r="E71" s="6" t="n">
        <v>22</v>
      </c>
      <c r="F71" s="6" t="s">
        <v>51</v>
      </c>
      <c r="G71" s="6" t="n">
        <v>3</v>
      </c>
      <c r="H71" s="8" t="n">
        <v>30</v>
      </c>
      <c r="I71" s="8" t="n">
        <f aca="false">G71*H71</f>
        <v>90</v>
      </c>
    </row>
    <row r="72" customFormat="false" ht="15" hidden="false" customHeight="false" outlineLevel="0" collapsed="false">
      <c r="A72" s="6" t="n">
        <v>189</v>
      </c>
      <c r="B72" s="7" t="n">
        <v>44956</v>
      </c>
      <c r="C72" s="6" t="s">
        <v>118</v>
      </c>
      <c r="D72" s="6" t="s">
        <v>44</v>
      </c>
      <c r="E72" s="6" t="n">
        <v>63</v>
      </c>
      <c r="F72" s="6" t="s">
        <v>45</v>
      </c>
      <c r="G72" s="6" t="n">
        <v>1</v>
      </c>
      <c r="H72" s="8" t="n">
        <v>50</v>
      </c>
      <c r="I72" s="8" t="n">
        <f aca="false">G72*H72</f>
        <v>50</v>
      </c>
    </row>
    <row r="73" customFormat="false" ht="15" hidden="false" customHeight="false" outlineLevel="0" collapsed="false">
      <c r="A73" s="6" t="n">
        <v>322</v>
      </c>
      <c r="B73" s="7" t="n">
        <v>44956</v>
      </c>
      <c r="C73" s="6" t="s">
        <v>119</v>
      </c>
      <c r="D73" s="6" t="s">
        <v>44</v>
      </c>
      <c r="E73" s="6" t="n">
        <v>51</v>
      </c>
      <c r="F73" s="6" t="s">
        <v>51</v>
      </c>
      <c r="G73" s="6" t="n">
        <v>1</v>
      </c>
      <c r="H73" s="8" t="n">
        <v>500</v>
      </c>
      <c r="I73" s="8" t="n">
        <f aca="false">G73*H73</f>
        <v>500</v>
      </c>
    </row>
    <row r="74" customFormat="false" ht="15" hidden="false" customHeight="false" outlineLevel="0" collapsed="false">
      <c r="A74" s="6" t="n">
        <v>329</v>
      </c>
      <c r="B74" s="7" t="n">
        <v>44956</v>
      </c>
      <c r="C74" s="6" t="s">
        <v>120</v>
      </c>
      <c r="D74" s="6" t="s">
        <v>49</v>
      </c>
      <c r="E74" s="6" t="n">
        <v>46</v>
      </c>
      <c r="F74" s="6" t="s">
        <v>51</v>
      </c>
      <c r="G74" s="6" t="n">
        <v>4</v>
      </c>
      <c r="H74" s="8" t="n">
        <v>25</v>
      </c>
      <c r="I74" s="8" t="n">
        <f aca="false">G74*H74</f>
        <v>100</v>
      </c>
    </row>
    <row r="75" customFormat="false" ht="15" hidden="false" customHeight="false" outlineLevel="0" collapsed="false">
      <c r="A75" s="6" t="n">
        <v>235</v>
      </c>
      <c r="B75" s="7" t="n">
        <v>44957</v>
      </c>
      <c r="C75" s="6" t="s">
        <v>121</v>
      </c>
      <c r="D75" s="6" t="s">
        <v>49</v>
      </c>
      <c r="E75" s="6" t="n">
        <v>23</v>
      </c>
      <c r="F75" s="6" t="s">
        <v>51</v>
      </c>
      <c r="G75" s="6" t="n">
        <v>2</v>
      </c>
      <c r="H75" s="8" t="n">
        <v>500</v>
      </c>
      <c r="I75" s="8" t="n">
        <f aca="false">G75*H75</f>
        <v>1000</v>
      </c>
    </row>
    <row r="76" customFormat="false" ht="15" hidden="false" customHeight="false" outlineLevel="0" collapsed="false">
      <c r="A76" s="6" t="n">
        <v>300</v>
      </c>
      <c r="B76" s="7" t="n">
        <v>44957</v>
      </c>
      <c r="C76" s="6" t="s">
        <v>122</v>
      </c>
      <c r="D76" s="6" t="s">
        <v>49</v>
      </c>
      <c r="E76" s="6" t="n">
        <v>19</v>
      </c>
      <c r="F76" s="6" t="s">
        <v>51</v>
      </c>
      <c r="G76" s="6" t="n">
        <v>4</v>
      </c>
      <c r="H76" s="8" t="n">
        <v>50</v>
      </c>
      <c r="I76" s="8" t="n">
        <f aca="false">G76*H76</f>
        <v>200</v>
      </c>
    </row>
    <row r="77" customFormat="false" ht="15" hidden="false" customHeight="false" outlineLevel="0" collapsed="false">
      <c r="A77" s="6" t="n">
        <v>964</v>
      </c>
      <c r="B77" s="7" t="n">
        <v>44957</v>
      </c>
      <c r="C77" s="6" t="s">
        <v>123</v>
      </c>
      <c r="D77" s="6" t="s">
        <v>44</v>
      </c>
      <c r="E77" s="6" t="n">
        <v>24</v>
      </c>
      <c r="F77" s="6" t="s">
        <v>47</v>
      </c>
      <c r="G77" s="6" t="n">
        <v>3</v>
      </c>
      <c r="H77" s="8" t="n">
        <v>300</v>
      </c>
      <c r="I77" s="8" t="n">
        <f aca="false">G77*H77</f>
        <v>900</v>
      </c>
    </row>
    <row r="78" customFormat="false" ht="15" hidden="false" customHeight="false" outlineLevel="0" collapsed="false">
      <c r="A78" s="6" t="n">
        <v>320</v>
      </c>
      <c r="B78" s="7" t="n">
        <v>44958</v>
      </c>
      <c r="C78" s="6" t="s">
        <v>124</v>
      </c>
      <c r="D78" s="6" t="s">
        <v>49</v>
      </c>
      <c r="E78" s="6" t="n">
        <v>28</v>
      </c>
      <c r="F78" s="6" t="s">
        <v>51</v>
      </c>
      <c r="G78" s="6" t="n">
        <v>4</v>
      </c>
      <c r="H78" s="8" t="n">
        <v>300</v>
      </c>
      <c r="I78" s="8" t="n">
        <f aca="false">G78*H78</f>
        <v>1200</v>
      </c>
    </row>
    <row r="79" customFormat="false" ht="15" hidden="false" customHeight="false" outlineLevel="0" collapsed="false">
      <c r="A79" s="6" t="n">
        <v>673</v>
      </c>
      <c r="B79" s="7" t="n">
        <v>44958</v>
      </c>
      <c r="C79" s="6" t="s">
        <v>125</v>
      </c>
      <c r="D79" s="6" t="s">
        <v>49</v>
      </c>
      <c r="E79" s="6" t="n">
        <v>43</v>
      </c>
      <c r="F79" s="6" t="s">
        <v>47</v>
      </c>
      <c r="G79" s="6" t="n">
        <v>3</v>
      </c>
      <c r="H79" s="8" t="n">
        <v>500</v>
      </c>
      <c r="I79" s="8" t="n">
        <f aca="false">G79*H79</f>
        <v>1500</v>
      </c>
    </row>
    <row r="80" customFormat="false" ht="15" hidden="false" customHeight="false" outlineLevel="0" collapsed="false">
      <c r="A80" s="6" t="n">
        <v>269</v>
      </c>
      <c r="B80" s="7" t="n">
        <v>44958</v>
      </c>
      <c r="C80" s="6" t="s">
        <v>126</v>
      </c>
      <c r="D80" s="6" t="s">
        <v>44</v>
      </c>
      <c r="E80" s="6" t="n">
        <v>25</v>
      </c>
      <c r="F80" s="6" t="s">
        <v>47</v>
      </c>
      <c r="G80" s="6" t="n">
        <v>4</v>
      </c>
      <c r="H80" s="8" t="n">
        <v>500</v>
      </c>
      <c r="I80" s="8" t="n">
        <f aca="false">G80*H80</f>
        <v>2000</v>
      </c>
    </row>
    <row r="81" customFormat="false" ht="15" hidden="false" customHeight="false" outlineLevel="0" collapsed="false">
      <c r="A81" s="6" t="n">
        <v>142</v>
      </c>
      <c r="B81" s="7" t="n">
        <v>44959</v>
      </c>
      <c r="C81" s="6" t="s">
        <v>127</v>
      </c>
      <c r="D81" s="6" t="s">
        <v>44</v>
      </c>
      <c r="E81" s="6" t="n">
        <v>35</v>
      </c>
      <c r="F81" s="6" t="s">
        <v>51</v>
      </c>
      <c r="G81" s="6" t="n">
        <v>4</v>
      </c>
      <c r="H81" s="8" t="n">
        <v>300</v>
      </c>
      <c r="I81" s="8" t="n">
        <f aca="false">G81*H81</f>
        <v>1200</v>
      </c>
    </row>
    <row r="82" customFormat="false" ht="15" hidden="false" customHeight="false" outlineLevel="0" collapsed="false">
      <c r="A82" s="6" t="n">
        <v>666</v>
      </c>
      <c r="B82" s="7" t="n">
        <v>44959</v>
      </c>
      <c r="C82" s="6" t="s">
        <v>128</v>
      </c>
      <c r="D82" s="6" t="s">
        <v>44</v>
      </c>
      <c r="E82" s="6" t="n">
        <v>51</v>
      </c>
      <c r="F82" s="6" t="s">
        <v>51</v>
      </c>
      <c r="G82" s="6" t="n">
        <v>3</v>
      </c>
      <c r="H82" s="8" t="n">
        <v>50</v>
      </c>
      <c r="I82" s="8" t="n">
        <f aca="false">G82*H82</f>
        <v>150</v>
      </c>
    </row>
    <row r="83" customFormat="false" ht="15" hidden="false" customHeight="false" outlineLevel="0" collapsed="false">
      <c r="A83" s="6" t="n">
        <v>223</v>
      </c>
      <c r="B83" s="7" t="n">
        <v>44959</v>
      </c>
      <c r="C83" s="6" t="s">
        <v>129</v>
      </c>
      <c r="D83" s="6" t="s">
        <v>49</v>
      </c>
      <c r="E83" s="6" t="n">
        <v>64</v>
      </c>
      <c r="F83" s="6" t="s">
        <v>47</v>
      </c>
      <c r="G83" s="6" t="n">
        <v>1</v>
      </c>
      <c r="H83" s="8" t="n">
        <v>25</v>
      </c>
      <c r="I83" s="8" t="n">
        <f aca="false">G83*H83</f>
        <v>25</v>
      </c>
    </row>
    <row r="84" customFormat="false" ht="15" hidden="false" customHeight="false" outlineLevel="0" collapsed="false">
      <c r="A84" s="6" t="n">
        <v>933</v>
      </c>
      <c r="B84" s="7" t="n">
        <v>44960</v>
      </c>
      <c r="C84" s="6" t="s">
        <v>130</v>
      </c>
      <c r="D84" s="6" t="s">
        <v>44</v>
      </c>
      <c r="E84" s="6" t="n">
        <v>22</v>
      </c>
      <c r="F84" s="6" t="s">
        <v>45</v>
      </c>
      <c r="G84" s="6" t="n">
        <v>1</v>
      </c>
      <c r="H84" s="8" t="n">
        <v>30</v>
      </c>
      <c r="I84" s="8" t="n">
        <f aca="false">G84*H84</f>
        <v>30</v>
      </c>
    </row>
    <row r="85" customFormat="false" ht="15" hidden="false" customHeight="false" outlineLevel="0" collapsed="false">
      <c r="A85" s="6" t="n">
        <v>107</v>
      </c>
      <c r="B85" s="7" t="n">
        <v>44960</v>
      </c>
      <c r="C85" s="6" t="s">
        <v>131</v>
      </c>
      <c r="D85" s="6" t="s">
        <v>49</v>
      </c>
      <c r="E85" s="6" t="n">
        <v>21</v>
      </c>
      <c r="F85" s="6" t="s">
        <v>47</v>
      </c>
      <c r="G85" s="6" t="n">
        <v>4</v>
      </c>
      <c r="H85" s="8" t="n">
        <v>300</v>
      </c>
      <c r="I85" s="8" t="n">
        <f aca="false">G85*H85</f>
        <v>1200</v>
      </c>
    </row>
    <row r="86" customFormat="false" ht="15" hidden="false" customHeight="false" outlineLevel="0" collapsed="false">
      <c r="A86" s="6" t="n">
        <v>335</v>
      </c>
      <c r="B86" s="7" t="n">
        <v>44961</v>
      </c>
      <c r="C86" s="6" t="s">
        <v>132</v>
      </c>
      <c r="D86" s="6" t="s">
        <v>49</v>
      </c>
      <c r="E86" s="6" t="n">
        <v>47</v>
      </c>
      <c r="F86" s="6" t="s">
        <v>45</v>
      </c>
      <c r="G86" s="6" t="n">
        <v>4</v>
      </c>
      <c r="H86" s="8" t="n">
        <v>30</v>
      </c>
      <c r="I86" s="8" t="n">
        <f aca="false">G86*H86</f>
        <v>120</v>
      </c>
    </row>
    <row r="87" customFormat="false" ht="15" hidden="false" customHeight="false" outlineLevel="0" collapsed="false">
      <c r="A87" s="6" t="n">
        <v>237</v>
      </c>
      <c r="B87" s="7" t="n">
        <v>44961</v>
      </c>
      <c r="C87" s="6" t="s">
        <v>133</v>
      </c>
      <c r="D87" s="6" t="s">
        <v>49</v>
      </c>
      <c r="E87" s="6" t="n">
        <v>50</v>
      </c>
      <c r="F87" s="6" t="s">
        <v>45</v>
      </c>
      <c r="G87" s="6" t="n">
        <v>2</v>
      </c>
      <c r="H87" s="8" t="n">
        <v>500</v>
      </c>
      <c r="I87" s="8" t="n">
        <f aca="false">G87*H87</f>
        <v>1000</v>
      </c>
    </row>
    <row r="88" customFormat="false" ht="15" hidden="false" customHeight="false" outlineLevel="0" collapsed="false">
      <c r="A88" s="6" t="n">
        <v>530</v>
      </c>
      <c r="B88" s="7" t="n">
        <v>44962</v>
      </c>
      <c r="C88" s="6" t="s">
        <v>134</v>
      </c>
      <c r="D88" s="6" t="s">
        <v>49</v>
      </c>
      <c r="E88" s="6" t="n">
        <v>18</v>
      </c>
      <c r="F88" s="6" t="s">
        <v>51</v>
      </c>
      <c r="G88" s="6" t="n">
        <v>4</v>
      </c>
      <c r="H88" s="8" t="n">
        <v>30</v>
      </c>
      <c r="I88" s="8" t="n">
        <f aca="false">G88*H88</f>
        <v>120</v>
      </c>
    </row>
    <row r="89" customFormat="false" ht="15" hidden="false" customHeight="false" outlineLevel="0" collapsed="false">
      <c r="A89" s="6" t="n">
        <v>333</v>
      </c>
      <c r="B89" s="7" t="n">
        <v>44962</v>
      </c>
      <c r="C89" s="6" t="s">
        <v>135</v>
      </c>
      <c r="D89" s="6" t="s">
        <v>49</v>
      </c>
      <c r="E89" s="6" t="n">
        <v>54</v>
      </c>
      <c r="F89" s="6" t="s">
        <v>51</v>
      </c>
      <c r="G89" s="6" t="n">
        <v>4</v>
      </c>
      <c r="H89" s="8" t="n">
        <v>300</v>
      </c>
      <c r="I89" s="8" t="n">
        <f aca="false">G89*H89</f>
        <v>1200</v>
      </c>
    </row>
    <row r="90" customFormat="false" ht="15" hidden="false" customHeight="false" outlineLevel="0" collapsed="false">
      <c r="A90" s="6" t="n">
        <v>740</v>
      </c>
      <c r="B90" s="7" t="n">
        <v>44962</v>
      </c>
      <c r="C90" s="6" t="s">
        <v>136</v>
      </c>
      <c r="D90" s="6" t="s">
        <v>49</v>
      </c>
      <c r="E90" s="6" t="n">
        <v>25</v>
      </c>
      <c r="F90" s="6" t="s">
        <v>45</v>
      </c>
      <c r="G90" s="6" t="n">
        <v>4</v>
      </c>
      <c r="H90" s="8" t="n">
        <v>50</v>
      </c>
      <c r="I90" s="8" t="n">
        <f aca="false">G90*H90</f>
        <v>200</v>
      </c>
    </row>
    <row r="91" customFormat="false" ht="15" hidden="false" customHeight="false" outlineLevel="0" collapsed="false">
      <c r="A91" s="6" t="n">
        <v>379</v>
      </c>
      <c r="B91" s="7" t="n">
        <v>44962</v>
      </c>
      <c r="C91" s="6" t="s">
        <v>137</v>
      </c>
      <c r="D91" s="6" t="s">
        <v>49</v>
      </c>
      <c r="E91" s="6" t="n">
        <v>47</v>
      </c>
      <c r="F91" s="6" t="s">
        <v>47</v>
      </c>
      <c r="G91" s="6" t="n">
        <v>1</v>
      </c>
      <c r="H91" s="8" t="n">
        <v>25</v>
      </c>
      <c r="I91" s="8" t="n">
        <f aca="false">G91*H91</f>
        <v>25</v>
      </c>
    </row>
    <row r="92" customFormat="false" ht="15" hidden="false" customHeight="false" outlineLevel="0" collapsed="false">
      <c r="A92" s="6" t="n">
        <v>490</v>
      </c>
      <c r="B92" s="7" t="n">
        <v>44962</v>
      </c>
      <c r="C92" s="6" t="s">
        <v>138</v>
      </c>
      <c r="D92" s="6" t="s">
        <v>44</v>
      </c>
      <c r="E92" s="6" t="n">
        <v>34</v>
      </c>
      <c r="F92" s="6" t="s">
        <v>47</v>
      </c>
      <c r="G92" s="6" t="n">
        <v>3</v>
      </c>
      <c r="H92" s="8" t="n">
        <v>50</v>
      </c>
      <c r="I92" s="8" t="n">
        <f aca="false">G92*H92</f>
        <v>150</v>
      </c>
    </row>
    <row r="93" customFormat="false" ht="15" hidden="false" customHeight="false" outlineLevel="0" collapsed="false">
      <c r="A93" s="6" t="n">
        <v>63</v>
      </c>
      <c r="B93" s="7" t="n">
        <v>44962</v>
      </c>
      <c r="C93" s="6" t="s">
        <v>139</v>
      </c>
      <c r="D93" s="6" t="s">
        <v>44</v>
      </c>
      <c r="E93" s="6" t="n">
        <v>57</v>
      </c>
      <c r="F93" s="6" t="s">
        <v>51</v>
      </c>
      <c r="G93" s="6" t="n">
        <v>2</v>
      </c>
      <c r="H93" s="8" t="n">
        <v>25</v>
      </c>
      <c r="I93" s="8" t="n">
        <f aca="false">G93*H93</f>
        <v>50</v>
      </c>
    </row>
    <row r="94" customFormat="false" ht="15" hidden="false" customHeight="false" outlineLevel="0" collapsed="false">
      <c r="A94" s="6" t="n">
        <v>793</v>
      </c>
      <c r="B94" s="7" t="n">
        <v>44962</v>
      </c>
      <c r="C94" s="6" t="s">
        <v>140</v>
      </c>
      <c r="D94" s="6" t="s">
        <v>44</v>
      </c>
      <c r="E94" s="6" t="n">
        <v>54</v>
      </c>
      <c r="F94" s="6" t="s">
        <v>45</v>
      </c>
      <c r="G94" s="6" t="n">
        <v>1</v>
      </c>
      <c r="H94" s="8" t="n">
        <v>30</v>
      </c>
      <c r="I94" s="8" t="n">
        <f aca="false">G94*H94</f>
        <v>30</v>
      </c>
    </row>
    <row r="95" customFormat="false" ht="15" hidden="false" customHeight="false" outlineLevel="0" collapsed="false">
      <c r="A95" s="6" t="n">
        <v>195</v>
      </c>
      <c r="B95" s="7" t="n">
        <v>44962</v>
      </c>
      <c r="C95" s="6" t="s">
        <v>141</v>
      </c>
      <c r="D95" s="6" t="s">
        <v>44</v>
      </c>
      <c r="E95" s="6" t="n">
        <v>52</v>
      </c>
      <c r="F95" s="6" t="s">
        <v>47</v>
      </c>
      <c r="G95" s="6" t="n">
        <v>1</v>
      </c>
      <c r="H95" s="8" t="n">
        <v>30</v>
      </c>
      <c r="I95" s="8" t="n">
        <f aca="false">G95*H95</f>
        <v>30</v>
      </c>
    </row>
    <row r="96" customFormat="false" ht="15" hidden="false" customHeight="false" outlineLevel="0" collapsed="false">
      <c r="A96" s="6" t="n">
        <v>240</v>
      </c>
      <c r="B96" s="7" t="n">
        <v>44963</v>
      </c>
      <c r="C96" s="6" t="s">
        <v>142</v>
      </c>
      <c r="D96" s="6" t="s">
        <v>49</v>
      </c>
      <c r="E96" s="6" t="n">
        <v>23</v>
      </c>
      <c r="F96" s="6" t="s">
        <v>45</v>
      </c>
      <c r="G96" s="6" t="n">
        <v>1</v>
      </c>
      <c r="H96" s="8" t="n">
        <v>300</v>
      </c>
      <c r="I96" s="8" t="n">
        <f aca="false">G96*H96</f>
        <v>300</v>
      </c>
    </row>
    <row r="97" customFormat="false" ht="15" hidden="false" customHeight="false" outlineLevel="0" collapsed="false">
      <c r="A97" s="6" t="n">
        <v>993</v>
      </c>
      <c r="B97" s="7" t="n">
        <v>44963</v>
      </c>
      <c r="C97" s="6" t="s">
        <v>143</v>
      </c>
      <c r="D97" s="6" t="s">
        <v>49</v>
      </c>
      <c r="E97" s="6" t="n">
        <v>48</v>
      </c>
      <c r="F97" s="6" t="s">
        <v>51</v>
      </c>
      <c r="G97" s="6" t="n">
        <v>3</v>
      </c>
      <c r="H97" s="8" t="n">
        <v>50</v>
      </c>
      <c r="I97" s="8" t="n">
        <f aca="false">G97*H97</f>
        <v>150</v>
      </c>
    </row>
    <row r="98" customFormat="false" ht="15" hidden="false" customHeight="false" outlineLevel="0" collapsed="false">
      <c r="A98" s="6" t="n">
        <v>232</v>
      </c>
      <c r="B98" s="7" t="n">
        <v>44963</v>
      </c>
      <c r="C98" s="6" t="s">
        <v>144</v>
      </c>
      <c r="D98" s="6" t="s">
        <v>49</v>
      </c>
      <c r="E98" s="6" t="n">
        <v>43</v>
      </c>
      <c r="F98" s="6" t="s">
        <v>45</v>
      </c>
      <c r="G98" s="6" t="n">
        <v>1</v>
      </c>
      <c r="H98" s="8" t="n">
        <v>25</v>
      </c>
      <c r="I98" s="8" t="n">
        <f aca="false">G98*H98</f>
        <v>25</v>
      </c>
    </row>
    <row r="99" customFormat="false" ht="15" hidden="false" customHeight="false" outlineLevel="0" collapsed="false">
      <c r="A99" s="6" t="n">
        <v>85</v>
      </c>
      <c r="B99" s="7" t="n">
        <v>44963</v>
      </c>
      <c r="C99" s="6" t="s">
        <v>145</v>
      </c>
      <c r="D99" s="6" t="s">
        <v>44</v>
      </c>
      <c r="E99" s="6" t="n">
        <v>31</v>
      </c>
      <c r="F99" s="6" t="s">
        <v>47</v>
      </c>
      <c r="G99" s="6" t="n">
        <v>3</v>
      </c>
      <c r="H99" s="8" t="n">
        <v>50</v>
      </c>
      <c r="I99" s="8" t="n">
        <f aca="false">G99*H99</f>
        <v>150</v>
      </c>
    </row>
    <row r="100" customFormat="false" ht="15" hidden="false" customHeight="false" outlineLevel="0" collapsed="false">
      <c r="A100" s="6" t="n">
        <v>372</v>
      </c>
      <c r="B100" s="7" t="n">
        <v>44964</v>
      </c>
      <c r="C100" s="6" t="s">
        <v>146</v>
      </c>
      <c r="D100" s="6" t="s">
        <v>49</v>
      </c>
      <c r="E100" s="6" t="n">
        <v>24</v>
      </c>
      <c r="F100" s="6" t="s">
        <v>45</v>
      </c>
      <c r="G100" s="6" t="n">
        <v>3</v>
      </c>
      <c r="H100" s="8" t="n">
        <v>500</v>
      </c>
      <c r="I100" s="8" t="n">
        <f aca="false">G100*H100</f>
        <v>1500</v>
      </c>
    </row>
    <row r="101" customFormat="false" ht="15" hidden="false" customHeight="false" outlineLevel="0" collapsed="false">
      <c r="A101" s="6" t="n">
        <v>366</v>
      </c>
      <c r="B101" s="7" t="n">
        <v>44964</v>
      </c>
      <c r="C101" s="6" t="s">
        <v>147</v>
      </c>
      <c r="D101" s="6" t="s">
        <v>44</v>
      </c>
      <c r="E101" s="6" t="n">
        <v>57</v>
      </c>
      <c r="F101" s="6" t="s">
        <v>47</v>
      </c>
      <c r="G101" s="6" t="n">
        <v>2</v>
      </c>
      <c r="H101" s="8" t="n">
        <v>50</v>
      </c>
      <c r="I101" s="8" t="n">
        <f aca="false">G101*H101</f>
        <v>100</v>
      </c>
    </row>
    <row r="102" customFormat="false" ht="15" hidden="false" customHeight="false" outlineLevel="0" collapsed="false">
      <c r="A102" s="6" t="n">
        <v>936</v>
      </c>
      <c r="B102" s="7" t="n">
        <v>44964</v>
      </c>
      <c r="C102" s="6" t="s">
        <v>148</v>
      </c>
      <c r="D102" s="6" t="s">
        <v>44</v>
      </c>
      <c r="E102" s="6" t="n">
        <v>57</v>
      </c>
      <c r="F102" s="6" t="s">
        <v>45</v>
      </c>
      <c r="G102" s="6" t="n">
        <v>4</v>
      </c>
      <c r="H102" s="8" t="n">
        <v>50</v>
      </c>
      <c r="I102" s="8" t="n">
        <f aca="false">G102*H102</f>
        <v>200</v>
      </c>
    </row>
    <row r="103" customFormat="false" ht="15" hidden="false" customHeight="false" outlineLevel="0" collapsed="false">
      <c r="A103" s="6" t="n">
        <v>596</v>
      </c>
      <c r="B103" s="7" t="n">
        <v>44964</v>
      </c>
      <c r="C103" s="6" t="s">
        <v>149</v>
      </c>
      <c r="D103" s="6" t="s">
        <v>49</v>
      </c>
      <c r="E103" s="6" t="n">
        <v>64</v>
      </c>
      <c r="F103" s="6" t="s">
        <v>51</v>
      </c>
      <c r="G103" s="6" t="n">
        <v>1</v>
      </c>
      <c r="H103" s="8" t="n">
        <v>300</v>
      </c>
      <c r="I103" s="8" t="n">
        <f aca="false">G103*H103</f>
        <v>300</v>
      </c>
    </row>
    <row r="104" customFormat="false" ht="15" hidden="false" customHeight="false" outlineLevel="0" collapsed="false">
      <c r="A104" s="6" t="n">
        <v>284</v>
      </c>
      <c r="B104" s="7" t="n">
        <v>44965</v>
      </c>
      <c r="C104" s="6" t="s">
        <v>150</v>
      </c>
      <c r="D104" s="6" t="s">
        <v>44</v>
      </c>
      <c r="E104" s="6" t="n">
        <v>43</v>
      </c>
      <c r="F104" s="6" t="s">
        <v>47</v>
      </c>
      <c r="G104" s="6" t="n">
        <v>4</v>
      </c>
      <c r="H104" s="8" t="n">
        <v>50</v>
      </c>
      <c r="I104" s="8" t="n">
        <f aca="false">G104*H104</f>
        <v>200</v>
      </c>
    </row>
    <row r="105" customFormat="false" ht="15" hidden="false" customHeight="false" outlineLevel="0" collapsed="false">
      <c r="A105" s="6" t="n">
        <v>977</v>
      </c>
      <c r="B105" s="7" t="n">
        <v>44965</v>
      </c>
      <c r="C105" s="6" t="s">
        <v>151</v>
      </c>
      <c r="D105" s="6" t="s">
        <v>49</v>
      </c>
      <c r="E105" s="6" t="n">
        <v>35</v>
      </c>
      <c r="F105" s="6" t="s">
        <v>51</v>
      </c>
      <c r="G105" s="6" t="n">
        <v>3</v>
      </c>
      <c r="H105" s="8" t="n">
        <v>25</v>
      </c>
      <c r="I105" s="8" t="n">
        <f aca="false">G105*H105</f>
        <v>75</v>
      </c>
    </row>
    <row r="106" customFormat="false" ht="15" hidden="false" customHeight="false" outlineLevel="0" collapsed="false">
      <c r="A106" s="6" t="n">
        <v>775</v>
      </c>
      <c r="B106" s="7" t="n">
        <v>44965</v>
      </c>
      <c r="C106" s="6" t="s">
        <v>152</v>
      </c>
      <c r="D106" s="6" t="s">
        <v>49</v>
      </c>
      <c r="E106" s="6" t="n">
        <v>46</v>
      </c>
      <c r="F106" s="6" t="s">
        <v>51</v>
      </c>
      <c r="G106" s="6" t="n">
        <v>4</v>
      </c>
      <c r="H106" s="8" t="n">
        <v>25</v>
      </c>
      <c r="I106" s="8" t="n">
        <f aca="false">G106*H106</f>
        <v>100</v>
      </c>
    </row>
    <row r="107" customFormat="false" ht="15" hidden="false" customHeight="false" outlineLevel="0" collapsed="false">
      <c r="A107" s="6" t="n">
        <v>434</v>
      </c>
      <c r="B107" s="7" t="n">
        <v>44965</v>
      </c>
      <c r="C107" s="6" t="s">
        <v>153</v>
      </c>
      <c r="D107" s="6" t="s">
        <v>49</v>
      </c>
      <c r="E107" s="6" t="n">
        <v>43</v>
      </c>
      <c r="F107" s="6" t="s">
        <v>51</v>
      </c>
      <c r="G107" s="6" t="n">
        <v>2</v>
      </c>
      <c r="H107" s="8" t="n">
        <v>25</v>
      </c>
      <c r="I107" s="8" t="n">
        <f aca="false">G107*H107</f>
        <v>50</v>
      </c>
    </row>
    <row r="108" customFormat="false" ht="15" hidden="false" customHeight="false" outlineLevel="0" collapsed="false">
      <c r="A108" s="6" t="n">
        <v>649</v>
      </c>
      <c r="B108" s="7" t="n">
        <v>44966</v>
      </c>
      <c r="C108" s="6" t="s">
        <v>154</v>
      </c>
      <c r="D108" s="6" t="s">
        <v>49</v>
      </c>
      <c r="E108" s="6" t="n">
        <v>58</v>
      </c>
      <c r="F108" s="6" t="s">
        <v>47</v>
      </c>
      <c r="G108" s="6" t="n">
        <v>2</v>
      </c>
      <c r="H108" s="8" t="n">
        <v>300</v>
      </c>
      <c r="I108" s="8" t="n">
        <f aca="false">G108*H108</f>
        <v>600</v>
      </c>
    </row>
    <row r="109" customFormat="false" ht="15" hidden="false" customHeight="false" outlineLevel="0" collapsed="false">
      <c r="A109" s="6" t="n">
        <v>68</v>
      </c>
      <c r="B109" s="7" t="n">
        <v>44967</v>
      </c>
      <c r="C109" s="6" t="s">
        <v>155</v>
      </c>
      <c r="D109" s="6" t="s">
        <v>44</v>
      </c>
      <c r="E109" s="6" t="n">
        <v>25</v>
      </c>
      <c r="F109" s="6" t="s">
        <v>51</v>
      </c>
      <c r="G109" s="6" t="n">
        <v>1</v>
      </c>
      <c r="H109" s="8" t="n">
        <v>300</v>
      </c>
      <c r="I109" s="8" t="n">
        <f aca="false">G109*H109</f>
        <v>300</v>
      </c>
    </row>
    <row r="110" customFormat="false" ht="15" hidden="false" customHeight="false" outlineLevel="0" collapsed="false">
      <c r="A110" s="6" t="n">
        <v>192</v>
      </c>
      <c r="B110" s="7" t="n">
        <v>44967</v>
      </c>
      <c r="C110" s="6" t="s">
        <v>156</v>
      </c>
      <c r="D110" s="6" t="s">
        <v>44</v>
      </c>
      <c r="E110" s="6" t="n">
        <v>62</v>
      </c>
      <c r="F110" s="6" t="s">
        <v>45</v>
      </c>
      <c r="G110" s="6" t="n">
        <v>2</v>
      </c>
      <c r="H110" s="8" t="n">
        <v>50</v>
      </c>
      <c r="I110" s="8" t="n">
        <f aca="false">G110*H110</f>
        <v>100</v>
      </c>
    </row>
    <row r="111" customFormat="false" ht="15" hidden="false" customHeight="false" outlineLevel="0" collapsed="false">
      <c r="A111" s="6" t="n">
        <v>54</v>
      </c>
      <c r="B111" s="7" t="n">
        <v>44967</v>
      </c>
      <c r="C111" s="6" t="s">
        <v>157</v>
      </c>
      <c r="D111" s="6" t="s">
        <v>49</v>
      </c>
      <c r="E111" s="6" t="n">
        <v>38</v>
      </c>
      <c r="F111" s="6" t="s">
        <v>51</v>
      </c>
      <c r="G111" s="6" t="n">
        <v>3</v>
      </c>
      <c r="H111" s="8" t="n">
        <v>500</v>
      </c>
      <c r="I111" s="8" t="n">
        <f aca="false">G111*H111</f>
        <v>1500</v>
      </c>
    </row>
    <row r="112" customFormat="false" ht="15" hidden="false" customHeight="false" outlineLevel="0" collapsed="false">
      <c r="A112" s="6" t="n">
        <v>657</v>
      </c>
      <c r="B112" s="7" t="n">
        <v>44968</v>
      </c>
      <c r="C112" s="6" t="s">
        <v>158</v>
      </c>
      <c r="D112" s="6" t="s">
        <v>44</v>
      </c>
      <c r="E112" s="6" t="n">
        <v>40</v>
      </c>
      <c r="F112" s="6" t="s">
        <v>47</v>
      </c>
      <c r="G112" s="6" t="n">
        <v>1</v>
      </c>
      <c r="H112" s="8" t="n">
        <v>25</v>
      </c>
      <c r="I112" s="8" t="n">
        <f aca="false">G112*H112</f>
        <v>25</v>
      </c>
    </row>
    <row r="113" customFormat="false" ht="15" hidden="false" customHeight="false" outlineLevel="0" collapsed="false">
      <c r="A113" s="6" t="n">
        <v>331</v>
      </c>
      <c r="B113" s="7" t="n">
        <v>44968</v>
      </c>
      <c r="C113" s="6" t="s">
        <v>159</v>
      </c>
      <c r="D113" s="6" t="s">
        <v>44</v>
      </c>
      <c r="E113" s="6" t="n">
        <v>28</v>
      </c>
      <c r="F113" s="6" t="s">
        <v>51</v>
      </c>
      <c r="G113" s="6" t="n">
        <v>3</v>
      </c>
      <c r="H113" s="8" t="n">
        <v>30</v>
      </c>
      <c r="I113" s="8" t="n">
        <f aca="false">G113*H113</f>
        <v>90</v>
      </c>
    </row>
    <row r="114" customFormat="false" ht="15" hidden="false" customHeight="false" outlineLevel="0" collapsed="false">
      <c r="A114" s="6" t="n">
        <v>346</v>
      </c>
      <c r="B114" s="7" t="n">
        <v>44968</v>
      </c>
      <c r="C114" s="6" t="s">
        <v>160</v>
      </c>
      <c r="D114" s="6" t="s">
        <v>44</v>
      </c>
      <c r="E114" s="6" t="n">
        <v>59</v>
      </c>
      <c r="F114" s="6" t="s">
        <v>47</v>
      </c>
      <c r="G114" s="6" t="n">
        <v>2</v>
      </c>
      <c r="H114" s="8" t="n">
        <v>500</v>
      </c>
      <c r="I114" s="8" t="n">
        <f aca="false">G114*H114</f>
        <v>1000</v>
      </c>
    </row>
    <row r="115" customFormat="false" ht="15" hidden="false" customHeight="false" outlineLevel="0" collapsed="false">
      <c r="A115" s="6" t="n">
        <v>972</v>
      </c>
      <c r="B115" s="7" t="n">
        <v>44968</v>
      </c>
      <c r="C115" s="6" t="s">
        <v>161</v>
      </c>
      <c r="D115" s="6" t="s">
        <v>44</v>
      </c>
      <c r="E115" s="6" t="n">
        <v>49</v>
      </c>
      <c r="F115" s="6" t="s">
        <v>45</v>
      </c>
      <c r="G115" s="6" t="n">
        <v>4</v>
      </c>
      <c r="H115" s="8" t="n">
        <v>25</v>
      </c>
      <c r="I115" s="8" t="n">
        <f aca="false">G115*H115</f>
        <v>100</v>
      </c>
    </row>
    <row r="116" customFormat="false" ht="15" hidden="false" customHeight="false" outlineLevel="0" collapsed="false">
      <c r="A116" s="6" t="n">
        <v>732</v>
      </c>
      <c r="B116" s="7" t="n">
        <v>44968</v>
      </c>
      <c r="C116" s="6" t="s">
        <v>162</v>
      </c>
      <c r="D116" s="6" t="s">
        <v>44</v>
      </c>
      <c r="E116" s="6" t="n">
        <v>61</v>
      </c>
      <c r="F116" s="6" t="s">
        <v>51</v>
      </c>
      <c r="G116" s="6" t="n">
        <v>2</v>
      </c>
      <c r="H116" s="8" t="n">
        <v>500</v>
      </c>
      <c r="I116" s="8" t="n">
        <f aca="false">G116*H116</f>
        <v>1000</v>
      </c>
    </row>
    <row r="117" customFormat="false" ht="15" hidden="false" customHeight="false" outlineLevel="0" collapsed="false">
      <c r="A117" s="6" t="n">
        <v>714</v>
      </c>
      <c r="B117" s="7" t="n">
        <v>44969</v>
      </c>
      <c r="C117" s="6" t="s">
        <v>163</v>
      </c>
      <c r="D117" s="6" t="s">
        <v>49</v>
      </c>
      <c r="E117" s="6" t="n">
        <v>18</v>
      </c>
      <c r="F117" s="6" t="s">
        <v>47</v>
      </c>
      <c r="G117" s="6" t="n">
        <v>1</v>
      </c>
      <c r="H117" s="8" t="n">
        <v>500</v>
      </c>
      <c r="I117" s="8" t="n">
        <f aca="false">G117*H117</f>
        <v>500</v>
      </c>
    </row>
    <row r="118" customFormat="false" ht="15" hidden="false" customHeight="false" outlineLevel="0" collapsed="false">
      <c r="A118" s="6" t="n">
        <v>945</v>
      </c>
      <c r="B118" s="7" t="n">
        <v>44970</v>
      </c>
      <c r="C118" s="6" t="s">
        <v>164</v>
      </c>
      <c r="D118" s="6" t="s">
        <v>44</v>
      </c>
      <c r="E118" s="6" t="n">
        <v>30</v>
      </c>
      <c r="F118" s="6" t="s">
        <v>45</v>
      </c>
      <c r="G118" s="6" t="n">
        <v>1</v>
      </c>
      <c r="H118" s="8" t="n">
        <v>25</v>
      </c>
      <c r="I118" s="8" t="n">
        <f aca="false">G118*H118</f>
        <v>25</v>
      </c>
    </row>
    <row r="119" customFormat="false" ht="15" hidden="false" customHeight="false" outlineLevel="0" collapsed="false">
      <c r="A119" s="6" t="n">
        <v>577</v>
      </c>
      <c r="B119" s="7" t="n">
        <v>44970</v>
      </c>
      <c r="C119" s="6" t="s">
        <v>165</v>
      </c>
      <c r="D119" s="6" t="s">
        <v>44</v>
      </c>
      <c r="E119" s="6" t="n">
        <v>21</v>
      </c>
      <c r="F119" s="6" t="s">
        <v>45</v>
      </c>
      <c r="G119" s="6" t="n">
        <v>4</v>
      </c>
      <c r="H119" s="8" t="n">
        <v>500</v>
      </c>
      <c r="I119" s="8" t="n">
        <f aca="false">G119*H119</f>
        <v>2000</v>
      </c>
    </row>
    <row r="120" customFormat="false" ht="15" hidden="false" customHeight="false" outlineLevel="0" collapsed="false">
      <c r="A120" s="6" t="n">
        <v>193</v>
      </c>
      <c r="B120" s="7" t="n">
        <v>44970</v>
      </c>
      <c r="C120" s="6" t="s">
        <v>166</v>
      </c>
      <c r="D120" s="6" t="s">
        <v>44</v>
      </c>
      <c r="E120" s="6" t="n">
        <v>35</v>
      </c>
      <c r="F120" s="6" t="s">
        <v>45</v>
      </c>
      <c r="G120" s="6" t="n">
        <v>3</v>
      </c>
      <c r="H120" s="8" t="n">
        <v>500</v>
      </c>
      <c r="I120" s="8" t="n">
        <f aca="false">G120*H120</f>
        <v>1500</v>
      </c>
    </row>
    <row r="121" customFormat="false" ht="15" hidden="false" customHeight="false" outlineLevel="0" collapsed="false">
      <c r="A121" s="6" t="n">
        <v>848</v>
      </c>
      <c r="B121" s="7" t="n">
        <v>44970</v>
      </c>
      <c r="C121" s="6" t="s">
        <v>167</v>
      </c>
      <c r="D121" s="6" t="s">
        <v>49</v>
      </c>
      <c r="E121" s="6" t="n">
        <v>63</v>
      </c>
      <c r="F121" s="6" t="s">
        <v>47</v>
      </c>
      <c r="G121" s="6" t="n">
        <v>3</v>
      </c>
      <c r="H121" s="8" t="n">
        <v>25</v>
      </c>
      <c r="I121" s="8" t="n">
        <f aca="false">G121*H121</f>
        <v>75</v>
      </c>
    </row>
    <row r="122" customFormat="false" ht="15" hidden="false" customHeight="false" outlineLevel="0" collapsed="false">
      <c r="A122" s="6" t="n">
        <v>11</v>
      </c>
      <c r="B122" s="7" t="n">
        <v>44971</v>
      </c>
      <c r="C122" s="6" t="s">
        <v>168</v>
      </c>
      <c r="D122" s="6" t="s">
        <v>44</v>
      </c>
      <c r="E122" s="6" t="n">
        <v>23</v>
      </c>
      <c r="F122" s="6" t="s">
        <v>47</v>
      </c>
      <c r="G122" s="6" t="n">
        <v>2</v>
      </c>
      <c r="H122" s="8" t="n">
        <v>50</v>
      </c>
      <c r="I122" s="8" t="n">
        <f aca="false">G122*H122</f>
        <v>100</v>
      </c>
    </row>
    <row r="123" customFormat="false" ht="15" hidden="false" customHeight="false" outlineLevel="0" collapsed="false">
      <c r="A123" s="6" t="n">
        <v>821</v>
      </c>
      <c r="B123" s="7" t="n">
        <v>44971</v>
      </c>
      <c r="C123" s="6" t="s">
        <v>169</v>
      </c>
      <c r="D123" s="6" t="s">
        <v>44</v>
      </c>
      <c r="E123" s="6" t="n">
        <v>49</v>
      </c>
      <c r="F123" s="6" t="s">
        <v>51</v>
      </c>
      <c r="G123" s="6" t="n">
        <v>1</v>
      </c>
      <c r="H123" s="8" t="n">
        <v>300</v>
      </c>
      <c r="I123" s="8" t="n">
        <f aca="false">G123*H123</f>
        <v>300</v>
      </c>
    </row>
    <row r="124" customFormat="false" ht="15" hidden="false" customHeight="false" outlineLevel="0" collapsed="false">
      <c r="A124" s="6" t="n">
        <v>133</v>
      </c>
      <c r="B124" s="7" t="n">
        <v>44973</v>
      </c>
      <c r="C124" s="6" t="s">
        <v>170</v>
      </c>
      <c r="D124" s="6" t="s">
        <v>44</v>
      </c>
      <c r="E124" s="6" t="n">
        <v>20</v>
      </c>
      <c r="F124" s="6" t="s">
        <v>51</v>
      </c>
      <c r="G124" s="6" t="n">
        <v>3</v>
      </c>
      <c r="H124" s="8" t="n">
        <v>300</v>
      </c>
      <c r="I124" s="8" t="n">
        <f aca="false">G124*H124</f>
        <v>900</v>
      </c>
    </row>
    <row r="125" customFormat="false" ht="15" hidden="false" customHeight="false" outlineLevel="0" collapsed="false">
      <c r="A125" s="6" t="n">
        <v>292</v>
      </c>
      <c r="B125" s="7" t="n">
        <v>44974</v>
      </c>
      <c r="C125" s="6" t="s">
        <v>171</v>
      </c>
      <c r="D125" s="6" t="s">
        <v>44</v>
      </c>
      <c r="E125" s="6" t="n">
        <v>20</v>
      </c>
      <c r="F125" s="6" t="s">
        <v>45</v>
      </c>
      <c r="G125" s="6" t="n">
        <v>4</v>
      </c>
      <c r="H125" s="8" t="n">
        <v>300</v>
      </c>
      <c r="I125" s="8" t="n">
        <f aca="false">G125*H125</f>
        <v>1200</v>
      </c>
    </row>
    <row r="126" customFormat="false" ht="15" hidden="false" customHeight="false" outlineLevel="0" collapsed="false">
      <c r="A126" s="6" t="n">
        <v>861</v>
      </c>
      <c r="B126" s="7" t="n">
        <v>44974</v>
      </c>
      <c r="C126" s="6" t="s">
        <v>172</v>
      </c>
      <c r="D126" s="6" t="s">
        <v>49</v>
      </c>
      <c r="E126" s="6" t="n">
        <v>41</v>
      </c>
      <c r="F126" s="6" t="s">
        <v>47</v>
      </c>
      <c r="G126" s="6" t="n">
        <v>3</v>
      </c>
      <c r="H126" s="8" t="n">
        <v>30</v>
      </c>
      <c r="I126" s="8" t="n">
        <f aca="false">G126*H126</f>
        <v>90</v>
      </c>
    </row>
    <row r="127" customFormat="false" ht="15" hidden="false" customHeight="false" outlineLevel="0" collapsed="false">
      <c r="A127" s="6" t="n">
        <v>16</v>
      </c>
      <c r="B127" s="7" t="n">
        <v>44974</v>
      </c>
      <c r="C127" s="6" t="s">
        <v>173</v>
      </c>
      <c r="D127" s="6" t="s">
        <v>44</v>
      </c>
      <c r="E127" s="6" t="n">
        <v>19</v>
      </c>
      <c r="F127" s="6" t="s">
        <v>47</v>
      </c>
      <c r="G127" s="6" t="n">
        <v>3</v>
      </c>
      <c r="H127" s="8" t="n">
        <v>500</v>
      </c>
      <c r="I127" s="8" t="n">
        <f aca="false">G127*H127</f>
        <v>1500</v>
      </c>
    </row>
    <row r="128" customFormat="false" ht="15" hidden="false" customHeight="false" outlineLevel="0" collapsed="false">
      <c r="A128" s="6" t="n">
        <v>416</v>
      </c>
      <c r="B128" s="7" t="n">
        <v>44974</v>
      </c>
      <c r="C128" s="6" t="s">
        <v>174</v>
      </c>
      <c r="D128" s="6" t="s">
        <v>44</v>
      </c>
      <c r="E128" s="6" t="n">
        <v>53</v>
      </c>
      <c r="F128" s="6" t="s">
        <v>51</v>
      </c>
      <c r="G128" s="6" t="n">
        <v>4</v>
      </c>
      <c r="H128" s="8" t="n">
        <v>500</v>
      </c>
      <c r="I128" s="8" t="n">
        <f aca="false">G128*H128</f>
        <v>2000</v>
      </c>
    </row>
    <row r="129" customFormat="false" ht="15" hidden="false" customHeight="false" outlineLevel="0" collapsed="false">
      <c r="A129" s="6" t="n">
        <v>584</v>
      </c>
      <c r="B129" s="7" t="n">
        <v>44974</v>
      </c>
      <c r="C129" s="6" t="s">
        <v>175</v>
      </c>
      <c r="D129" s="6" t="s">
        <v>49</v>
      </c>
      <c r="E129" s="6" t="n">
        <v>27</v>
      </c>
      <c r="F129" s="6" t="s">
        <v>45</v>
      </c>
      <c r="G129" s="6" t="n">
        <v>4</v>
      </c>
      <c r="H129" s="8" t="n">
        <v>50</v>
      </c>
      <c r="I129" s="8" t="n">
        <f aca="false">G129*H129</f>
        <v>200</v>
      </c>
    </row>
    <row r="130" customFormat="false" ht="15" hidden="false" customHeight="false" outlineLevel="0" collapsed="false">
      <c r="A130" s="6" t="n">
        <v>42</v>
      </c>
      <c r="B130" s="7" t="n">
        <v>44974</v>
      </c>
      <c r="C130" s="6" t="s">
        <v>176</v>
      </c>
      <c r="D130" s="6" t="s">
        <v>44</v>
      </c>
      <c r="E130" s="6" t="n">
        <v>22</v>
      </c>
      <c r="F130" s="6" t="s">
        <v>47</v>
      </c>
      <c r="G130" s="6" t="n">
        <v>3</v>
      </c>
      <c r="H130" s="8" t="n">
        <v>300</v>
      </c>
      <c r="I130" s="8" t="n">
        <f aca="false">G130*H130</f>
        <v>900</v>
      </c>
    </row>
    <row r="131" customFormat="false" ht="15" hidden="false" customHeight="false" outlineLevel="0" collapsed="false">
      <c r="A131" s="6" t="n">
        <v>256</v>
      </c>
      <c r="B131" s="7" t="n">
        <v>44975</v>
      </c>
      <c r="C131" s="6" t="s">
        <v>177</v>
      </c>
      <c r="D131" s="6" t="s">
        <v>44</v>
      </c>
      <c r="E131" s="6" t="n">
        <v>23</v>
      </c>
      <c r="F131" s="6" t="s">
        <v>47</v>
      </c>
      <c r="G131" s="6" t="n">
        <v>2</v>
      </c>
      <c r="H131" s="8" t="n">
        <v>500</v>
      </c>
      <c r="I131" s="8" t="n">
        <f aca="false">G131*H131</f>
        <v>1000</v>
      </c>
    </row>
    <row r="132" customFormat="false" ht="15" hidden="false" customHeight="false" outlineLevel="0" collapsed="false">
      <c r="A132" s="6" t="n">
        <v>44</v>
      </c>
      <c r="B132" s="7" t="n">
        <v>44976</v>
      </c>
      <c r="C132" s="6" t="s">
        <v>178</v>
      </c>
      <c r="D132" s="6" t="s">
        <v>49</v>
      </c>
      <c r="E132" s="6" t="n">
        <v>22</v>
      </c>
      <c r="F132" s="6" t="s">
        <v>47</v>
      </c>
      <c r="G132" s="6" t="n">
        <v>1</v>
      </c>
      <c r="H132" s="8" t="n">
        <v>25</v>
      </c>
      <c r="I132" s="8" t="n">
        <f aca="false">G132*H132</f>
        <v>25</v>
      </c>
    </row>
    <row r="133" customFormat="false" ht="15" hidden="false" customHeight="false" outlineLevel="0" collapsed="false">
      <c r="A133" s="6" t="n">
        <v>257</v>
      </c>
      <c r="B133" s="7" t="n">
        <v>44976</v>
      </c>
      <c r="C133" s="6" t="s">
        <v>179</v>
      </c>
      <c r="D133" s="6" t="s">
        <v>44</v>
      </c>
      <c r="E133" s="6" t="n">
        <v>19</v>
      </c>
      <c r="F133" s="6" t="s">
        <v>45</v>
      </c>
      <c r="G133" s="6" t="n">
        <v>4</v>
      </c>
      <c r="H133" s="8" t="n">
        <v>500</v>
      </c>
      <c r="I133" s="8" t="n">
        <f aca="false">G133*H133</f>
        <v>2000</v>
      </c>
    </row>
    <row r="134" customFormat="false" ht="15" hidden="false" customHeight="false" outlineLevel="0" collapsed="false">
      <c r="A134" s="6" t="n">
        <v>966</v>
      </c>
      <c r="B134" s="7" t="n">
        <v>44977</v>
      </c>
      <c r="C134" s="6" t="s">
        <v>180</v>
      </c>
      <c r="D134" s="6" t="s">
        <v>44</v>
      </c>
      <c r="E134" s="6" t="n">
        <v>60</v>
      </c>
      <c r="F134" s="6" t="s">
        <v>51</v>
      </c>
      <c r="G134" s="6" t="n">
        <v>2</v>
      </c>
      <c r="H134" s="8" t="n">
        <v>500</v>
      </c>
      <c r="I134" s="8" t="n">
        <f aca="false">G134*H134</f>
        <v>1000</v>
      </c>
    </row>
    <row r="135" customFormat="false" ht="15" hidden="false" customHeight="false" outlineLevel="0" collapsed="false">
      <c r="A135" s="6" t="n">
        <v>268</v>
      </c>
      <c r="B135" s="7" t="n">
        <v>44977</v>
      </c>
      <c r="C135" s="6" t="s">
        <v>181</v>
      </c>
      <c r="D135" s="6" t="s">
        <v>49</v>
      </c>
      <c r="E135" s="6" t="n">
        <v>28</v>
      </c>
      <c r="F135" s="6" t="s">
        <v>51</v>
      </c>
      <c r="G135" s="6" t="n">
        <v>1</v>
      </c>
      <c r="H135" s="8" t="n">
        <v>30</v>
      </c>
      <c r="I135" s="8" t="n">
        <f aca="false">G135*H135</f>
        <v>30</v>
      </c>
    </row>
    <row r="136" customFormat="false" ht="15" hidden="false" customHeight="false" outlineLevel="0" collapsed="false">
      <c r="A136" s="6" t="n">
        <v>287</v>
      </c>
      <c r="B136" s="7" t="n">
        <v>44977</v>
      </c>
      <c r="C136" s="6" t="s">
        <v>182</v>
      </c>
      <c r="D136" s="6" t="s">
        <v>44</v>
      </c>
      <c r="E136" s="6" t="n">
        <v>54</v>
      </c>
      <c r="F136" s="6" t="s">
        <v>47</v>
      </c>
      <c r="G136" s="6" t="n">
        <v>4</v>
      </c>
      <c r="H136" s="8" t="n">
        <v>25</v>
      </c>
      <c r="I136" s="8" t="n">
        <f aca="false">G136*H136</f>
        <v>100</v>
      </c>
    </row>
    <row r="137" customFormat="false" ht="15" hidden="false" customHeight="false" outlineLevel="0" collapsed="false">
      <c r="A137" s="6" t="n">
        <v>900</v>
      </c>
      <c r="B137" s="7" t="n">
        <v>44978</v>
      </c>
      <c r="C137" s="6" t="s">
        <v>183</v>
      </c>
      <c r="D137" s="6" t="s">
        <v>44</v>
      </c>
      <c r="E137" s="6" t="n">
        <v>21</v>
      </c>
      <c r="F137" s="6" t="s">
        <v>47</v>
      </c>
      <c r="G137" s="6" t="n">
        <v>2</v>
      </c>
      <c r="H137" s="8" t="n">
        <v>30</v>
      </c>
      <c r="I137" s="8" t="n">
        <f aca="false">G137*H137</f>
        <v>60</v>
      </c>
    </row>
    <row r="138" customFormat="false" ht="15" hidden="false" customHeight="false" outlineLevel="0" collapsed="false">
      <c r="A138" s="6" t="n">
        <v>371</v>
      </c>
      <c r="B138" s="7" t="n">
        <v>44978</v>
      </c>
      <c r="C138" s="6" t="s">
        <v>184</v>
      </c>
      <c r="D138" s="6" t="s">
        <v>49</v>
      </c>
      <c r="E138" s="6" t="n">
        <v>20</v>
      </c>
      <c r="F138" s="6" t="s">
        <v>45</v>
      </c>
      <c r="G138" s="6" t="n">
        <v>1</v>
      </c>
      <c r="H138" s="8" t="n">
        <v>25</v>
      </c>
      <c r="I138" s="8" t="n">
        <f aca="false">G138*H138</f>
        <v>25</v>
      </c>
    </row>
    <row r="139" customFormat="false" ht="15" hidden="false" customHeight="false" outlineLevel="0" collapsed="false">
      <c r="A139" s="6" t="n">
        <v>70</v>
      </c>
      <c r="B139" s="7" t="n">
        <v>44978</v>
      </c>
      <c r="C139" s="6" t="s">
        <v>185</v>
      </c>
      <c r="D139" s="6" t="s">
        <v>49</v>
      </c>
      <c r="E139" s="6" t="n">
        <v>43</v>
      </c>
      <c r="F139" s="6" t="s">
        <v>47</v>
      </c>
      <c r="G139" s="6" t="n">
        <v>1</v>
      </c>
      <c r="H139" s="8" t="n">
        <v>300</v>
      </c>
      <c r="I139" s="8" t="n">
        <f aca="false">G139*H139</f>
        <v>300</v>
      </c>
    </row>
    <row r="140" customFormat="false" ht="15" hidden="false" customHeight="false" outlineLevel="0" collapsed="false">
      <c r="A140" s="6" t="n">
        <v>920</v>
      </c>
      <c r="B140" s="7" t="n">
        <v>44979</v>
      </c>
      <c r="C140" s="6" t="s">
        <v>186</v>
      </c>
      <c r="D140" s="6" t="s">
        <v>49</v>
      </c>
      <c r="E140" s="6" t="n">
        <v>28</v>
      </c>
      <c r="F140" s="6" t="s">
        <v>45</v>
      </c>
      <c r="G140" s="6" t="n">
        <v>3</v>
      </c>
      <c r="H140" s="8" t="n">
        <v>25</v>
      </c>
      <c r="I140" s="8" t="n">
        <f aca="false">G140*H140</f>
        <v>75</v>
      </c>
    </row>
    <row r="141" customFormat="false" ht="15" hidden="false" customHeight="false" outlineLevel="0" collapsed="false">
      <c r="A141" s="6" t="n">
        <v>780</v>
      </c>
      <c r="B141" s="7" t="n">
        <v>44979</v>
      </c>
      <c r="C141" s="6" t="s">
        <v>187</v>
      </c>
      <c r="D141" s="6" t="s">
        <v>44</v>
      </c>
      <c r="E141" s="6" t="n">
        <v>52</v>
      </c>
      <c r="F141" s="6" t="s">
        <v>51</v>
      </c>
      <c r="G141" s="6" t="n">
        <v>2</v>
      </c>
      <c r="H141" s="8" t="n">
        <v>25</v>
      </c>
      <c r="I141" s="8" t="n">
        <f aca="false">G141*H141</f>
        <v>50</v>
      </c>
    </row>
    <row r="142" customFormat="false" ht="15" hidden="false" customHeight="false" outlineLevel="0" collapsed="false">
      <c r="A142" s="6" t="n">
        <v>8</v>
      </c>
      <c r="B142" s="7" t="n">
        <v>44979</v>
      </c>
      <c r="C142" s="6" t="s">
        <v>188</v>
      </c>
      <c r="D142" s="6" t="s">
        <v>44</v>
      </c>
      <c r="E142" s="6" t="n">
        <v>30</v>
      </c>
      <c r="F142" s="6" t="s">
        <v>51</v>
      </c>
      <c r="G142" s="6" t="n">
        <v>4</v>
      </c>
      <c r="H142" s="8" t="n">
        <v>25</v>
      </c>
      <c r="I142" s="8" t="n">
        <f aca="false">G142*H142</f>
        <v>100</v>
      </c>
    </row>
    <row r="143" customFormat="false" ht="15" hidden="false" customHeight="false" outlineLevel="0" collapsed="false">
      <c r="A143" s="6" t="n">
        <v>41</v>
      </c>
      <c r="B143" s="7" t="n">
        <v>44979</v>
      </c>
      <c r="C143" s="6" t="s">
        <v>189</v>
      </c>
      <c r="D143" s="6" t="s">
        <v>44</v>
      </c>
      <c r="E143" s="6" t="n">
        <v>34</v>
      </c>
      <c r="F143" s="6" t="s">
        <v>47</v>
      </c>
      <c r="G143" s="6" t="n">
        <v>2</v>
      </c>
      <c r="H143" s="8" t="n">
        <v>25</v>
      </c>
      <c r="I143" s="8" t="n">
        <f aca="false">G143*H143</f>
        <v>50</v>
      </c>
    </row>
    <row r="144" customFormat="false" ht="15" hidden="false" customHeight="false" outlineLevel="0" collapsed="false">
      <c r="A144" s="6" t="n">
        <v>454</v>
      </c>
      <c r="B144" s="7" t="n">
        <v>44979</v>
      </c>
      <c r="C144" s="6" t="s">
        <v>190</v>
      </c>
      <c r="D144" s="6" t="s">
        <v>49</v>
      </c>
      <c r="E144" s="6" t="n">
        <v>46</v>
      </c>
      <c r="F144" s="6" t="s">
        <v>45</v>
      </c>
      <c r="G144" s="6" t="n">
        <v>1</v>
      </c>
      <c r="H144" s="8" t="n">
        <v>25</v>
      </c>
      <c r="I144" s="8" t="n">
        <f aca="false">G144*H144</f>
        <v>25</v>
      </c>
    </row>
    <row r="145" customFormat="false" ht="15" hidden="false" customHeight="false" outlineLevel="0" collapsed="false">
      <c r="A145" s="6" t="n">
        <v>396</v>
      </c>
      <c r="B145" s="7" t="n">
        <v>44980</v>
      </c>
      <c r="C145" s="6" t="s">
        <v>191</v>
      </c>
      <c r="D145" s="6" t="s">
        <v>49</v>
      </c>
      <c r="E145" s="6" t="n">
        <v>55</v>
      </c>
      <c r="F145" s="6" t="s">
        <v>45</v>
      </c>
      <c r="G145" s="6" t="n">
        <v>1</v>
      </c>
      <c r="H145" s="8" t="n">
        <v>30</v>
      </c>
      <c r="I145" s="8" t="n">
        <f aca="false">G145*H145</f>
        <v>30</v>
      </c>
    </row>
    <row r="146" customFormat="false" ht="15" hidden="false" customHeight="false" outlineLevel="0" collapsed="false">
      <c r="A146" s="6" t="n">
        <v>400</v>
      </c>
      <c r="B146" s="7" t="n">
        <v>44981</v>
      </c>
      <c r="C146" s="6" t="s">
        <v>192</v>
      </c>
      <c r="D146" s="6" t="s">
        <v>44</v>
      </c>
      <c r="E146" s="6" t="n">
        <v>53</v>
      </c>
      <c r="F146" s="6" t="s">
        <v>47</v>
      </c>
      <c r="G146" s="6" t="n">
        <v>4</v>
      </c>
      <c r="H146" s="8" t="n">
        <v>50</v>
      </c>
      <c r="I146" s="8" t="n">
        <f aca="false">G146*H146</f>
        <v>200</v>
      </c>
    </row>
    <row r="147" customFormat="false" ht="15" hidden="false" customHeight="false" outlineLevel="0" collapsed="false">
      <c r="A147" s="6" t="n">
        <v>611</v>
      </c>
      <c r="B147" s="7" t="n">
        <v>44981</v>
      </c>
      <c r="C147" s="6" t="s">
        <v>193</v>
      </c>
      <c r="D147" s="6" t="s">
        <v>44</v>
      </c>
      <c r="E147" s="6" t="n">
        <v>51</v>
      </c>
      <c r="F147" s="6" t="s">
        <v>45</v>
      </c>
      <c r="G147" s="6" t="n">
        <v>3</v>
      </c>
      <c r="H147" s="8" t="n">
        <v>500</v>
      </c>
      <c r="I147" s="8" t="n">
        <f aca="false">G147*H147</f>
        <v>1500</v>
      </c>
    </row>
    <row r="148" customFormat="false" ht="15" hidden="false" customHeight="false" outlineLevel="0" collapsed="false">
      <c r="A148" s="6" t="n">
        <v>800</v>
      </c>
      <c r="B148" s="7" t="n">
        <v>44981</v>
      </c>
      <c r="C148" s="6" t="s">
        <v>194</v>
      </c>
      <c r="D148" s="6" t="s">
        <v>44</v>
      </c>
      <c r="E148" s="6" t="n">
        <v>32</v>
      </c>
      <c r="F148" s="6" t="s">
        <v>47</v>
      </c>
      <c r="G148" s="6" t="n">
        <v>4</v>
      </c>
      <c r="H148" s="8" t="n">
        <v>300</v>
      </c>
      <c r="I148" s="8" t="n">
        <f aca="false">G148*H148</f>
        <v>1200</v>
      </c>
    </row>
    <row r="149" customFormat="false" ht="15" hidden="false" customHeight="false" outlineLevel="0" collapsed="false">
      <c r="A149" s="6" t="n">
        <v>168</v>
      </c>
      <c r="B149" s="7" t="n">
        <v>44981</v>
      </c>
      <c r="C149" s="6" t="s">
        <v>195</v>
      </c>
      <c r="D149" s="6" t="s">
        <v>44</v>
      </c>
      <c r="E149" s="6" t="n">
        <v>53</v>
      </c>
      <c r="F149" s="6" t="s">
        <v>47</v>
      </c>
      <c r="G149" s="6" t="n">
        <v>1</v>
      </c>
      <c r="H149" s="8" t="n">
        <v>300</v>
      </c>
      <c r="I149" s="8" t="n">
        <f aca="false">G149*H149</f>
        <v>300</v>
      </c>
    </row>
    <row r="150" customFormat="false" ht="15" hidden="false" customHeight="false" outlineLevel="0" collapsed="false">
      <c r="A150" s="6" t="n">
        <v>473</v>
      </c>
      <c r="B150" s="7" t="n">
        <v>44982</v>
      </c>
      <c r="C150" s="6" t="s">
        <v>196</v>
      </c>
      <c r="D150" s="6" t="s">
        <v>44</v>
      </c>
      <c r="E150" s="6" t="n">
        <v>64</v>
      </c>
      <c r="F150" s="6" t="s">
        <v>45</v>
      </c>
      <c r="G150" s="6" t="n">
        <v>1</v>
      </c>
      <c r="H150" s="8" t="n">
        <v>50</v>
      </c>
      <c r="I150" s="8" t="n">
        <f aca="false">G150*H150</f>
        <v>50</v>
      </c>
    </row>
    <row r="151" customFormat="false" ht="15" hidden="false" customHeight="false" outlineLevel="0" collapsed="false">
      <c r="A151" s="6" t="n">
        <v>506</v>
      </c>
      <c r="B151" s="7" t="n">
        <v>44982</v>
      </c>
      <c r="C151" s="6" t="s">
        <v>197</v>
      </c>
      <c r="D151" s="6" t="s">
        <v>44</v>
      </c>
      <c r="E151" s="6" t="n">
        <v>34</v>
      </c>
      <c r="F151" s="6" t="s">
        <v>45</v>
      </c>
      <c r="G151" s="6" t="n">
        <v>3</v>
      </c>
      <c r="H151" s="8" t="n">
        <v>500</v>
      </c>
      <c r="I151" s="8" t="n">
        <f aca="false">G151*H151</f>
        <v>1500</v>
      </c>
    </row>
    <row r="152" customFormat="false" ht="15" hidden="false" customHeight="false" outlineLevel="0" collapsed="false">
      <c r="A152" s="6" t="n">
        <v>766</v>
      </c>
      <c r="B152" s="7" t="n">
        <v>44982</v>
      </c>
      <c r="C152" s="6" t="s">
        <v>198</v>
      </c>
      <c r="D152" s="6" t="s">
        <v>44</v>
      </c>
      <c r="E152" s="6" t="n">
        <v>38</v>
      </c>
      <c r="F152" s="6" t="s">
        <v>51</v>
      </c>
      <c r="G152" s="6" t="n">
        <v>3</v>
      </c>
      <c r="H152" s="8" t="n">
        <v>300</v>
      </c>
      <c r="I152" s="8" t="n">
        <f aca="false">G152*H152</f>
        <v>900</v>
      </c>
    </row>
    <row r="153" customFormat="false" ht="15" hidden="false" customHeight="false" outlineLevel="0" collapsed="false">
      <c r="A153" s="6" t="n">
        <v>272</v>
      </c>
      <c r="B153" s="7" t="n">
        <v>44982</v>
      </c>
      <c r="C153" s="6" t="s">
        <v>199</v>
      </c>
      <c r="D153" s="6" t="s">
        <v>49</v>
      </c>
      <c r="E153" s="6" t="n">
        <v>61</v>
      </c>
      <c r="F153" s="6" t="s">
        <v>51</v>
      </c>
      <c r="G153" s="6" t="n">
        <v>2</v>
      </c>
      <c r="H153" s="8" t="n">
        <v>50</v>
      </c>
      <c r="I153" s="8" t="n">
        <f aca="false">G153*H153</f>
        <v>100</v>
      </c>
    </row>
    <row r="154" customFormat="false" ht="15" hidden="false" customHeight="false" outlineLevel="0" collapsed="false">
      <c r="A154" s="6" t="n">
        <v>135</v>
      </c>
      <c r="B154" s="7" t="n">
        <v>44983</v>
      </c>
      <c r="C154" s="6" t="s">
        <v>200</v>
      </c>
      <c r="D154" s="6" t="s">
        <v>44</v>
      </c>
      <c r="E154" s="6" t="n">
        <v>20</v>
      </c>
      <c r="F154" s="6" t="s">
        <v>47</v>
      </c>
      <c r="G154" s="6" t="n">
        <v>2</v>
      </c>
      <c r="H154" s="8" t="n">
        <v>25</v>
      </c>
      <c r="I154" s="8" t="n">
        <f aca="false">G154*H154</f>
        <v>50</v>
      </c>
    </row>
    <row r="155" customFormat="false" ht="15" hidden="false" customHeight="false" outlineLevel="0" collapsed="false">
      <c r="A155" s="6" t="n">
        <v>185</v>
      </c>
      <c r="B155" s="7" t="n">
        <v>44984</v>
      </c>
      <c r="C155" s="6" t="s">
        <v>201</v>
      </c>
      <c r="D155" s="6" t="s">
        <v>44</v>
      </c>
      <c r="E155" s="6" t="n">
        <v>24</v>
      </c>
      <c r="F155" s="6" t="s">
        <v>47</v>
      </c>
      <c r="G155" s="6" t="n">
        <v>1</v>
      </c>
      <c r="H155" s="8" t="n">
        <v>25</v>
      </c>
      <c r="I155" s="8" t="n">
        <f aca="false">G155*H155</f>
        <v>25</v>
      </c>
    </row>
    <row r="156" customFormat="false" ht="15" hidden="false" customHeight="false" outlineLevel="0" collapsed="false">
      <c r="A156" s="6" t="n">
        <v>158</v>
      </c>
      <c r="B156" s="7" t="n">
        <v>44984</v>
      </c>
      <c r="C156" s="6" t="s">
        <v>202</v>
      </c>
      <c r="D156" s="6" t="s">
        <v>49</v>
      </c>
      <c r="E156" s="6" t="n">
        <v>44</v>
      </c>
      <c r="F156" s="6" t="s">
        <v>51</v>
      </c>
      <c r="G156" s="6" t="n">
        <v>2</v>
      </c>
      <c r="H156" s="8" t="n">
        <v>300</v>
      </c>
      <c r="I156" s="8" t="n">
        <f aca="false">G156*H156</f>
        <v>600</v>
      </c>
    </row>
    <row r="157" customFormat="false" ht="15" hidden="false" customHeight="false" outlineLevel="0" collapsed="false">
      <c r="A157" s="6" t="n">
        <v>433</v>
      </c>
      <c r="B157" s="7" t="n">
        <v>44984</v>
      </c>
      <c r="C157" s="6" t="s">
        <v>203</v>
      </c>
      <c r="D157" s="6" t="s">
        <v>44</v>
      </c>
      <c r="E157" s="6" t="n">
        <v>29</v>
      </c>
      <c r="F157" s="6" t="s">
        <v>45</v>
      </c>
      <c r="G157" s="6" t="n">
        <v>4</v>
      </c>
      <c r="H157" s="8" t="n">
        <v>50</v>
      </c>
      <c r="I157" s="8" t="n">
        <f aca="false">G157*H157</f>
        <v>200</v>
      </c>
    </row>
    <row r="158" customFormat="false" ht="15" hidden="false" customHeight="false" outlineLevel="0" collapsed="false">
      <c r="A158" s="6" t="n">
        <v>2</v>
      </c>
      <c r="B158" s="7" t="n">
        <v>44984</v>
      </c>
      <c r="C158" s="6" t="s">
        <v>204</v>
      </c>
      <c r="D158" s="6" t="s">
        <v>49</v>
      </c>
      <c r="E158" s="6" t="n">
        <v>26</v>
      </c>
      <c r="F158" s="6" t="s">
        <v>47</v>
      </c>
      <c r="G158" s="6" t="n">
        <v>2</v>
      </c>
      <c r="H158" s="8" t="n">
        <v>500</v>
      </c>
      <c r="I158" s="8" t="n">
        <f aca="false">G158*H158</f>
        <v>1000</v>
      </c>
    </row>
    <row r="159" customFormat="false" ht="15" hidden="false" customHeight="false" outlineLevel="0" collapsed="false">
      <c r="A159" s="6" t="n">
        <v>152</v>
      </c>
      <c r="B159" s="7" t="n">
        <v>44985</v>
      </c>
      <c r="C159" s="6" t="s">
        <v>205</v>
      </c>
      <c r="D159" s="6" t="s">
        <v>44</v>
      </c>
      <c r="E159" s="6" t="n">
        <v>43</v>
      </c>
      <c r="F159" s="6" t="s">
        <v>51</v>
      </c>
      <c r="G159" s="6" t="n">
        <v>4</v>
      </c>
      <c r="H159" s="8" t="n">
        <v>500</v>
      </c>
      <c r="I159" s="8" t="n">
        <f aca="false">G159*H159</f>
        <v>2000</v>
      </c>
    </row>
    <row r="160" customFormat="false" ht="15" hidden="false" customHeight="false" outlineLevel="0" collapsed="false">
      <c r="A160" s="6" t="n">
        <v>763</v>
      </c>
      <c r="B160" s="7" t="n">
        <v>44985</v>
      </c>
      <c r="C160" s="6" t="s">
        <v>206</v>
      </c>
      <c r="D160" s="6" t="s">
        <v>44</v>
      </c>
      <c r="E160" s="6" t="n">
        <v>34</v>
      </c>
      <c r="F160" s="6" t="s">
        <v>47</v>
      </c>
      <c r="G160" s="6" t="n">
        <v>2</v>
      </c>
      <c r="H160" s="8" t="n">
        <v>25</v>
      </c>
      <c r="I160" s="8" t="n">
        <f aca="false">G160*H160</f>
        <v>50</v>
      </c>
    </row>
    <row r="161" customFormat="false" ht="15" hidden="false" customHeight="false" outlineLevel="0" collapsed="false">
      <c r="A161" s="6" t="n">
        <v>753</v>
      </c>
      <c r="B161" s="7" t="n">
        <v>44985</v>
      </c>
      <c r="C161" s="6" t="s">
        <v>207</v>
      </c>
      <c r="D161" s="6" t="s">
        <v>49</v>
      </c>
      <c r="E161" s="6" t="n">
        <v>32</v>
      </c>
      <c r="F161" s="6" t="s">
        <v>47</v>
      </c>
      <c r="G161" s="6" t="n">
        <v>1</v>
      </c>
      <c r="H161" s="8" t="n">
        <v>30</v>
      </c>
      <c r="I161" s="8" t="n">
        <f aca="false">G161*H161</f>
        <v>30</v>
      </c>
    </row>
    <row r="162" customFormat="false" ht="15" hidden="false" customHeight="false" outlineLevel="0" collapsed="false">
      <c r="A162" s="6" t="n">
        <v>932</v>
      </c>
      <c r="B162" s="7" t="n">
        <v>44985</v>
      </c>
      <c r="C162" s="6" t="s">
        <v>208</v>
      </c>
      <c r="D162" s="6" t="s">
        <v>49</v>
      </c>
      <c r="E162" s="6" t="n">
        <v>45</v>
      </c>
      <c r="F162" s="6" t="s">
        <v>45</v>
      </c>
      <c r="G162" s="6" t="n">
        <v>4</v>
      </c>
      <c r="H162" s="8" t="n">
        <v>25</v>
      </c>
      <c r="I162" s="8" t="n">
        <f aca="false">G162*H162</f>
        <v>100</v>
      </c>
    </row>
    <row r="163" customFormat="false" ht="15" hidden="false" customHeight="false" outlineLevel="0" collapsed="false">
      <c r="A163" s="6" t="n">
        <v>399</v>
      </c>
      <c r="B163" s="7" t="n">
        <v>44986</v>
      </c>
      <c r="C163" s="6" t="s">
        <v>209</v>
      </c>
      <c r="D163" s="6" t="s">
        <v>49</v>
      </c>
      <c r="E163" s="6" t="n">
        <v>64</v>
      </c>
      <c r="F163" s="6" t="s">
        <v>45</v>
      </c>
      <c r="G163" s="6" t="n">
        <v>2</v>
      </c>
      <c r="H163" s="8" t="n">
        <v>30</v>
      </c>
      <c r="I163" s="8" t="n">
        <f aca="false">G163*H163</f>
        <v>60</v>
      </c>
    </row>
    <row r="164" customFormat="false" ht="15" hidden="false" customHeight="false" outlineLevel="0" collapsed="false">
      <c r="A164" s="6" t="n">
        <v>500</v>
      </c>
      <c r="B164" s="7" t="n">
        <v>44986</v>
      </c>
      <c r="C164" s="6" t="s">
        <v>210</v>
      </c>
      <c r="D164" s="6" t="s">
        <v>49</v>
      </c>
      <c r="E164" s="6" t="n">
        <v>60</v>
      </c>
      <c r="F164" s="6" t="s">
        <v>45</v>
      </c>
      <c r="G164" s="6" t="n">
        <v>4</v>
      </c>
      <c r="H164" s="8" t="n">
        <v>25</v>
      </c>
      <c r="I164" s="8" t="n">
        <f aca="false">G164*H164</f>
        <v>100</v>
      </c>
    </row>
    <row r="165" customFormat="false" ht="15" hidden="false" customHeight="false" outlineLevel="0" collapsed="false">
      <c r="A165" s="6" t="n">
        <v>514</v>
      </c>
      <c r="B165" s="7" t="n">
        <v>44986</v>
      </c>
      <c r="C165" s="6" t="s">
        <v>211</v>
      </c>
      <c r="D165" s="6" t="s">
        <v>49</v>
      </c>
      <c r="E165" s="6" t="n">
        <v>18</v>
      </c>
      <c r="F165" s="6" t="s">
        <v>51</v>
      </c>
      <c r="G165" s="6" t="n">
        <v>1</v>
      </c>
      <c r="H165" s="8" t="n">
        <v>300</v>
      </c>
      <c r="I165" s="8" t="n">
        <f aca="false">G165*H165</f>
        <v>300</v>
      </c>
    </row>
    <row r="166" customFormat="false" ht="15" hidden="false" customHeight="false" outlineLevel="0" collapsed="false">
      <c r="A166" s="6" t="n">
        <v>947</v>
      </c>
      <c r="B166" s="7" t="n">
        <v>44987</v>
      </c>
      <c r="C166" s="6" t="s">
        <v>212</v>
      </c>
      <c r="D166" s="6" t="s">
        <v>44</v>
      </c>
      <c r="E166" s="6" t="n">
        <v>50</v>
      </c>
      <c r="F166" s="6" t="s">
        <v>45</v>
      </c>
      <c r="G166" s="6" t="n">
        <v>1</v>
      </c>
      <c r="H166" s="8" t="n">
        <v>300</v>
      </c>
      <c r="I166" s="8" t="n">
        <f aca="false">G166*H166</f>
        <v>300</v>
      </c>
    </row>
    <row r="167" customFormat="false" ht="15" hidden="false" customHeight="false" outlineLevel="0" collapsed="false">
      <c r="A167" s="6" t="n">
        <v>888</v>
      </c>
      <c r="B167" s="7" t="n">
        <v>44988</v>
      </c>
      <c r="C167" s="6" t="s">
        <v>213</v>
      </c>
      <c r="D167" s="6" t="s">
        <v>49</v>
      </c>
      <c r="E167" s="6" t="n">
        <v>52</v>
      </c>
      <c r="F167" s="6" t="s">
        <v>51</v>
      </c>
      <c r="G167" s="6" t="n">
        <v>4</v>
      </c>
      <c r="H167" s="8" t="n">
        <v>25</v>
      </c>
      <c r="I167" s="8" t="n">
        <f aca="false">G167*H167</f>
        <v>100</v>
      </c>
    </row>
    <row r="168" customFormat="false" ht="15" hidden="false" customHeight="false" outlineLevel="0" collapsed="false">
      <c r="A168" s="6" t="n">
        <v>885</v>
      </c>
      <c r="B168" s="7" t="n">
        <v>44988</v>
      </c>
      <c r="C168" s="6" t="s">
        <v>214</v>
      </c>
      <c r="D168" s="6" t="s">
        <v>49</v>
      </c>
      <c r="E168" s="6" t="n">
        <v>52</v>
      </c>
      <c r="F168" s="6" t="s">
        <v>47</v>
      </c>
      <c r="G168" s="6" t="n">
        <v>4</v>
      </c>
      <c r="H168" s="8" t="n">
        <v>30</v>
      </c>
      <c r="I168" s="8" t="n">
        <f aca="false">G168*H168</f>
        <v>120</v>
      </c>
    </row>
    <row r="169" customFormat="false" ht="15" hidden="false" customHeight="false" outlineLevel="0" collapsed="false">
      <c r="A169" s="6" t="n">
        <v>220</v>
      </c>
      <c r="B169" s="7" t="n">
        <v>44988</v>
      </c>
      <c r="C169" s="6" t="s">
        <v>215</v>
      </c>
      <c r="D169" s="6" t="s">
        <v>44</v>
      </c>
      <c r="E169" s="6" t="n">
        <v>64</v>
      </c>
      <c r="F169" s="6" t="s">
        <v>45</v>
      </c>
      <c r="G169" s="6" t="n">
        <v>1</v>
      </c>
      <c r="H169" s="8" t="n">
        <v>500</v>
      </c>
      <c r="I169" s="8" t="n">
        <f aca="false">G169*H169</f>
        <v>500</v>
      </c>
    </row>
    <row r="170" customFormat="false" ht="15" hidden="false" customHeight="false" outlineLevel="0" collapsed="false">
      <c r="A170" s="6" t="n">
        <v>339</v>
      </c>
      <c r="B170" s="7" t="n">
        <v>44988</v>
      </c>
      <c r="C170" s="6" t="s">
        <v>216</v>
      </c>
      <c r="D170" s="6" t="s">
        <v>49</v>
      </c>
      <c r="E170" s="6" t="n">
        <v>22</v>
      </c>
      <c r="F170" s="6" t="s">
        <v>51</v>
      </c>
      <c r="G170" s="6" t="n">
        <v>2</v>
      </c>
      <c r="H170" s="8" t="n">
        <v>25</v>
      </c>
      <c r="I170" s="8" t="n">
        <f aca="false">G170*H170</f>
        <v>50</v>
      </c>
    </row>
    <row r="171" customFormat="false" ht="15" hidden="false" customHeight="false" outlineLevel="0" collapsed="false">
      <c r="A171" s="6" t="n">
        <v>785</v>
      </c>
      <c r="B171" s="7" t="n">
        <v>44988</v>
      </c>
      <c r="C171" s="6" t="s">
        <v>217</v>
      </c>
      <c r="D171" s="6" t="s">
        <v>49</v>
      </c>
      <c r="E171" s="6" t="n">
        <v>31</v>
      </c>
      <c r="F171" s="6" t="s">
        <v>45</v>
      </c>
      <c r="G171" s="6" t="n">
        <v>4</v>
      </c>
      <c r="H171" s="8" t="n">
        <v>50</v>
      </c>
      <c r="I171" s="8" t="n">
        <f aca="false">G171*H171</f>
        <v>200</v>
      </c>
    </row>
    <row r="172" customFormat="false" ht="15" hidden="false" customHeight="false" outlineLevel="0" collapsed="false">
      <c r="A172" s="6" t="n">
        <v>621</v>
      </c>
      <c r="B172" s="7" t="n">
        <v>44989</v>
      </c>
      <c r="C172" s="6" t="s">
        <v>218</v>
      </c>
      <c r="D172" s="6" t="s">
        <v>49</v>
      </c>
      <c r="E172" s="6" t="n">
        <v>40</v>
      </c>
      <c r="F172" s="6" t="s">
        <v>45</v>
      </c>
      <c r="G172" s="6" t="n">
        <v>2</v>
      </c>
      <c r="H172" s="8" t="n">
        <v>500</v>
      </c>
      <c r="I172" s="8" t="n">
        <f aca="false">G172*H172</f>
        <v>1000</v>
      </c>
    </row>
    <row r="173" customFormat="false" ht="15" hidden="false" customHeight="false" outlineLevel="0" collapsed="false">
      <c r="A173" s="6" t="n">
        <v>536</v>
      </c>
      <c r="B173" s="7" t="n">
        <v>44990</v>
      </c>
      <c r="C173" s="6" t="s">
        <v>219</v>
      </c>
      <c r="D173" s="6" t="s">
        <v>49</v>
      </c>
      <c r="E173" s="6" t="n">
        <v>55</v>
      </c>
      <c r="F173" s="6" t="s">
        <v>45</v>
      </c>
      <c r="G173" s="6" t="n">
        <v>4</v>
      </c>
      <c r="H173" s="8" t="n">
        <v>30</v>
      </c>
      <c r="I173" s="8" t="n">
        <f aca="false">G173*H173</f>
        <v>120</v>
      </c>
    </row>
    <row r="174" customFormat="false" ht="15" hidden="false" customHeight="false" outlineLevel="0" collapsed="false">
      <c r="A174" s="6" t="n">
        <v>52</v>
      </c>
      <c r="B174" s="7" t="n">
        <v>44990</v>
      </c>
      <c r="C174" s="6" t="s">
        <v>220</v>
      </c>
      <c r="D174" s="6" t="s">
        <v>49</v>
      </c>
      <c r="E174" s="6" t="n">
        <v>36</v>
      </c>
      <c r="F174" s="6" t="s">
        <v>45</v>
      </c>
      <c r="G174" s="6" t="n">
        <v>1</v>
      </c>
      <c r="H174" s="8" t="n">
        <v>300</v>
      </c>
      <c r="I174" s="8" t="n">
        <f aca="false">G174*H174</f>
        <v>300</v>
      </c>
    </row>
    <row r="175" customFormat="false" ht="15" hidden="false" customHeight="false" outlineLevel="0" collapsed="false">
      <c r="A175" s="6" t="n">
        <v>917</v>
      </c>
      <c r="B175" s="7" t="n">
        <v>44991</v>
      </c>
      <c r="C175" s="6" t="s">
        <v>221</v>
      </c>
      <c r="D175" s="6" t="s">
        <v>49</v>
      </c>
      <c r="E175" s="6" t="n">
        <v>57</v>
      </c>
      <c r="F175" s="6" t="s">
        <v>51</v>
      </c>
      <c r="G175" s="6" t="n">
        <v>4</v>
      </c>
      <c r="H175" s="8" t="n">
        <v>50</v>
      </c>
      <c r="I175" s="8" t="n">
        <f aca="false">G175*H175</f>
        <v>200</v>
      </c>
    </row>
    <row r="176" customFormat="false" ht="15" hidden="false" customHeight="false" outlineLevel="0" collapsed="false">
      <c r="A176" s="6" t="n">
        <v>910</v>
      </c>
      <c r="B176" s="7" t="n">
        <v>44991</v>
      </c>
      <c r="C176" s="6" t="s">
        <v>222</v>
      </c>
      <c r="D176" s="6" t="s">
        <v>49</v>
      </c>
      <c r="E176" s="6" t="n">
        <v>20</v>
      </c>
      <c r="F176" s="6" t="s">
        <v>45</v>
      </c>
      <c r="G176" s="6" t="n">
        <v>3</v>
      </c>
      <c r="H176" s="8" t="n">
        <v>50</v>
      </c>
      <c r="I176" s="8" t="n">
        <f aca="false">G176*H176</f>
        <v>150</v>
      </c>
    </row>
    <row r="177" customFormat="false" ht="15" hidden="false" customHeight="false" outlineLevel="0" collapsed="false">
      <c r="A177" s="6" t="n">
        <v>197</v>
      </c>
      <c r="B177" s="7" t="n">
        <v>44991</v>
      </c>
      <c r="C177" s="6" t="s">
        <v>223</v>
      </c>
      <c r="D177" s="6" t="s">
        <v>49</v>
      </c>
      <c r="E177" s="6" t="n">
        <v>42</v>
      </c>
      <c r="F177" s="6" t="s">
        <v>47</v>
      </c>
      <c r="G177" s="6" t="n">
        <v>4</v>
      </c>
      <c r="H177" s="8" t="n">
        <v>50</v>
      </c>
      <c r="I177" s="8" t="n">
        <f aca="false">G177*H177</f>
        <v>200</v>
      </c>
    </row>
    <row r="178" customFormat="false" ht="15" hidden="false" customHeight="false" outlineLevel="0" collapsed="false">
      <c r="A178" s="6" t="n">
        <v>750</v>
      </c>
      <c r="B178" s="7" t="n">
        <v>44991</v>
      </c>
      <c r="C178" s="6" t="s">
        <v>224</v>
      </c>
      <c r="D178" s="6" t="s">
        <v>49</v>
      </c>
      <c r="E178" s="6" t="n">
        <v>35</v>
      </c>
      <c r="F178" s="6" t="s">
        <v>47</v>
      </c>
      <c r="G178" s="6" t="n">
        <v>3</v>
      </c>
      <c r="H178" s="8" t="n">
        <v>25</v>
      </c>
      <c r="I178" s="8" t="n">
        <f aca="false">G178*H178</f>
        <v>75</v>
      </c>
    </row>
    <row r="179" customFormat="false" ht="15" hidden="false" customHeight="false" outlineLevel="0" collapsed="false">
      <c r="A179" s="6" t="n">
        <v>198</v>
      </c>
      <c r="B179" s="7" t="n">
        <v>44992</v>
      </c>
      <c r="C179" s="6" t="s">
        <v>225</v>
      </c>
      <c r="D179" s="6" t="s">
        <v>49</v>
      </c>
      <c r="E179" s="6" t="n">
        <v>54</v>
      </c>
      <c r="F179" s="6" t="s">
        <v>45</v>
      </c>
      <c r="G179" s="6" t="n">
        <v>3</v>
      </c>
      <c r="H179" s="8" t="n">
        <v>300</v>
      </c>
      <c r="I179" s="8" t="n">
        <f aca="false">G179*H179</f>
        <v>900</v>
      </c>
    </row>
    <row r="180" customFormat="false" ht="15" hidden="false" customHeight="false" outlineLevel="0" collapsed="false">
      <c r="A180" s="6" t="n">
        <v>547</v>
      </c>
      <c r="B180" s="7" t="n">
        <v>44992</v>
      </c>
      <c r="C180" s="6" t="s">
        <v>226</v>
      </c>
      <c r="D180" s="6" t="s">
        <v>44</v>
      </c>
      <c r="E180" s="6" t="n">
        <v>63</v>
      </c>
      <c r="F180" s="6" t="s">
        <v>47</v>
      </c>
      <c r="G180" s="6" t="n">
        <v>4</v>
      </c>
      <c r="H180" s="8" t="n">
        <v>500</v>
      </c>
      <c r="I180" s="8" t="n">
        <f aca="false">G180*H180</f>
        <v>2000</v>
      </c>
    </row>
    <row r="181" customFormat="false" ht="15" hidden="false" customHeight="false" outlineLevel="0" collapsed="false">
      <c r="A181" s="6" t="n">
        <v>705</v>
      </c>
      <c r="B181" s="7" t="n">
        <v>44992</v>
      </c>
      <c r="C181" s="6" t="s">
        <v>227</v>
      </c>
      <c r="D181" s="6" t="s">
        <v>44</v>
      </c>
      <c r="E181" s="6" t="n">
        <v>60</v>
      </c>
      <c r="F181" s="6" t="s">
        <v>51</v>
      </c>
      <c r="G181" s="6" t="n">
        <v>2</v>
      </c>
      <c r="H181" s="8" t="n">
        <v>25</v>
      </c>
      <c r="I181" s="8" t="n">
        <f aca="false">G181*H181</f>
        <v>50</v>
      </c>
    </row>
    <row r="182" customFormat="false" ht="15" hidden="false" customHeight="false" outlineLevel="0" collapsed="false">
      <c r="A182" s="6" t="n">
        <v>444</v>
      </c>
      <c r="B182" s="7" t="n">
        <v>44992</v>
      </c>
      <c r="C182" s="6" t="s">
        <v>228</v>
      </c>
      <c r="D182" s="6" t="s">
        <v>49</v>
      </c>
      <c r="E182" s="6" t="n">
        <v>61</v>
      </c>
      <c r="F182" s="6" t="s">
        <v>47</v>
      </c>
      <c r="G182" s="6" t="n">
        <v>3</v>
      </c>
      <c r="H182" s="8" t="n">
        <v>30</v>
      </c>
      <c r="I182" s="8" t="n">
        <f aca="false">G182*H182</f>
        <v>90</v>
      </c>
    </row>
    <row r="183" customFormat="false" ht="15" hidden="false" customHeight="false" outlineLevel="0" collapsed="false">
      <c r="A183" s="6" t="n">
        <v>423</v>
      </c>
      <c r="B183" s="7" t="n">
        <v>44993</v>
      </c>
      <c r="C183" s="6" t="s">
        <v>229</v>
      </c>
      <c r="D183" s="6" t="s">
        <v>49</v>
      </c>
      <c r="E183" s="6" t="n">
        <v>27</v>
      </c>
      <c r="F183" s="6" t="s">
        <v>47</v>
      </c>
      <c r="G183" s="6" t="n">
        <v>1</v>
      </c>
      <c r="H183" s="8" t="n">
        <v>25</v>
      </c>
      <c r="I183" s="8" t="n">
        <f aca="false">G183*H183</f>
        <v>25</v>
      </c>
    </row>
    <row r="184" customFormat="false" ht="15" hidden="false" customHeight="false" outlineLevel="0" collapsed="false">
      <c r="A184" s="6" t="n">
        <v>377</v>
      </c>
      <c r="B184" s="7" t="n">
        <v>44994</v>
      </c>
      <c r="C184" s="6" t="s">
        <v>230</v>
      </c>
      <c r="D184" s="6" t="s">
        <v>49</v>
      </c>
      <c r="E184" s="6" t="n">
        <v>46</v>
      </c>
      <c r="F184" s="6" t="s">
        <v>47</v>
      </c>
      <c r="G184" s="6" t="n">
        <v>4</v>
      </c>
      <c r="H184" s="8" t="n">
        <v>50</v>
      </c>
      <c r="I184" s="8" t="n">
        <f aca="false">G184*H184</f>
        <v>200</v>
      </c>
    </row>
    <row r="185" customFormat="false" ht="15" hidden="false" customHeight="false" outlineLevel="0" collapsed="false">
      <c r="A185" s="6" t="n">
        <v>248</v>
      </c>
      <c r="B185" s="7" t="n">
        <v>44994</v>
      </c>
      <c r="C185" s="6" t="s">
        <v>231</v>
      </c>
      <c r="D185" s="6" t="s">
        <v>44</v>
      </c>
      <c r="E185" s="6" t="n">
        <v>26</v>
      </c>
      <c r="F185" s="6" t="s">
        <v>47</v>
      </c>
      <c r="G185" s="6" t="n">
        <v>3</v>
      </c>
      <c r="H185" s="8" t="n">
        <v>300</v>
      </c>
      <c r="I185" s="8" t="n">
        <f aca="false">G185*H185</f>
        <v>900</v>
      </c>
    </row>
    <row r="186" customFormat="false" ht="15" hidden="false" customHeight="false" outlineLevel="0" collapsed="false">
      <c r="A186" s="6" t="n">
        <v>360</v>
      </c>
      <c r="B186" s="7" t="n">
        <v>44994</v>
      </c>
      <c r="C186" s="6" t="s">
        <v>232</v>
      </c>
      <c r="D186" s="6" t="s">
        <v>44</v>
      </c>
      <c r="E186" s="6" t="n">
        <v>42</v>
      </c>
      <c r="F186" s="6" t="s">
        <v>47</v>
      </c>
      <c r="G186" s="6" t="n">
        <v>4</v>
      </c>
      <c r="H186" s="8" t="n">
        <v>25</v>
      </c>
      <c r="I186" s="8" t="n">
        <f aca="false">G186*H186</f>
        <v>100</v>
      </c>
    </row>
    <row r="187" customFormat="false" ht="15" hidden="false" customHeight="false" outlineLevel="0" collapsed="false">
      <c r="A187" s="6" t="n">
        <v>623</v>
      </c>
      <c r="B187" s="7" t="n">
        <v>44995</v>
      </c>
      <c r="C187" s="6" t="s">
        <v>233</v>
      </c>
      <c r="D187" s="6" t="s">
        <v>44</v>
      </c>
      <c r="E187" s="6" t="n">
        <v>34</v>
      </c>
      <c r="F187" s="6" t="s">
        <v>47</v>
      </c>
      <c r="G187" s="6" t="n">
        <v>3</v>
      </c>
      <c r="H187" s="8" t="n">
        <v>50</v>
      </c>
      <c r="I187" s="8" t="n">
        <f aca="false">G187*H187</f>
        <v>150</v>
      </c>
    </row>
    <row r="188" customFormat="false" ht="15" hidden="false" customHeight="false" outlineLevel="0" collapsed="false">
      <c r="A188" s="6" t="n">
        <v>397</v>
      </c>
      <c r="B188" s="7" t="n">
        <v>44995</v>
      </c>
      <c r="C188" s="6" t="s">
        <v>234</v>
      </c>
      <c r="D188" s="6" t="s">
        <v>49</v>
      </c>
      <c r="E188" s="6" t="n">
        <v>30</v>
      </c>
      <c r="F188" s="6" t="s">
        <v>45</v>
      </c>
      <c r="G188" s="6" t="n">
        <v>1</v>
      </c>
      <c r="H188" s="8" t="n">
        <v>25</v>
      </c>
      <c r="I188" s="8" t="n">
        <f aca="false">G188*H188</f>
        <v>25</v>
      </c>
    </row>
    <row r="189" customFormat="false" ht="15" hidden="false" customHeight="false" outlineLevel="0" collapsed="false">
      <c r="A189" s="6" t="n">
        <v>717</v>
      </c>
      <c r="B189" s="7" t="n">
        <v>44996</v>
      </c>
      <c r="C189" s="6" t="s">
        <v>235</v>
      </c>
      <c r="D189" s="6" t="s">
        <v>44</v>
      </c>
      <c r="E189" s="6" t="n">
        <v>57</v>
      </c>
      <c r="F189" s="6" t="s">
        <v>47</v>
      </c>
      <c r="G189" s="6" t="n">
        <v>1</v>
      </c>
      <c r="H189" s="8" t="n">
        <v>500</v>
      </c>
      <c r="I189" s="8" t="n">
        <f aca="false">G189*H189</f>
        <v>500</v>
      </c>
    </row>
    <row r="190" customFormat="false" ht="15" hidden="false" customHeight="false" outlineLevel="0" collapsed="false">
      <c r="A190" s="6" t="n">
        <v>130</v>
      </c>
      <c r="B190" s="7" t="n">
        <v>44997</v>
      </c>
      <c r="C190" s="6" t="s">
        <v>236</v>
      </c>
      <c r="D190" s="6" t="s">
        <v>49</v>
      </c>
      <c r="E190" s="6" t="n">
        <v>57</v>
      </c>
      <c r="F190" s="6" t="s">
        <v>47</v>
      </c>
      <c r="G190" s="6" t="n">
        <v>1</v>
      </c>
      <c r="H190" s="8" t="n">
        <v>500</v>
      </c>
      <c r="I190" s="8" t="n">
        <f aca="false">G190*H190</f>
        <v>500</v>
      </c>
    </row>
    <row r="191" customFormat="false" ht="15" hidden="false" customHeight="false" outlineLevel="0" collapsed="false">
      <c r="A191" s="6" t="n">
        <v>658</v>
      </c>
      <c r="B191" s="7" t="n">
        <v>44997</v>
      </c>
      <c r="C191" s="6" t="s">
        <v>237</v>
      </c>
      <c r="D191" s="6" t="s">
        <v>44</v>
      </c>
      <c r="E191" s="6" t="n">
        <v>59</v>
      </c>
      <c r="F191" s="6" t="s">
        <v>47</v>
      </c>
      <c r="G191" s="6" t="n">
        <v>1</v>
      </c>
      <c r="H191" s="8" t="n">
        <v>25</v>
      </c>
      <c r="I191" s="8" t="n">
        <f aca="false">G191*H191</f>
        <v>25</v>
      </c>
    </row>
    <row r="192" customFormat="false" ht="15" hidden="false" customHeight="false" outlineLevel="0" collapsed="false">
      <c r="A192" s="6" t="n">
        <v>119</v>
      </c>
      <c r="B192" s="7" t="n">
        <v>44998</v>
      </c>
      <c r="C192" s="6" t="s">
        <v>238</v>
      </c>
      <c r="D192" s="6" t="s">
        <v>49</v>
      </c>
      <c r="E192" s="6" t="n">
        <v>60</v>
      </c>
      <c r="F192" s="6" t="s">
        <v>47</v>
      </c>
      <c r="G192" s="6" t="n">
        <v>3</v>
      </c>
      <c r="H192" s="8" t="n">
        <v>50</v>
      </c>
      <c r="I192" s="8" t="n">
        <f aca="false">G192*H192</f>
        <v>150</v>
      </c>
    </row>
    <row r="193" customFormat="false" ht="15" hidden="false" customHeight="false" outlineLevel="0" collapsed="false">
      <c r="A193" s="6" t="n">
        <v>7</v>
      </c>
      <c r="B193" s="7" t="n">
        <v>44998</v>
      </c>
      <c r="C193" s="6" t="s">
        <v>239</v>
      </c>
      <c r="D193" s="6" t="s">
        <v>44</v>
      </c>
      <c r="E193" s="6" t="n">
        <v>46</v>
      </c>
      <c r="F193" s="6" t="s">
        <v>47</v>
      </c>
      <c r="G193" s="6" t="n">
        <v>2</v>
      </c>
      <c r="H193" s="8" t="n">
        <v>25</v>
      </c>
      <c r="I193" s="8" t="n">
        <f aca="false">G193*H193</f>
        <v>50</v>
      </c>
    </row>
    <row r="194" customFormat="false" ht="15" hidden="false" customHeight="false" outlineLevel="0" collapsed="false">
      <c r="A194" s="6" t="n">
        <v>278</v>
      </c>
      <c r="B194" s="7" t="n">
        <v>44998</v>
      </c>
      <c r="C194" s="6" t="s">
        <v>240</v>
      </c>
      <c r="D194" s="6" t="s">
        <v>49</v>
      </c>
      <c r="E194" s="6" t="n">
        <v>37</v>
      </c>
      <c r="F194" s="6" t="s">
        <v>47</v>
      </c>
      <c r="G194" s="6" t="n">
        <v>4</v>
      </c>
      <c r="H194" s="8" t="n">
        <v>25</v>
      </c>
      <c r="I194" s="8" t="n">
        <f aca="false">G194*H194</f>
        <v>100</v>
      </c>
    </row>
    <row r="195" customFormat="false" ht="15" hidden="false" customHeight="false" outlineLevel="0" collapsed="false">
      <c r="A195" s="6" t="n">
        <v>117</v>
      </c>
      <c r="B195" s="7" t="n">
        <v>45000</v>
      </c>
      <c r="C195" s="6" t="s">
        <v>241</v>
      </c>
      <c r="D195" s="6" t="s">
        <v>44</v>
      </c>
      <c r="E195" s="6" t="n">
        <v>19</v>
      </c>
      <c r="F195" s="6" t="s">
        <v>51</v>
      </c>
      <c r="G195" s="6" t="n">
        <v>2</v>
      </c>
      <c r="H195" s="8" t="n">
        <v>500</v>
      </c>
      <c r="I195" s="8" t="n">
        <f aca="false">G195*H195</f>
        <v>1000</v>
      </c>
    </row>
    <row r="196" customFormat="false" ht="15" hidden="false" customHeight="false" outlineLevel="0" collapsed="false">
      <c r="A196" s="6" t="n">
        <v>442</v>
      </c>
      <c r="B196" s="7" t="n">
        <v>45002</v>
      </c>
      <c r="C196" s="6" t="s">
        <v>242</v>
      </c>
      <c r="D196" s="6" t="s">
        <v>49</v>
      </c>
      <c r="E196" s="6" t="n">
        <v>60</v>
      </c>
      <c r="F196" s="6" t="s">
        <v>47</v>
      </c>
      <c r="G196" s="6" t="n">
        <v>4</v>
      </c>
      <c r="H196" s="8" t="n">
        <v>25</v>
      </c>
      <c r="I196" s="8" t="n">
        <f aca="false">G196*H196</f>
        <v>100</v>
      </c>
    </row>
    <row r="197" customFormat="false" ht="15" hidden="false" customHeight="false" outlineLevel="0" collapsed="false">
      <c r="A197" s="6" t="n">
        <v>590</v>
      </c>
      <c r="B197" s="7" t="n">
        <v>45002</v>
      </c>
      <c r="C197" s="6" t="s">
        <v>243</v>
      </c>
      <c r="D197" s="6" t="s">
        <v>44</v>
      </c>
      <c r="E197" s="6" t="n">
        <v>36</v>
      </c>
      <c r="F197" s="6" t="s">
        <v>47</v>
      </c>
      <c r="G197" s="6" t="n">
        <v>3</v>
      </c>
      <c r="H197" s="8" t="n">
        <v>300</v>
      </c>
      <c r="I197" s="8" t="n">
        <f aca="false">G197*H197</f>
        <v>900</v>
      </c>
    </row>
    <row r="198" customFormat="false" ht="15" hidden="false" customHeight="false" outlineLevel="0" collapsed="false">
      <c r="A198" s="6" t="n">
        <v>607</v>
      </c>
      <c r="B198" s="7" t="n">
        <v>45002</v>
      </c>
      <c r="C198" s="6" t="s">
        <v>244</v>
      </c>
      <c r="D198" s="6" t="s">
        <v>44</v>
      </c>
      <c r="E198" s="6" t="n">
        <v>54</v>
      </c>
      <c r="F198" s="6" t="s">
        <v>47</v>
      </c>
      <c r="G198" s="6" t="n">
        <v>3</v>
      </c>
      <c r="H198" s="8" t="n">
        <v>25</v>
      </c>
      <c r="I198" s="8" t="n">
        <f aca="false">G198*H198</f>
        <v>75</v>
      </c>
    </row>
    <row r="199" customFormat="false" ht="15" hidden="false" customHeight="false" outlineLevel="0" collapsed="false">
      <c r="A199" s="6" t="n">
        <v>436</v>
      </c>
      <c r="B199" s="7" t="n">
        <v>45003</v>
      </c>
      <c r="C199" s="6" t="s">
        <v>245</v>
      </c>
      <c r="D199" s="6" t="s">
        <v>49</v>
      </c>
      <c r="E199" s="6" t="n">
        <v>57</v>
      </c>
      <c r="F199" s="6" t="s">
        <v>47</v>
      </c>
      <c r="G199" s="6" t="n">
        <v>4</v>
      </c>
      <c r="H199" s="8" t="n">
        <v>30</v>
      </c>
      <c r="I199" s="8" t="n">
        <f aca="false">G199*H199</f>
        <v>120</v>
      </c>
    </row>
    <row r="200" customFormat="false" ht="15" hidden="false" customHeight="false" outlineLevel="0" collapsed="false">
      <c r="A200" s="6" t="n">
        <v>942</v>
      </c>
      <c r="B200" s="7" t="n">
        <v>45003</v>
      </c>
      <c r="C200" s="6" t="s">
        <v>246</v>
      </c>
      <c r="D200" s="6" t="s">
        <v>44</v>
      </c>
      <c r="E200" s="6" t="n">
        <v>51</v>
      </c>
      <c r="F200" s="6" t="s">
        <v>47</v>
      </c>
      <c r="G200" s="6" t="n">
        <v>3</v>
      </c>
      <c r="H200" s="8" t="n">
        <v>500</v>
      </c>
      <c r="I200" s="8" t="n">
        <f aca="false">G200*H200</f>
        <v>1500</v>
      </c>
    </row>
    <row r="201" customFormat="false" ht="15" hidden="false" customHeight="false" outlineLevel="0" collapsed="false">
      <c r="A201" s="6" t="n">
        <v>659</v>
      </c>
      <c r="B201" s="7" t="n">
        <v>45004</v>
      </c>
      <c r="C201" s="6" t="s">
        <v>247</v>
      </c>
      <c r="D201" s="6" t="s">
        <v>49</v>
      </c>
      <c r="E201" s="6" t="n">
        <v>39</v>
      </c>
      <c r="F201" s="6" t="s">
        <v>51</v>
      </c>
      <c r="G201" s="6" t="n">
        <v>1</v>
      </c>
      <c r="H201" s="8" t="n">
        <v>30</v>
      </c>
      <c r="I201" s="8" t="n">
        <f aca="false">G201*H201</f>
        <v>30</v>
      </c>
    </row>
    <row r="202" customFormat="false" ht="15" hidden="false" customHeight="false" outlineLevel="0" collapsed="false">
      <c r="A202" s="6" t="n">
        <v>941</v>
      </c>
      <c r="B202" s="7" t="n">
        <v>45004</v>
      </c>
      <c r="C202" s="6" t="s">
        <v>248</v>
      </c>
      <c r="D202" s="6" t="s">
        <v>49</v>
      </c>
      <c r="E202" s="6" t="n">
        <v>57</v>
      </c>
      <c r="F202" s="6" t="s">
        <v>47</v>
      </c>
      <c r="G202" s="6" t="n">
        <v>2</v>
      </c>
      <c r="H202" s="8" t="n">
        <v>25</v>
      </c>
      <c r="I202" s="8" t="n">
        <f aca="false">G202*H202</f>
        <v>50</v>
      </c>
    </row>
    <row r="203" customFormat="false" ht="15" hidden="false" customHeight="false" outlineLevel="0" collapsed="false">
      <c r="A203" s="6" t="n">
        <v>806</v>
      </c>
      <c r="B203" s="7" t="n">
        <v>45005</v>
      </c>
      <c r="C203" s="6" t="s">
        <v>249</v>
      </c>
      <c r="D203" s="6" t="s">
        <v>49</v>
      </c>
      <c r="E203" s="6" t="n">
        <v>35</v>
      </c>
      <c r="F203" s="6" t="s">
        <v>45</v>
      </c>
      <c r="G203" s="6" t="n">
        <v>3</v>
      </c>
      <c r="H203" s="8" t="n">
        <v>300</v>
      </c>
      <c r="I203" s="8" t="n">
        <f aca="false">G203*H203</f>
        <v>900</v>
      </c>
    </row>
    <row r="204" customFormat="false" ht="15" hidden="false" customHeight="false" outlineLevel="0" collapsed="false">
      <c r="A204" s="6" t="n">
        <v>748</v>
      </c>
      <c r="B204" s="7" t="n">
        <v>45005</v>
      </c>
      <c r="C204" s="6" t="s">
        <v>250</v>
      </c>
      <c r="D204" s="6" t="s">
        <v>44</v>
      </c>
      <c r="E204" s="6" t="n">
        <v>25</v>
      </c>
      <c r="F204" s="6" t="s">
        <v>47</v>
      </c>
      <c r="G204" s="6" t="n">
        <v>3</v>
      </c>
      <c r="H204" s="8" t="n">
        <v>50</v>
      </c>
      <c r="I204" s="8" t="n">
        <f aca="false">G204*H204</f>
        <v>150</v>
      </c>
    </row>
    <row r="205" customFormat="false" ht="15" hidden="false" customHeight="false" outlineLevel="0" collapsed="false">
      <c r="A205" s="6" t="n">
        <v>175</v>
      </c>
      <c r="B205" s="7" t="n">
        <v>45005</v>
      </c>
      <c r="C205" s="6" t="s">
        <v>251</v>
      </c>
      <c r="D205" s="6" t="s">
        <v>49</v>
      </c>
      <c r="E205" s="6" t="n">
        <v>31</v>
      </c>
      <c r="F205" s="6" t="s">
        <v>51</v>
      </c>
      <c r="G205" s="6" t="n">
        <v>4</v>
      </c>
      <c r="H205" s="8" t="n">
        <v>25</v>
      </c>
      <c r="I205" s="8" t="n">
        <f aca="false">G205*H205</f>
        <v>100</v>
      </c>
    </row>
    <row r="206" customFormat="false" ht="15" hidden="false" customHeight="false" outlineLevel="0" collapsed="false">
      <c r="A206" s="6" t="n">
        <v>663</v>
      </c>
      <c r="B206" s="7" t="n">
        <v>45005</v>
      </c>
      <c r="C206" s="6" t="s">
        <v>252</v>
      </c>
      <c r="D206" s="6" t="s">
        <v>44</v>
      </c>
      <c r="E206" s="6" t="n">
        <v>23</v>
      </c>
      <c r="F206" s="6" t="s">
        <v>47</v>
      </c>
      <c r="G206" s="6" t="n">
        <v>4</v>
      </c>
      <c r="H206" s="8" t="n">
        <v>300</v>
      </c>
      <c r="I206" s="8" t="n">
        <f aca="false">G206*H206</f>
        <v>1200</v>
      </c>
    </row>
    <row r="207" customFormat="false" ht="15" hidden="false" customHeight="false" outlineLevel="0" collapsed="false">
      <c r="A207" s="6" t="n">
        <v>136</v>
      </c>
      <c r="B207" s="7" t="n">
        <v>45005</v>
      </c>
      <c r="C207" s="6" t="s">
        <v>253</v>
      </c>
      <c r="D207" s="6" t="s">
        <v>44</v>
      </c>
      <c r="E207" s="6" t="n">
        <v>44</v>
      </c>
      <c r="F207" s="6" t="s">
        <v>51</v>
      </c>
      <c r="G207" s="6" t="n">
        <v>2</v>
      </c>
      <c r="H207" s="8" t="n">
        <v>300</v>
      </c>
      <c r="I207" s="8" t="n">
        <f aca="false">G207*H207</f>
        <v>600</v>
      </c>
    </row>
    <row r="208" customFormat="false" ht="15" hidden="false" customHeight="false" outlineLevel="0" collapsed="false">
      <c r="A208" s="6" t="n">
        <v>38</v>
      </c>
      <c r="B208" s="7" t="n">
        <v>45006</v>
      </c>
      <c r="C208" s="6" t="s">
        <v>254</v>
      </c>
      <c r="D208" s="6" t="s">
        <v>44</v>
      </c>
      <c r="E208" s="6" t="n">
        <v>38</v>
      </c>
      <c r="F208" s="6" t="s">
        <v>45</v>
      </c>
      <c r="G208" s="6" t="n">
        <v>4</v>
      </c>
      <c r="H208" s="8" t="n">
        <v>50</v>
      </c>
      <c r="I208" s="8" t="n">
        <f aca="false">G208*H208</f>
        <v>200</v>
      </c>
    </row>
    <row r="209" customFormat="false" ht="15" hidden="false" customHeight="false" outlineLevel="0" collapsed="false">
      <c r="A209" s="6" t="n">
        <v>459</v>
      </c>
      <c r="B209" s="7" t="n">
        <v>45006</v>
      </c>
      <c r="C209" s="6" t="s">
        <v>255</v>
      </c>
      <c r="D209" s="6" t="s">
        <v>44</v>
      </c>
      <c r="E209" s="6" t="n">
        <v>28</v>
      </c>
      <c r="F209" s="6" t="s">
        <v>47</v>
      </c>
      <c r="G209" s="6" t="n">
        <v>4</v>
      </c>
      <c r="H209" s="8" t="n">
        <v>300</v>
      </c>
      <c r="I209" s="8" t="n">
        <f aca="false">G209*H209</f>
        <v>1200</v>
      </c>
    </row>
    <row r="210" customFormat="false" ht="15" hidden="false" customHeight="false" outlineLevel="0" collapsed="false">
      <c r="A210" s="6" t="n">
        <v>402</v>
      </c>
      <c r="B210" s="7" t="n">
        <v>45006</v>
      </c>
      <c r="C210" s="6" t="s">
        <v>256</v>
      </c>
      <c r="D210" s="6" t="s">
        <v>49</v>
      </c>
      <c r="E210" s="6" t="n">
        <v>41</v>
      </c>
      <c r="F210" s="6" t="s">
        <v>47</v>
      </c>
      <c r="G210" s="6" t="n">
        <v>2</v>
      </c>
      <c r="H210" s="8" t="n">
        <v>300</v>
      </c>
      <c r="I210" s="8" t="n">
        <f aca="false">G210*H210</f>
        <v>600</v>
      </c>
    </row>
    <row r="211" customFormat="false" ht="15" hidden="false" customHeight="false" outlineLevel="0" collapsed="false">
      <c r="A211" s="6" t="n">
        <v>313</v>
      </c>
      <c r="B211" s="7" t="n">
        <v>45006</v>
      </c>
      <c r="C211" s="6" t="s">
        <v>257</v>
      </c>
      <c r="D211" s="6" t="s">
        <v>49</v>
      </c>
      <c r="E211" s="6" t="n">
        <v>55</v>
      </c>
      <c r="F211" s="6" t="s">
        <v>45</v>
      </c>
      <c r="G211" s="6" t="n">
        <v>3</v>
      </c>
      <c r="H211" s="8" t="n">
        <v>500</v>
      </c>
      <c r="I211" s="8" t="n">
        <f aca="false">G211*H211</f>
        <v>1500</v>
      </c>
    </row>
    <row r="212" customFormat="false" ht="15" hidden="false" customHeight="false" outlineLevel="0" collapsed="false">
      <c r="A212" s="6" t="n">
        <v>973</v>
      </c>
      <c r="B212" s="7" t="n">
        <v>45007</v>
      </c>
      <c r="C212" s="6" t="s">
        <v>258</v>
      </c>
      <c r="D212" s="6" t="s">
        <v>44</v>
      </c>
      <c r="E212" s="6" t="n">
        <v>60</v>
      </c>
      <c r="F212" s="6" t="s">
        <v>47</v>
      </c>
      <c r="G212" s="6" t="n">
        <v>1</v>
      </c>
      <c r="H212" s="8" t="n">
        <v>50</v>
      </c>
      <c r="I212" s="8" t="n">
        <f aca="false">G212*H212</f>
        <v>50</v>
      </c>
    </row>
    <row r="213" customFormat="false" ht="15" hidden="false" customHeight="false" outlineLevel="0" collapsed="false">
      <c r="A213" s="6" t="n">
        <v>328</v>
      </c>
      <c r="B213" s="7" t="n">
        <v>45007</v>
      </c>
      <c r="C213" s="6" t="s">
        <v>259</v>
      </c>
      <c r="D213" s="6" t="s">
        <v>44</v>
      </c>
      <c r="E213" s="6" t="n">
        <v>39</v>
      </c>
      <c r="F213" s="6" t="s">
        <v>45</v>
      </c>
      <c r="G213" s="6" t="n">
        <v>2</v>
      </c>
      <c r="H213" s="8" t="n">
        <v>50</v>
      </c>
      <c r="I213" s="8" t="n">
        <f aca="false">G213*H213</f>
        <v>100</v>
      </c>
    </row>
    <row r="214" customFormat="false" ht="15" hidden="false" customHeight="false" outlineLevel="0" collapsed="false">
      <c r="A214" s="6" t="n">
        <v>978</v>
      </c>
      <c r="B214" s="7" t="n">
        <v>45007</v>
      </c>
      <c r="C214" s="6" t="s">
        <v>260</v>
      </c>
      <c r="D214" s="6" t="s">
        <v>49</v>
      </c>
      <c r="E214" s="6" t="n">
        <v>53</v>
      </c>
      <c r="F214" s="6" t="s">
        <v>47</v>
      </c>
      <c r="G214" s="6" t="n">
        <v>3</v>
      </c>
      <c r="H214" s="8" t="n">
        <v>50</v>
      </c>
      <c r="I214" s="8" t="n">
        <f aca="false">G214*H214</f>
        <v>150</v>
      </c>
    </row>
    <row r="215" customFormat="false" ht="15" hidden="false" customHeight="false" outlineLevel="0" collapsed="false">
      <c r="A215" s="6" t="n">
        <v>161</v>
      </c>
      <c r="B215" s="7" t="n">
        <v>45007</v>
      </c>
      <c r="C215" s="6" t="s">
        <v>261</v>
      </c>
      <c r="D215" s="6" t="s">
        <v>44</v>
      </c>
      <c r="E215" s="6" t="n">
        <v>64</v>
      </c>
      <c r="F215" s="6" t="s">
        <v>45</v>
      </c>
      <c r="G215" s="6" t="n">
        <v>2</v>
      </c>
      <c r="H215" s="8" t="n">
        <v>500</v>
      </c>
      <c r="I215" s="8" t="n">
        <f aca="false">G215*H215</f>
        <v>1000</v>
      </c>
    </row>
    <row r="216" customFormat="false" ht="15" hidden="false" customHeight="false" outlineLevel="0" collapsed="false">
      <c r="A216" s="6" t="n">
        <v>383</v>
      </c>
      <c r="B216" s="7" t="n">
        <v>45007</v>
      </c>
      <c r="C216" s="6" t="s">
        <v>262</v>
      </c>
      <c r="D216" s="6" t="s">
        <v>49</v>
      </c>
      <c r="E216" s="6" t="n">
        <v>46</v>
      </c>
      <c r="F216" s="6" t="s">
        <v>45</v>
      </c>
      <c r="G216" s="6" t="n">
        <v>3</v>
      </c>
      <c r="H216" s="8" t="n">
        <v>30</v>
      </c>
      <c r="I216" s="8" t="n">
        <f aca="false">G216*H216</f>
        <v>90</v>
      </c>
    </row>
    <row r="217" customFormat="false" ht="15" hidden="false" customHeight="false" outlineLevel="0" collapsed="false">
      <c r="A217" s="6" t="n">
        <v>138</v>
      </c>
      <c r="B217" s="7" t="n">
        <v>45008</v>
      </c>
      <c r="C217" s="6" t="s">
        <v>263</v>
      </c>
      <c r="D217" s="6" t="s">
        <v>44</v>
      </c>
      <c r="E217" s="6" t="n">
        <v>49</v>
      </c>
      <c r="F217" s="6" t="s">
        <v>47</v>
      </c>
      <c r="G217" s="6" t="n">
        <v>4</v>
      </c>
      <c r="H217" s="8" t="n">
        <v>50</v>
      </c>
      <c r="I217" s="8" t="n">
        <f aca="false">G217*H217</f>
        <v>200</v>
      </c>
    </row>
    <row r="218" customFormat="false" ht="15" hidden="false" customHeight="false" outlineLevel="0" collapsed="false">
      <c r="A218" s="6" t="n">
        <v>636</v>
      </c>
      <c r="B218" s="7" t="n">
        <v>45008</v>
      </c>
      <c r="C218" s="6" t="s">
        <v>264</v>
      </c>
      <c r="D218" s="6" t="s">
        <v>49</v>
      </c>
      <c r="E218" s="6" t="n">
        <v>21</v>
      </c>
      <c r="F218" s="6" t="s">
        <v>45</v>
      </c>
      <c r="G218" s="6" t="n">
        <v>3</v>
      </c>
      <c r="H218" s="8" t="n">
        <v>500</v>
      </c>
      <c r="I218" s="8" t="n">
        <f aca="false">G218*H218</f>
        <v>1500</v>
      </c>
    </row>
    <row r="219" customFormat="false" ht="15" hidden="false" customHeight="false" outlineLevel="0" collapsed="false">
      <c r="A219" s="6" t="n">
        <v>33</v>
      </c>
      <c r="B219" s="7" t="n">
        <v>45008</v>
      </c>
      <c r="C219" s="6" t="s">
        <v>265</v>
      </c>
      <c r="D219" s="6" t="s">
        <v>49</v>
      </c>
      <c r="E219" s="6" t="n">
        <v>50</v>
      </c>
      <c r="F219" s="6" t="s">
        <v>51</v>
      </c>
      <c r="G219" s="6" t="n">
        <v>2</v>
      </c>
      <c r="H219" s="8" t="n">
        <v>50</v>
      </c>
      <c r="I219" s="8" t="n">
        <f aca="false">G219*H219</f>
        <v>100</v>
      </c>
    </row>
    <row r="220" customFormat="false" ht="15" hidden="false" customHeight="false" outlineLevel="0" collapsed="false">
      <c r="A220" s="6" t="n">
        <v>471</v>
      </c>
      <c r="B220" s="7" t="n">
        <v>45008</v>
      </c>
      <c r="C220" s="6" t="s">
        <v>266</v>
      </c>
      <c r="D220" s="6" t="s">
        <v>44</v>
      </c>
      <c r="E220" s="6" t="n">
        <v>32</v>
      </c>
      <c r="F220" s="6" t="s">
        <v>47</v>
      </c>
      <c r="G220" s="6" t="n">
        <v>3</v>
      </c>
      <c r="H220" s="8" t="n">
        <v>50</v>
      </c>
      <c r="I220" s="8" t="n">
        <f aca="false">G220*H220</f>
        <v>150</v>
      </c>
    </row>
    <row r="221" customFormat="false" ht="15" hidden="false" customHeight="false" outlineLevel="0" collapsed="false">
      <c r="A221" s="6" t="n">
        <v>426</v>
      </c>
      <c r="B221" s="7" t="n">
        <v>45009</v>
      </c>
      <c r="C221" s="6" t="s">
        <v>267</v>
      </c>
      <c r="D221" s="6" t="s">
        <v>44</v>
      </c>
      <c r="E221" s="6" t="n">
        <v>23</v>
      </c>
      <c r="F221" s="6" t="s">
        <v>51</v>
      </c>
      <c r="G221" s="6" t="n">
        <v>3</v>
      </c>
      <c r="H221" s="8" t="n">
        <v>50</v>
      </c>
      <c r="I221" s="8" t="n">
        <f aca="false">G221*H221</f>
        <v>150</v>
      </c>
    </row>
    <row r="222" customFormat="false" ht="15" hidden="false" customHeight="false" outlineLevel="0" collapsed="false">
      <c r="A222" s="6" t="n">
        <v>177</v>
      </c>
      <c r="B222" s="7" t="n">
        <v>45009</v>
      </c>
      <c r="C222" s="6" t="s">
        <v>268</v>
      </c>
      <c r="D222" s="6" t="s">
        <v>44</v>
      </c>
      <c r="E222" s="6" t="n">
        <v>45</v>
      </c>
      <c r="F222" s="6" t="s">
        <v>45</v>
      </c>
      <c r="G222" s="6" t="n">
        <v>2</v>
      </c>
      <c r="H222" s="8" t="n">
        <v>50</v>
      </c>
      <c r="I222" s="8" t="n">
        <f aca="false">G222*H222</f>
        <v>100</v>
      </c>
    </row>
    <row r="223" customFormat="false" ht="15" hidden="false" customHeight="false" outlineLevel="0" collapsed="false">
      <c r="A223" s="6" t="n">
        <v>461</v>
      </c>
      <c r="B223" s="7" t="n">
        <v>45010</v>
      </c>
      <c r="C223" s="6" t="s">
        <v>269</v>
      </c>
      <c r="D223" s="6" t="s">
        <v>49</v>
      </c>
      <c r="E223" s="6" t="n">
        <v>18</v>
      </c>
      <c r="F223" s="6" t="s">
        <v>45</v>
      </c>
      <c r="G223" s="6" t="n">
        <v>2</v>
      </c>
      <c r="H223" s="8" t="n">
        <v>500</v>
      </c>
      <c r="I223" s="8" t="n">
        <f aca="false">G223*H223</f>
        <v>1000</v>
      </c>
    </row>
    <row r="224" customFormat="false" ht="15" hidden="false" customHeight="false" outlineLevel="0" collapsed="false">
      <c r="A224" s="6" t="n">
        <v>76</v>
      </c>
      <c r="B224" s="7" t="n">
        <v>45010</v>
      </c>
      <c r="C224" s="6" t="s">
        <v>270</v>
      </c>
      <c r="D224" s="6" t="s">
        <v>49</v>
      </c>
      <c r="E224" s="6" t="n">
        <v>22</v>
      </c>
      <c r="F224" s="6" t="s">
        <v>51</v>
      </c>
      <c r="G224" s="6" t="n">
        <v>2</v>
      </c>
      <c r="H224" s="8" t="n">
        <v>50</v>
      </c>
      <c r="I224" s="8" t="n">
        <f aca="false">G224*H224</f>
        <v>100</v>
      </c>
    </row>
    <row r="225" customFormat="false" ht="15" hidden="false" customHeight="false" outlineLevel="0" collapsed="false">
      <c r="A225" s="6" t="n">
        <v>764</v>
      </c>
      <c r="B225" s="7" t="n">
        <v>45010</v>
      </c>
      <c r="C225" s="6" t="s">
        <v>271</v>
      </c>
      <c r="D225" s="6" t="s">
        <v>49</v>
      </c>
      <c r="E225" s="6" t="n">
        <v>40</v>
      </c>
      <c r="F225" s="6" t="s">
        <v>47</v>
      </c>
      <c r="G225" s="6" t="n">
        <v>1</v>
      </c>
      <c r="H225" s="8" t="n">
        <v>25</v>
      </c>
      <c r="I225" s="8" t="n">
        <f aca="false">G225*H225</f>
        <v>25</v>
      </c>
    </row>
    <row r="226" customFormat="false" ht="15" hidden="false" customHeight="false" outlineLevel="0" collapsed="false">
      <c r="A226" s="6" t="n">
        <v>91</v>
      </c>
      <c r="B226" s="7" t="n">
        <v>45010</v>
      </c>
      <c r="C226" s="6" t="s">
        <v>272</v>
      </c>
      <c r="D226" s="6" t="s">
        <v>49</v>
      </c>
      <c r="E226" s="6" t="n">
        <v>55</v>
      </c>
      <c r="F226" s="6" t="s">
        <v>51</v>
      </c>
      <c r="G226" s="6" t="n">
        <v>1</v>
      </c>
      <c r="H226" s="8" t="n">
        <v>500</v>
      </c>
      <c r="I226" s="8" t="n">
        <f aca="false">G226*H226</f>
        <v>500</v>
      </c>
    </row>
    <row r="227" customFormat="false" ht="15" hidden="false" customHeight="false" outlineLevel="0" collapsed="false">
      <c r="A227" s="6" t="n">
        <v>301</v>
      </c>
      <c r="B227" s="7" t="n">
        <v>45011</v>
      </c>
      <c r="C227" s="6" t="s">
        <v>273</v>
      </c>
      <c r="D227" s="6" t="s">
        <v>44</v>
      </c>
      <c r="E227" s="6" t="n">
        <v>30</v>
      </c>
      <c r="F227" s="6" t="s">
        <v>47</v>
      </c>
      <c r="G227" s="6" t="n">
        <v>4</v>
      </c>
      <c r="H227" s="8" t="n">
        <v>30</v>
      </c>
      <c r="I227" s="8" t="n">
        <f aca="false">G227*H227</f>
        <v>120</v>
      </c>
    </row>
    <row r="228" customFormat="false" ht="15" hidden="false" customHeight="false" outlineLevel="0" collapsed="false">
      <c r="A228" s="6" t="n">
        <v>703</v>
      </c>
      <c r="B228" s="7" t="n">
        <v>45011</v>
      </c>
      <c r="C228" s="6" t="s">
        <v>274</v>
      </c>
      <c r="D228" s="6" t="s">
        <v>44</v>
      </c>
      <c r="E228" s="6" t="n">
        <v>34</v>
      </c>
      <c r="F228" s="6" t="s">
        <v>51</v>
      </c>
      <c r="G228" s="6" t="n">
        <v>2</v>
      </c>
      <c r="H228" s="8" t="n">
        <v>50</v>
      </c>
      <c r="I228" s="8" t="n">
        <f aca="false">G228*H228</f>
        <v>100</v>
      </c>
    </row>
    <row r="229" customFormat="false" ht="15" hidden="false" customHeight="false" outlineLevel="0" collapsed="false">
      <c r="A229" s="6" t="n">
        <v>202</v>
      </c>
      <c r="B229" s="7" t="n">
        <v>45011</v>
      </c>
      <c r="C229" s="6" t="s">
        <v>275</v>
      </c>
      <c r="D229" s="6" t="s">
        <v>49</v>
      </c>
      <c r="E229" s="6" t="n">
        <v>34</v>
      </c>
      <c r="F229" s="6" t="s">
        <v>47</v>
      </c>
      <c r="G229" s="6" t="n">
        <v>4</v>
      </c>
      <c r="H229" s="8" t="n">
        <v>300</v>
      </c>
      <c r="I229" s="8" t="n">
        <f aca="false">G229*H229</f>
        <v>1200</v>
      </c>
    </row>
    <row r="230" customFormat="false" ht="15" hidden="false" customHeight="false" outlineLevel="0" collapsed="false">
      <c r="A230" s="6" t="n">
        <v>760</v>
      </c>
      <c r="B230" s="7" t="n">
        <v>45012</v>
      </c>
      <c r="C230" s="6" t="s">
        <v>276</v>
      </c>
      <c r="D230" s="6" t="s">
        <v>44</v>
      </c>
      <c r="E230" s="6" t="n">
        <v>27</v>
      </c>
      <c r="F230" s="6" t="s">
        <v>45</v>
      </c>
      <c r="G230" s="6" t="n">
        <v>1</v>
      </c>
      <c r="H230" s="8" t="n">
        <v>500</v>
      </c>
      <c r="I230" s="8" t="n">
        <f aca="false">G230*H230</f>
        <v>500</v>
      </c>
    </row>
    <row r="231" customFormat="false" ht="15" hidden="false" customHeight="false" outlineLevel="0" collapsed="false">
      <c r="A231" s="6" t="n">
        <v>294</v>
      </c>
      <c r="B231" s="7" t="n">
        <v>45012</v>
      </c>
      <c r="C231" s="6" t="s">
        <v>277</v>
      </c>
      <c r="D231" s="6" t="s">
        <v>49</v>
      </c>
      <c r="E231" s="6" t="n">
        <v>23</v>
      </c>
      <c r="F231" s="6" t="s">
        <v>47</v>
      </c>
      <c r="G231" s="6" t="n">
        <v>3</v>
      </c>
      <c r="H231" s="8" t="n">
        <v>30</v>
      </c>
      <c r="I231" s="8" t="n">
        <f aca="false">G231*H231</f>
        <v>90</v>
      </c>
    </row>
    <row r="232" customFormat="false" ht="15" hidden="false" customHeight="false" outlineLevel="0" collapsed="false">
      <c r="A232" s="6" t="n">
        <v>575</v>
      </c>
      <c r="B232" s="7" t="n">
        <v>45013</v>
      </c>
      <c r="C232" s="6" t="s">
        <v>278</v>
      </c>
      <c r="D232" s="6" t="s">
        <v>44</v>
      </c>
      <c r="E232" s="6" t="n">
        <v>60</v>
      </c>
      <c r="F232" s="6" t="s">
        <v>47</v>
      </c>
      <c r="G232" s="6" t="n">
        <v>2</v>
      </c>
      <c r="H232" s="8" t="n">
        <v>50</v>
      </c>
      <c r="I232" s="8" t="n">
        <f aca="false">G232*H232</f>
        <v>100</v>
      </c>
    </row>
    <row r="233" customFormat="false" ht="15" hidden="false" customHeight="false" outlineLevel="0" collapsed="false">
      <c r="A233" s="6" t="n">
        <v>88</v>
      </c>
      <c r="B233" s="7" t="n">
        <v>45014</v>
      </c>
      <c r="C233" s="6" t="s">
        <v>279</v>
      </c>
      <c r="D233" s="6" t="s">
        <v>44</v>
      </c>
      <c r="E233" s="6" t="n">
        <v>56</v>
      </c>
      <c r="F233" s="6" t="s">
        <v>47</v>
      </c>
      <c r="G233" s="6" t="n">
        <v>1</v>
      </c>
      <c r="H233" s="8" t="n">
        <v>500</v>
      </c>
      <c r="I233" s="8" t="n">
        <f aca="false">G233*H233</f>
        <v>500</v>
      </c>
    </row>
    <row r="234" customFormat="false" ht="15" hidden="false" customHeight="false" outlineLevel="0" collapsed="false">
      <c r="A234" s="6" t="n">
        <v>975</v>
      </c>
      <c r="B234" s="7" t="n">
        <v>45015</v>
      </c>
      <c r="C234" s="6" t="s">
        <v>280</v>
      </c>
      <c r="D234" s="6" t="s">
        <v>49</v>
      </c>
      <c r="E234" s="6" t="n">
        <v>56</v>
      </c>
      <c r="F234" s="6" t="s">
        <v>47</v>
      </c>
      <c r="G234" s="6" t="n">
        <v>4</v>
      </c>
      <c r="H234" s="8" t="n">
        <v>50</v>
      </c>
      <c r="I234" s="8" t="n">
        <f aca="false">G234*H234</f>
        <v>200</v>
      </c>
    </row>
    <row r="235" customFormat="false" ht="15" hidden="false" customHeight="false" outlineLevel="0" collapsed="false">
      <c r="A235" s="6" t="n">
        <v>553</v>
      </c>
      <c r="B235" s="7" t="n">
        <v>45016</v>
      </c>
      <c r="C235" s="6" t="s">
        <v>281</v>
      </c>
      <c r="D235" s="6" t="s">
        <v>44</v>
      </c>
      <c r="E235" s="6" t="n">
        <v>24</v>
      </c>
      <c r="F235" s="6" t="s">
        <v>47</v>
      </c>
      <c r="G235" s="6" t="n">
        <v>4</v>
      </c>
      <c r="H235" s="8" t="n">
        <v>300</v>
      </c>
      <c r="I235" s="8" t="n">
        <f aca="false">G235*H235</f>
        <v>1200</v>
      </c>
    </row>
    <row r="236" customFormat="false" ht="15" hidden="false" customHeight="false" outlineLevel="0" collapsed="false">
      <c r="A236" s="6" t="n">
        <v>808</v>
      </c>
      <c r="B236" s="7" t="n">
        <v>45017</v>
      </c>
      <c r="C236" s="6" t="s">
        <v>282</v>
      </c>
      <c r="D236" s="6" t="s">
        <v>44</v>
      </c>
      <c r="E236" s="6" t="n">
        <v>33</v>
      </c>
      <c r="F236" s="6" t="s">
        <v>45</v>
      </c>
      <c r="G236" s="6" t="n">
        <v>4</v>
      </c>
      <c r="H236" s="8" t="n">
        <v>500</v>
      </c>
      <c r="I236" s="8" t="n">
        <f aca="false">G236*H236</f>
        <v>2000</v>
      </c>
    </row>
    <row r="237" customFormat="false" ht="15" hidden="false" customHeight="false" outlineLevel="0" collapsed="false">
      <c r="A237" s="6" t="n">
        <v>614</v>
      </c>
      <c r="B237" s="7" t="n">
        <v>45017</v>
      </c>
      <c r="C237" s="6" t="s">
        <v>283</v>
      </c>
      <c r="D237" s="6" t="s">
        <v>49</v>
      </c>
      <c r="E237" s="6" t="n">
        <v>39</v>
      </c>
      <c r="F237" s="6" t="s">
        <v>45</v>
      </c>
      <c r="G237" s="6" t="n">
        <v>4</v>
      </c>
      <c r="H237" s="8" t="n">
        <v>300</v>
      </c>
      <c r="I237" s="8" t="n">
        <f aca="false">G237*H237</f>
        <v>1200</v>
      </c>
    </row>
    <row r="238" customFormat="false" ht="15" hidden="false" customHeight="false" outlineLevel="0" collapsed="false">
      <c r="A238" s="6" t="n">
        <v>462</v>
      </c>
      <c r="B238" s="7" t="n">
        <v>45017</v>
      </c>
      <c r="C238" s="6" t="s">
        <v>284</v>
      </c>
      <c r="D238" s="6" t="s">
        <v>44</v>
      </c>
      <c r="E238" s="6" t="n">
        <v>63</v>
      </c>
      <c r="F238" s="6" t="s">
        <v>51</v>
      </c>
      <c r="G238" s="6" t="n">
        <v>4</v>
      </c>
      <c r="H238" s="8" t="n">
        <v>300</v>
      </c>
      <c r="I238" s="8" t="n">
        <f aca="false">G238*H238</f>
        <v>1200</v>
      </c>
    </row>
    <row r="239" customFormat="false" ht="15" hidden="false" customHeight="false" outlineLevel="0" collapsed="false">
      <c r="A239" s="6" t="n">
        <v>502</v>
      </c>
      <c r="B239" s="7" t="n">
        <v>45018</v>
      </c>
      <c r="C239" s="6" t="s">
        <v>285</v>
      </c>
      <c r="D239" s="6" t="s">
        <v>44</v>
      </c>
      <c r="E239" s="6" t="n">
        <v>43</v>
      </c>
      <c r="F239" s="6" t="s">
        <v>51</v>
      </c>
      <c r="G239" s="6" t="n">
        <v>3</v>
      </c>
      <c r="H239" s="8" t="n">
        <v>50</v>
      </c>
      <c r="I239" s="8" t="n">
        <f aca="false">G239*H239</f>
        <v>150</v>
      </c>
    </row>
    <row r="240" customFormat="false" ht="15" hidden="false" customHeight="false" outlineLevel="0" collapsed="false">
      <c r="A240" s="6" t="n">
        <v>465</v>
      </c>
      <c r="B240" s="7" t="n">
        <v>45018</v>
      </c>
      <c r="C240" s="6" t="s">
        <v>286</v>
      </c>
      <c r="D240" s="6" t="s">
        <v>49</v>
      </c>
      <c r="E240" s="6" t="n">
        <v>43</v>
      </c>
      <c r="F240" s="6" t="s">
        <v>51</v>
      </c>
      <c r="G240" s="6" t="n">
        <v>3</v>
      </c>
      <c r="H240" s="8" t="n">
        <v>50</v>
      </c>
      <c r="I240" s="8" t="n">
        <f aca="false">G240*H240</f>
        <v>150</v>
      </c>
    </row>
    <row r="241" customFormat="false" ht="15" hidden="false" customHeight="false" outlineLevel="0" collapsed="false">
      <c r="A241" s="6" t="n">
        <v>166</v>
      </c>
      <c r="B241" s="7" t="n">
        <v>45018</v>
      </c>
      <c r="C241" s="6" t="s">
        <v>287</v>
      </c>
      <c r="D241" s="6" t="s">
        <v>44</v>
      </c>
      <c r="E241" s="6" t="n">
        <v>34</v>
      </c>
      <c r="F241" s="6" t="s">
        <v>47</v>
      </c>
      <c r="G241" s="6" t="n">
        <v>4</v>
      </c>
      <c r="H241" s="8" t="n">
        <v>500</v>
      </c>
      <c r="I241" s="8" t="n">
        <f aca="false">G241*H241</f>
        <v>2000</v>
      </c>
    </row>
    <row r="242" customFormat="false" ht="15" hidden="false" customHeight="false" outlineLevel="0" collapsed="false">
      <c r="A242" s="6" t="n">
        <v>905</v>
      </c>
      <c r="B242" s="7" t="n">
        <v>45018</v>
      </c>
      <c r="C242" s="6" t="s">
        <v>288</v>
      </c>
      <c r="D242" s="6" t="s">
        <v>44</v>
      </c>
      <c r="E242" s="6" t="n">
        <v>58</v>
      </c>
      <c r="F242" s="6" t="s">
        <v>45</v>
      </c>
      <c r="G242" s="6" t="n">
        <v>1</v>
      </c>
      <c r="H242" s="8" t="n">
        <v>300</v>
      </c>
      <c r="I242" s="8" t="n">
        <f aca="false">G242*H242</f>
        <v>300</v>
      </c>
    </row>
    <row r="243" customFormat="false" ht="15" hidden="false" customHeight="false" outlineLevel="0" collapsed="false">
      <c r="A243" s="6" t="n">
        <v>280</v>
      </c>
      <c r="B243" s="7" t="n">
        <v>45020</v>
      </c>
      <c r="C243" s="6" t="s">
        <v>289</v>
      </c>
      <c r="D243" s="6" t="s">
        <v>49</v>
      </c>
      <c r="E243" s="6" t="n">
        <v>37</v>
      </c>
      <c r="F243" s="6" t="s">
        <v>47</v>
      </c>
      <c r="G243" s="6" t="n">
        <v>3</v>
      </c>
      <c r="H243" s="8" t="n">
        <v>500</v>
      </c>
      <c r="I243" s="8" t="n">
        <f aca="false">G243*H243</f>
        <v>1500</v>
      </c>
    </row>
    <row r="244" customFormat="false" ht="15" hidden="false" customHeight="false" outlineLevel="0" collapsed="false">
      <c r="A244" s="6" t="n">
        <v>834</v>
      </c>
      <c r="B244" s="7" t="n">
        <v>45020</v>
      </c>
      <c r="C244" s="6" t="s">
        <v>290</v>
      </c>
      <c r="D244" s="6" t="s">
        <v>49</v>
      </c>
      <c r="E244" s="6" t="n">
        <v>56</v>
      </c>
      <c r="F244" s="6" t="s">
        <v>45</v>
      </c>
      <c r="G244" s="6" t="n">
        <v>2</v>
      </c>
      <c r="H244" s="8" t="n">
        <v>30</v>
      </c>
      <c r="I244" s="8" t="n">
        <f aca="false">G244*H244</f>
        <v>60</v>
      </c>
    </row>
    <row r="245" customFormat="false" ht="15" hidden="false" customHeight="false" outlineLevel="0" collapsed="false">
      <c r="A245" s="6" t="n">
        <v>719</v>
      </c>
      <c r="B245" s="7" t="n">
        <v>45020</v>
      </c>
      <c r="C245" s="6" t="s">
        <v>291</v>
      </c>
      <c r="D245" s="6" t="s">
        <v>49</v>
      </c>
      <c r="E245" s="6" t="n">
        <v>42</v>
      </c>
      <c r="F245" s="6" t="s">
        <v>47</v>
      </c>
      <c r="G245" s="6" t="n">
        <v>2</v>
      </c>
      <c r="H245" s="8" t="n">
        <v>30</v>
      </c>
      <c r="I245" s="8" t="n">
        <f aca="false">G245*H245</f>
        <v>60</v>
      </c>
    </row>
    <row r="246" customFormat="false" ht="15" hidden="false" customHeight="false" outlineLevel="0" collapsed="false">
      <c r="A246" s="6" t="n">
        <v>891</v>
      </c>
      <c r="B246" s="7" t="n">
        <v>45021</v>
      </c>
      <c r="C246" s="6" t="s">
        <v>292</v>
      </c>
      <c r="D246" s="6" t="s">
        <v>44</v>
      </c>
      <c r="E246" s="6" t="n">
        <v>41</v>
      </c>
      <c r="F246" s="6" t="s">
        <v>51</v>
      </c>
      <c r="G246" s="6" t="n">
        <v>3</v>
      </c>
      <c r="H246" s="8" t="n">
        <v>300</v>
      </c>
      <c r="I246" s="8" t="n">
        <f aca="false">G246*H246</f>
        <v>900</v>
      </c>
    </row>
    <row r="247" customFormat="false" ht="15" hidden="false" customHeight="false" outlineLevel="0" collapsed="false">
      <c r="A247" s="6" t="n">
        <v>928</v>
      </c>
      <c r="B247" s="7" t="n">
        <v>45021</v>
      </c>
      <c r="C247" s="6" t="s">
        <v>293</v>
      </c>
      <c r="D247" s="6" t="s">
        <v>49</v>
      </c>
      <c r="E247" s="6" t="n">
        <v>35</v>
      </c>
      <c r="F247" s="6" t="s">
        <v>47</v>
      </c>
      <c r="G247" s="6" t="n">
        <v>4</v>
      </c>
      <c r="H247" s="8" t="n">
        <v>300</v>
      </c>
      <c r="I247" s="8" t="n">
        <f aca="false">G247*H247</f>
        <v>1200</v>
      </c>
    </row>
    <row r="248" customFormat="false" ht="15" hidden="false" customHeight="false" outlineLevel="0" collapsed="false">
      <c r="A248" s="6" t="n">
        <v>332</v>
      </c>
      <c r="B248" s="7" t="n">
        <v>45022</v>
      </c>
      <c r="C248" s="6" t="s">
        <v>294</v>
      </c>
      <c r="D248" s="6" t="s">
        <v>44</v>
      </c>
      <c r="E248" s="6" t="n">
        <v>58</v>
      </c>
      <c r="F248" s="6" t="s">
        <v>51</v>
      </c>
      <c r="G248" s="6" t="n">
        <v>4</v>
      </c>
      <c r="H248" s="8" t="n">
        <v>300</v>
      </c>
      <c r="I248" s="8" t="n">
        <f aca="false">G248*H248</f>
        <v>1200</v>
      </c>
    </row>
    <row r="249" customFormat="false" ht="15" hidden="false" customHeight="false" outlineLevel="0" collapsed="false">
      <c r="A249" s="6" t="n">
        <v>255</v>
      </c>
      <c r="B249" s="7" t="n">
        <v>45024</v>
      </c>
      <c r="C249" s="6" t="s">
        <v>295</v>
      </c>
      <c r="D249" s="6" t="s">
        <v>44</v>
      </c>
      <c r="E249" s="6" t="n">
        <v>48</v>
      </c>
      <c r="F249" s="6" t="s">
        <v>47</v>
      </c>
      <c r="G249" s="6" t="n">
        <v>1</v>
      </c>
      <c r="H249" s="8" t="n">
        <v>30</v>
      </c>
      <c r="I249" s="8" t="n">
        <f aca="false">G249*H249</f>
        <v>30</v>
      </c>
    </row>
    <row r="250" customFormat="false" ht="15" hidden="false" customHeight="false" outlineLevel="0" collapsed="false">
      <c r="A250" s="6" t="n">
        <v>275</v>
      </c>
      <c r="B250" s="7" t="n">
        <v>45024</v>
      </c>
      <c r="C250" s="6" t="s">
        <v>296</v>
      </c>
      <c r="D250" s="6" t="s">
        <v>44</v>
      </c>
      <c r="E250" s="6" t="n">
        <v>43</v>
      </c>
      <c r="F250" s="6" t="s">
        <v>47</v>
      </c>
      <c r="G250" s="6" t="n">
        <v>2</v>
      </c>
      <c r="H250" s="8" t="n">
        <v>500</v>
      </c>
      <c r="I250" s="8" t="n">
        <f aca="false">G250*H250</f>
        <v>1000</v>
      </c>
    </row>
    <row r="251" customFormat="false" ht="15" hidden="false" customHeight="false" outlineLevel="0" collapsed="false">
      <c r="A251" s="6" t="n">
        <v>517</v>
      </c>
      <c r="B251" s="7" t="n">
        <v>45024</v>
      </c>
      <c r="C251" s="6" t="s">
        <v>297</v>
      </c>
      <c r="D251" s="6" t="s">
        <v>49</v>
      </c>
      <c r="E251" s="6" t="n">
        <v>47</v>
      </c>
      <c r="F251" s="6" t="s">
        <v>47</v>
      </c>
      <c r="G251" s="6" t="n">
        <v>4</v>
      </c>
      <c r="H251" s="8" t="n">
        <v>25</v>
      </c>
      <c r="I251" s="8" t="n">
        <f aca="false">G251*H251</f>
        <v>100</v>
      </c>
    </row>
    <row r="252" customFormat="false" ht="15" hidden="false" customHeight="false" outlineLevel="0" collapsed="false">
      <c r="A252" s="6" t="n">
        <v>314</v>
      </c>
      <c r="B252" s="7" t="n">
        <v>45024</v>
      </c>
      <c r="C252" s="6" t="s">
        <v>298</v>
      </c>
      <c r="D252" s="6" t="s">
        <v>44</v>
      </c>
      <c r="E252" s="6" t="n">
        <v>52</v>
      </c>
      <c r="F252" s="6" t="s">
        <v>47</v>
      </c>
      <c r="G252" s="6" t="n">
        <v>4</v>
      </c>
      <c r="H252" s="8" t="n">
        <v>30</v>
      </c>
      <c r="I252" s="8" t="n">
        <f aca="false">G252*H252</f>
        <v>120</v>
      </c>
    </row>
    <row r="253" customFormat="false" ht="15" hidden="false" customHeight="false" outlineLevel="0" collapsed="false">
      <c r="A253" s="6" t="n">
        <v>847</v>
      </c>
      <c r="B253" s="7" t="n">
        <v>45024</v>
      </c>
      <c r="C253" s="6" t="s">
        <v>299</v>
      </c>
      <c r="D253" s="6" t="s">
        <v>49</v>
      </c>
      <c r="E253" s="6" t="n">
        <v>18</v>
      </c>
      <c r="F253" s="6" t="s">
        <v>51</v>
      </c>
      <c r="G253" s="6" t="n">
        <v>4</v>
      </c>
      <c r="H253" s="8" t="n">
        <v>300</v>
      </c>
      <c r="I253" s="8" t="n">
        <f aca="false">G253*H253</f>
        <v>1200</v>
      </c>
    </row>
    <row r="254" customFormat="false" ht="15" hidden="false" customHeight="false" outlineLevel="0" collapsed="false">
      <c r="A254" s="6" t="n">
        <v>61</v>
      </c>
      <c r="B254" s="7" t="n">
        <v>45025</v>
      </c>
      <c r="C254" s="6" t="s">
        <v>300</v>
      </c>
      <c r="D254" s="6" t="s">
        <v>44</v>
      </c>
      <c r="E254" s="6" t="n">
        <v>21</v>
      </c>
      <c r="F254" s="6" t="s">
        <v>45</v>
      </c>
      <c r="G254" s="6" t="n">
        <v>4</v>
      </c>
      <c r="H254" s="8" t="n">
        <v>50</v>
      </c>
      <c r="I254" s="8" t="n">
        <f aca="false">G254*H254</f>
        <v>200</v>
      </c>
    </row>
    <row r="255" customFormat="false" ht="15" hidden="false" customHeight="false" outlineLevel="0" collapsed="false">
      <c r="A255" s="6" t="n">
        <v>886</v>
      </c>
      <c r="B255" s="7" t="n">
        <v>45025</v>
      </c>
      <c r="C255" s="6" t="s">
        <v>301</v>
      </c>
      <c r="D255" s="6" t="s">
        <v>44</v>
      </c>
      <c r="E255" s="6" t="n">
        <v>37</v>
      </c>
      <c r="F255" s="6" t="s">
        <v>51</v>
      </c>
      <c r="G255" s="6" t="n">
        <v>3</v>
      </c>
      <c r="H255" s="8" t="n">
        <v>300</v>
      </c>
      <c r="I255" s="8" t="n">
        <f aca="false">G255*H255</f>
        <v>900</v>
      </c>
    </row>
    <row r="256" customFormat="false" ht="15" hidden="false" customHeight="false" outlineLevel="0" collapsed="false">
      <c r="A256" s="6" t="n">
        <v>548</v>
      </c>
      <c r="B256" s="7" t="n">
        <v>45025</v>
      </c>
      <c r="C256" s="6" t="s">
        <v>302</v>
      </c>
      <c r="D256" s="6" t="s">
        <v>49</v>
      </c>
      <c r="E256" s="6" t="n">
        <v>51</v>
      </c>
      <c r="F256" s="6" t="s">
        <v>47</v>
      </c>
      <c r="G256" s="6" t="n">
        <v>2</v>
      </c>
      <c r="H256" s="8" t="n">
        <v>30</v>
      </c>
      <c r="I256" s="8" t="n">
        <f aca="false">G256*H256</f>
        <v>60</v>
      </c>
    </row>
    <row r="257" customFormat="false" ht="15" hidden="false" customHeight="false" outlineLevel="0" collapsed="false">
      <c r="A257" s="6" t="n">
        <v>892</v>
      </c>
      <c r="B257" s="7" t="n">
        <v>45025</v>
      </c>
      <c r="C257" s="6" t="s">
        <v>303</v>
      </c>
      <c r="D257" s="6" t="s">
        <v>44</v>
      </c>
      <c r="E257" s="6" t="n">
        <v>20</v>
      </c>
      <c r="F257" s="6" t="s">
        <v>51</v>
      </c>
      <c r="G257" s="6" t="n">
        <v>1</v>
      </c>
      <c r="H257" s="8" t="n">
        <v>50</v>
      </c>
      <c r="I257" s="8" t="n">
        <f aca="false">G257*H257</f>
        <v>50</v>
      </c>
    </row>
    <row r="258" customFormat="false" ht="15" hidden="false" customHeight="false" outlineLevel="0" collapsed="false">
      <c r="A258" s="6" t="n">
        <v>274</v>
      </c>
      <c r="B258" s="7" t="n">
        <v>45025</v>
      </c>
      <c r="C258" s="6" t="s">
        <v>304</v>
      </c>
      <c r="D258" s="6" t="s">
        <v>49</v>
      </c>
      <c r="E258" s="6" t="n">
        <v>23</v>
      </c>
      <c r="F258" s="6" t="s">
        <v>47</v>
      </c>
      <c r="G258" s="6" t="n">
        <v>2</v>
      </c>
      <c r="H258" s="8" t="n">
        <v>500</v>
      </c>
      <c r="I258" s="8" t="n">
        <f aca="false">G258*H258</f>
        <v>1000</v>
      </c>
    </row>
    <row r="259" customFormat="false" ht="15" hidden="false" customHeight="false" outlineLevel="0" collapsed="false">
      <c r="A259" s="6" t="n">
        <v>486</v>
      </c>
      <c r="B259" s="7" t="n">
        <v>45025</v>
      </c>
      <c r="C259" s="6" t="s">
        <v>305</v>
      </c>
      <c r="D259" s="6" t="s">
        <v>49</v>
      </c>
      <c r="E259" s="6" t="n">
        <v>35</v>
      </c>
      <c r="F259" s="6" t="s">
        <v>51</v>
      </c>
      <c r="G259" s="6" t="n">
        <v>1</v>
      </c>
      <c r="H259" s="8" t="n">
        <v>25</v>
      </c>
      <c r="I259" s="8" t="n">
        <f aca="false">G259*H259</f>
        <v>25</v>
      </c>
    </row>
    <row r="260" customFormat="false" ht="15" hidden="false" customHeight="false" outlineLevel="0" collapsed="false">
      <c r="A260" s="6" t="n">
        <v>601</v>
      </c>
      <c r="B260" s="7" t="n">
        <v>45026</v>
      </c>
      <c r="C260" s="6" t="s">
        <v>306</v>
      </c>
      <c r="D260" s="6" t="s">
        <v>44</v>
      </c>
      <c r="E260" s="6" t="n">
        <v>19</v>
      </c>
      <c r="F260" s="6" t="s">
        <v>47</v>
      </c>
      <c r="G260" s="6" t="n">
        <v>1</v>
      </c>
      <c r="H260" s="8" t="n">
        <v>30</v>
      </c>
      <c r="I260" s="8" t="n">
        <f aca="false">G260*H260</f>
        <v>30</v>
      </c>
    </row>
    <row r="261" customFormat="false" ht="15" hidden="false" customHeight="false" outlineLevel="0" collapsed="false">
      <c r="A261" s="6" t="n">
        <v>901</v>
      </c>
      <c r="B261" s="7" t="n">
        <v>45026</v>
      </c>
      <c r="C261" s="6" t="s">
        <v>307</v>
      </c>
      <c r="D261" s="6" t="s">
        <v>44</v>
      </c>
      <c r="E261" s="6" t="n">
        <v>31</v>
      </c>
      <c r="F261" s="6" t="s">
        <v>51</v>
      </c>
      <c r="G261" s="6" t="n">
        <v>1</v>
      </c>
      <c r="H261" s="8" t="n">
        <v>30</v>
      </c>
      <c r="I261" s="8" t="n">
        <f aca="false">G261*H261</f>
        <v>30</v>
      </c>
    </row>
    <row r="262" customFormat="false" ht="15" hidden="false" customHeight="false" outlineLevel="0" collapsed="false">
      <c r="A262" s="6" t="n">
        <v>527</v>
      </c>
      <c r="B262" s="7" t="n">
        <v>45027</v>
      </c>
      <c r="C262" s="6" t="s">
        <v>308</v>
      </c>
      <c r="D262" s="6" t="s">
        <v>44</v>
      </c>
      <c r="E262" s="6" t="n">
        <v>57</v>
      </c>
      <c r="F262" s="6" t="s">
        <v>47</v>
      </c>
      <c r="G262" s="6" t="n">
        <v>2</v>
      </c>
      <c r="H262" s="8" t="n">
        <v>25</v>
      </c>
      <c r="I262" s="8" t="n">
        <f aca="false">G262*H262</f>
        <v>50</v>
      </c>
    </row>
    <row r="263" customFormat="false" ht="15" hidden="false" customHeight="false" outlineLevel="0" collapsed="false">
      <c r="A263" s="6" t="n">
        <v>774</v>
      </c>
      <c r="B263" s="7" t="n">
        <v>45028</v>
      </c>
      <c r="C263" s="6" t="s">
        <v>309</v>
      </c>
      <c r="D263" s="6" t="s">
        <v>49</v>
      </c>
      <c r="E263" s="6" t="n">
        <v>40</v>
      </c>
      <c r="F263" s="6" t="s">
        <v>47</v>
      </c>
      <c r="G263" s="6" t="n">
        <v>2</v>
      </c>
      <c r="H263" s="8" t="n">
        <v>25</v>
      </c>
      <c r="I263" s="8" t="n">
        <f aca="false">G263*H263</f>
        <v>50</v>
      </c>
    </row>
    <row r="264" customFormat="false" ht="15" hidden="false" customHeight="false" outlineLevel="0" collapsed="false">
      <c r="A264" s="6" t="n">
        <v>589</v>
      </c>
      <c r="B264" s="7" t="n">
        <v>45028</v>
      </c>
      <c r="C264" s="6" t="s">
        <v>310</v>
      </c>
      <c r="D264" s="6" t="s">
        <v>49</v>
      </c>
      <c r="E264" s="6" t="n">
        <v>36</v>
      </c>
      <c r="F264" s="6" t="s">
        <v>45</v>
      </c>
      <c r="G264" s="6" t="n">
        <v>2</v>
      </c>
      <c r="H264" s="8" t="n">
        <v>500</v>
      </c>
      <c r="I264" s="8" t="n">
        <f aca="false">G264*H264</f>
        <v>1000</v>
      </c>
    </row>
    <row r="265" customFormat="false" ht="15" hidden="false" customHeight="false" outlineLevel="0" collapsed="false">
      <c r="A265" s="6" t="n">
        <v>1000</v>
      </c>
      <c r="B265" s="7" t="n">
        <v>45028</v>
      </c>
      <c r="C265" s="6" t="s">
        <v>311</v>
      </c>
      <c r="D265" s="6" t="s">
        <v>44</v>
      </c>
      <c r="E265" s="6" t="n">
        <v>47</v>
      </c>
      <c r="F265" s="6" t="s">
        <v>51</v>
      </c>
      <c r="G265" s="6" t="n">
        <v>4</v>
      </c>
      <c r="H265" s="8" t="n">
        <v>30</v>
      </c>
      <c r="I265" s="8" t="n">
        <f aca="false">G265*H265</f>
        <v>120</v>
      </c>
    </row>
    <row r="266" customFormat="false" ht="15" hidden="false" customHeight="false" outlineLevel="0" collapsed="false">
      <c r="A266" s="6" t="n">
        <v>23</v>
      </c>
      <c r="B266" s="7" t="n">
        <v>45028</v>
      </c>
      <c r="C266" s="6" t="s">
        <v>312</v>
      </c>
      <c r="D266" s="6" t="s">
        <v>49</v>
      </c>
      <c r="E266" s="6" t="n">
        <v>35</v>
      </c>
      <c r="F266" s="6" t="s">
        <v>47</v>
      </c>
      <c r="G266" s="6" t="n">
        <v>4</v>
      </c>
      <c r="H266" s="8" t="n">
        <v>30</v>
      </c>
      <c r="I266" s="8" t="n">
        <f aca="false">G266*H266</f>
        <v>120</v>
      </c>
    </row>
    <row r="267" customFormat="false" ht="15" hidden="false" customHeight="false" outlineLevel="0" collapsed="false">
      <c r="A267" s="6" t="n">
        <v>174</v>
      </c>
      <c r="B267" s="7" t="n">
        <v>45028</v>
      </c>
      <c r="C267" s="6" t="s">
        <v>313</v>
      </c>
      <c r="D267" s="6" t="s">
        <v>49</v>
      </c>
      <c r="E267" s="6" t="n">
        <v>39</v>
      </c>
      <c r="F267" s="6" t="s">
        <v>45</v>
      </c>
      <c r="G267" s="6" t="n">
        <v>1</v>
      </c>
      <c r="H267" s="8" t="n">
        <v>300</v>
      </c>
      <c r="I267" s="8" t="n">
        <f aca="false">G267*H267</f>
        <v>300</v>
      </c>
    </row>
    <row r="268" customFormat="false" ht="15" hidden="false" customHeight="false" outlineLevel="0" collapsed="false">
      <c r="A268" s="6" t="n">
        <v>210</v>
      </c>
      <c r="B268" s="7" t="n">
        <v>45029</v>
      </c>
      <c r="C268" s="6" t="s">
        <v>314</v>
      </c>
      <c r="D268" s="6" t="s">
        <v>44</v>
      </c>
      <c r="E268" s="6" t="n">
        <v>37</v>
      </c>
      <c r="F268" s="6" t="s">
        <v>51</v>
      </c>
      <c r="G268" s="6" t="n">
        <v>4</v>
      </c>
      <c r="H268" s="8" t="n">
        <v>50</v>
      </c>
      <c r="I268" s="8" t="n">
        <f aca="false">G268*H268</f>
        <v>200</v>
      </c>
    </row>
    <row r="269" customFormat="false" ht="15" hidden="false" customHeight="false" outlineLevel="0" collapsed="false">
      <c r="A269" s="6" t="n">
        <v>745</v>
      </c>
      <c r="B269" s="7" t="n">
        <v>45029</v>
      </c>
      <c r="C269" s="6" t="s">
        <v>315</v>
      </c>
      <c r="D269" s="6" t="s">
        <v>44</v>
      </c>
      <c r="E269" s="6" t="n">
        <v>54</v>
      </c>
      <c r="F269" s="6" t="s">
        <v>45</v>
      </c>
      <c r="G269" s="6" t="n">
        <v>2</v>
      </c>
      <c r="H269" s="8" t="n">
        <v>50</v>
      </c>
      <c r="I269" s="8" t="n">
        <f aca="false">G269*H269</f>
        <v>100</v>
      </c>
    </row>
    <row r="270" customFormat="false" ht="15" hidden="false" customHeight="false" outlineLevel="0" collapsed="false">
      <c r="A270" s="6" t="n">
        <v>478</v>
      </c>
      <c r="B270" s="7" t="n">
        <v>45029</v>
      </c>
      <c r="C270" s="6" t="s">
        <v>316</v>
      </c>
      <c r="D270" s="6" t="s">
        <v>49</v>
      </c>
      <c r="E270" s="6" t="n">
        <v>58</v>
      </c>
      <c r="F270" s="6" t="s">
        <v>47</v>
      </c>
      <c r="G270" s="6" t="n">
        <v>2</v>
      </c>
      <c r="H270" s="8" t="n">
        <v>30</v>
      </c>
      <c r="I270" s="8" t="n">
        <f aca="false">G270*H270</f>
        <v>60</v>
      </c>
    </row>
    <row r="271" customFormat="false" ht="15" hidden="false" customHeight="false" outlineLevel="0" collapsed="false">
      <c r="A271" s="6" t="n">
        <v>354</v>
      </c>
      <c r="B271" s="7" t="n">
        <v>45031</v>
      </c>
      <c r="C271" s="6" t="s">
        <v>317</v>
      </c>
      <c r="D271" s="6" t="s">
        <v>49</v>
      </c>
      <c r="E271" s="6" t="n">
        <v>49</v>
      </c>
      <c r="F271" s="6" t="s">
        <v>45</v>
      </c>
      <c r="G271" s="6" t="n">
        <v>4</v>
      </c>
      <c r="H271" s="8" t="n">
        <v>50</v>
      </c>
      <c r="I271" s="8" t="n">
        <f aca="false">G271*H271</f>
        <v>200</v>
      </c>
    </row>
    <row r="272" customFormat="false" ht="15" hidden="false" customHeight="false" outlineLevel="0" collapsed="false">
      <c r="A272" s="6" t="n">
        <v>408</v>
      </c>
      <c r="B272" s="7" t="n">
        <v>45031</v>
      </c>
      <c r="C272" s="6" t="s">
        <v>318</v>
      </c>
      <c r="D272" s="6" t="s">
        <v>49</v>
      </c>
      <c r="E272" s="6" t="n">
        <v>64</v>
      </c>
      <c r="F272" s="6" t="s">
        <v>45</v>
      </c>
      <c r="G272" s="6" t="n">
        <v>1</v>
      </c>
      <c r="H272" s="8" t="n">
        <v>500</v>
      </c>
      <c r="I272" s="8" t="n">
        <f aca="false">G272*H272</f>
        <v>500</v>
      </c>
    </row>
    <row r="273" customFormat="false" ht="15" hidden="false" customHeight="false" outlineLevel="0" collapsed="false">
      <c r="A273" s="6" t="n">
        <v>674</v>
      </c>
      <c r="B273" s="7" t="n">
        <v>45032</v>
      </c>
      <c r="C273" s="6" t="s">
        <v>319</v>
      </c>
      <c r="D273" s="6" t="s">
        <v>49</v>
      </c>
      <c r="E273" s="6" t="n">
        <v>38</v>
      </c>
      <c r="F273" s="6" t="s">
        <v>47</v>
      </c>
      <c r="G273" s="6" t="n">
        <v>1</v>
      </c>
      <c r="H273" s="8" t="n">
        <v>300</v>
      </c>
      <c r="I273" s="8" t="n">
        <f aca="false">G273*H273</f>
        <v>300</v>
      </c>
    </row>
    <row r="274" customFormat="false" ht="15" hidden="false" customHeight="false" outlineLevel="0" collapsed="false">
      <c r="A274" s="6" t="n">
        <v>967</v>
      </c>
      <c r="B274" s="7" t="n">
        <v>45033</v>
      </c>
      <c r="C274" s="6" t="s">
        <v>320</v>
      </c>
      <c r="D274" s="6" t="s">
        <v>44</v>
      </c>
      <c r="E274" s="6" t="n">
        <v>62</v>
      </c>
      <c r="F274" s="6" t="s">
        <v>45</v>
      </c>
      <c r="G274" s="6" t="n">
        <v>1</v>
      </c>
      <c r="H274" s="8" t="n">
        <v>25</v>
      </c>
      <c r="I274" s="8" t="n">
        <f aca="false">G274*H274</f>
        <v>25</v>
      </c>
    </row>
    <row r="275" customFormat="false" ht="15" hidden="false" customHeight="false" outlineLevel="0" collapsed="false">
      <c r="A275" s="6" t="n">
        <v>450</v>
      </c>
      <c r="B275" s="7" t="n">
        <v>45034</v>
      </c>
      <c r="C275" s="6" t="s">
        <v>321</v>
      </c>
      <c r="D275" s="6" t="s">
        <v>49</v>
      </c>
      <c r="E275" s="6" t="n">
        <v>59</v>
      </c>
      <c r="F275" s="6" t="s">
        <v>45</v>
      </c>
      <c r="G275" s="6" t="n">
        <v>2</v>
      </c>
      <c r="H275" s="8" t="n">
        <v>25</v>
      </c>
      <c r="I275" s="8" t="n">
        <f aca="false">G275*H275</f>
        <v>50</v>
      </c>
    </row>
    <row r="276" customFormat="false" ht="15" hidden="false" customHeight="false" outlineLevel="0" collapsed="false">
      <c r="A276" s="6" t="n">
        <v>79</v>
      </c>
      <c r="B276" s="7" t="n">
        <v>45034</v>
      </c>
      <c r="C276" s="6" t="s">
        <v>322</v>
      </c>
      <c r="D276" s="6" t="s">
        <v>44</v>
      </c>
      <c r="E276" s="6" t="n">
        <v>34</v>
      </c>
      <c r="F276" s="6" t="s">
        <v>45</v>
      </c>
      <c r="G276" s="6" t="n">
        <v>1</v>
      </c>
      <c r="H276" s="8" t="n">
        <v>300</v>
      </c>
      <c r="I276" s="8" t="n">
        <f aca="false">G276*H276</f>
        <v>300</v>
      </c>
    </row>
    <row r="277" customFormat="false" ht="15" hidden="false" customHeight="false" outlineLevel="0" collapsed="false">
      <c r="A277" s="6" t="n">
        <v>562</v>
      </c>
      <c r="B277" s="7" t="n">
        <v>45034</v>
      </c>
      <c r="C277" s="6" t="s">
        <v>323</v>
      </c>
      <c r="D277" s="6" t="s">
        <v>44</v>
      </c>
      <c r="E277" s="6" t="n">
        <v>54</v>
      </c>
      <c r="F277" s="6" t="s">
        <v>51</v>
      </c>
      <c r="G277" s="6" t="n">
        <v>2</v>
      </c>
      <c r="H277" s="8" t="n">
        <v>25</v>
      </c>
      <c r="I277" s="8" t="n">
        <f aca="false">G277*H277</f>
        <v>50</v>
      </c>
    </row>
    <row r="278" customFormat="false" ht="15" hidden="false" customHeight="false" outlineLevel="0" collapsed="false">
      <c r="A278" s="6" t="n">
        <v>406</v>
      </c>
      <c r="B278" s="7" t="n">
        <v>45034</v>
      </c>
      <c r="C278" s="6" t="s">
        <v>324</v>
      </c>
      <c r="D278" s="6" t="s">
        <v>49</v>
      </c>
      <c r="E278" s="6" t="n">
        <v>22</v>
      </c>
      <c r="F278" s="6" t="s">
        <v>45</v>
      </c>
      <c r="G278" s="6" t="n">
        <v>4</v>
      </c>
      <c r="H278" s="8" t="n">
        <v>25</v>
      </c>
      <c r="I278" s="8" t="n">
        <f aca="false">G278*H278</f>
        <v>100</v>
      </c>
    </row>
    <row r="279" customFormat="false" ht="15" hidden="false" customHeight="false" outlineLevel="0" collapsed="false">
      <c r="A279" s="6" t="n">
        <v>836</v>
      </c>
      <c r="B279" s="7" t="n">
        <v>45035</v>
      </c>
      <c r="C279" s="6" t="s">
        <v>325</v>
      </c>
      <c r="D279" s="6" t="s">
        <v>49</v>
      </c>
      <c r="E279" s="6" t="n">
        <v>22</v>
      </c>
      <c r="F279" s="6" t="s">
        <v>47</v>
      </c>
      <c r="G279" s="6" t="n">
        <v>1</v>
      </c>
      <c r="H279" s="8" t="n">
        <v>50</v>
      </c>
      <c r="I279" s="8" t="n">
        <f aca="false">G279*H279</f>
        <v>50</v>
      </c>
    </row>
    <row r="280" customFormat="false" ht="15" hidden="false" customHeight="false" outlineLevel="0" collapsed="false">
      <c r="A280" s="6" t="n">
        <v>969</v>
      </c>
      <c r="B280" s="7" t="n">
        <v>45035</v>
      </c>
      <c r="C280" s="6" t="s">
        <v>326</v>
      </c>
      <c r="D280" s="6" t="s">
        <v>49</v>
      </c>
      <c r="E280" s="6" t="n">
        <v>40</v>
      </c>
      <c r="F280" s="6" t="s">
        <v>47</v>
      </c>
      <c r="G280" s="6" t="n">
        <v>3</v>
      </c>
      <c r="H280" s="8" t="n">
        <v>300</v>
      </c>
      <c r="I280" s="8" t="n">
        <f aca="false">G280*H280</f>
        <v>900</v>
      </c>
    </row>
    <row r="281" customFormat="false" ht="15" hidden="false" customHeight="false" outlineLevel="0" collapsed="false">
      <c r="A281" s="6" t="n">
        <v>111</v>
      </c>
      <c r="B281" s="7" t="n">
        <v>45035</v>
      </c>
      <c r="C281" s="6" t="s">
        <v>327</v>
      </c>
      <c r="D281" s="6" t="s">
        <v>49</v>
      </c>
      <c r="E281" s="6" t="n">
        <v>34</v>
      </c>
      <c r="F281" s="6" t="s">
        <v>51</v>
      </c>
      <c r="G281" s="6" t="n">
        <v>3</v>
      </c>
      <c r="H281" s="8" t="n">
        <v>500</v>
      </c>
      <c r="I281" s="8" t="n">
        <f aca="false">G281*H281</f>
        <v>1500</v>
      </c>
    </row>
    <row r="282" customFormat="false" ht="15" hidden="false" customHeight="false" outlineLevel="0" collapsed="false">
      <c r="A282" s="6" t="n">
        <v>207</v>
      </c>
      <c r="B282" s="7" t="n">
        <v>45035</v>
      </c>
      <c r="C282" s="6" t="s">
        <v>328</v>
      </c>
      <c r="D282" s="6" t="s">
        <v>49</v>
      </c>
      <c r="E282" s="6" t="n">
        <v>42</v>
      </c>
      <c r="F282" s="6" t="s">
        <v>45</v>
      </c>
      <c r="G282" s="6" t="n">
        <v>2</v>
      </c>
      <c r="H282" s="8" t="n">
        <v>25</v>
      </c>
      <c r="I282" s="8" t="n">
        <f aca="false">G282*H282</f>
        <v>50</v>
      </c>
    </row>
    <row r="283" customFormat="false" ht="15" hidden="false" customHeight="false" outlineLevel="0" collapsed="false">
      <c r="A283" s="6" t="n">
        <v>108</v>
      </c>
      <c r="B283" s="7" t="n">
        <v>45035</v>
      </c>
      <c r="C283" s="6" t="s">
        <v>329</v>
      </c>
      <c r="D283" s="6" t="s">
        <v>49</v>
      </c>
      <c r="E283" s="6" t="n">
        <v>27</v>
      </c>
      <c r="F283" s="6" t="s">
        <v>45</v>
      </c>
      <c r="G283" s="6" t="n">
        <v>3</v>
      </c>
      <c r="H283" s="8" t="n">
        <v>25</v>
      </c>
      <c r="I283" s="8" t="n">
        <f aca="false">G283*H283</f>
        <v>75</v>
      </c>
    </row>
    <row r="284" customFormat="false" ht="15" hidden="false" customHeight="false" outlineLevel="0" collapsed="false">
      <c r="A284" s="6" t="n">
        <v>724</v>
      </c>
      <c r="B284" s="7" t="n">
        <v>45035</v>
      </c>
      <c r="C284" s="6" t="s">
        <v>330</v>
      </c>
      <c r="D284" s="6" t="s">
        <v>44</v>
      </c>
      <c r="E284" s="6" t="n">
        <v>61</v>
      </c>
      <c r="F284" s="6" t="s">
        <v>47</v>
      </c>
      <c r="G284" s="6" t="n">
        <v>3</v>
      </c>
      <c r="H284" s="8" t="n">
        <v>50</v>
      </c>
      <c r="I284" s="8" t="n">
        <f aca="false">G284*H284</f>
        <v>150</v>
      </c>
    </row>
    <row r="285" customFormat="false" ht="15" hidden="false" customHeight="false" outlineLevel="0" collapsed="false">
      <c r="A285" s="6" t="n">
        <v>246</v>
      </c>
      <c r="B285" s="7" t="n">
        <v>45036</v>
      </c>
      <c r="C285" s="6" t="s">
        <v>331</v>
      </c>
      <c r="D285" s="6" t="s">
        <v>49</v>
      </c>
      <c r="E285" s="6" t="n">
        <v>48</v>
      </c>
      <c r="F285" s="6" t="s">
        <v>51</v>
      </c>
      <c r="G285" s="6" t="n">
        <v>2</v>
      </c>
      <c r="H285" s="8" t="n">
        <v>25</v>
      </c>
      <c r="I285" s="8" t="n">
        <f aca="false">G285*H285</f>
        <v>50</v>
      </c>
    </row>
    <row r="286" customFormat="false" ht="15" hidden="false" customHeight="false" outlineLevel="0" collapsed="false">
      <c r="A286" s="6" t="n">
        <v>572</v>
      </c>
      <c r="B286" s="7" t="n">
        <v>45036</v>
      </c>
      <c r="C286" s="6" t="s">
        <v>332</v>
      </c>
      <c r="D286" s="6" t="s">
        <v>44</v>
      </c>
      <c r="E286" s="6" t="n">
        <v>31</v>
      </c>
      <c r="F286" s="6" t="s">
        <v>47</v>
      </c>
      <c r="G286" s="6" t="n">
        <v>4</v>
      </c>
      <c r="H286" s="8" t="n">
        <v>500</v>
      </c>
      <c r="I286" s="8" t="n">
        <f aca="false">G286*H286</f>
        <v>2000</v>
      </c>
    </row>
    <row r="287" customFormat="false" ht="15" hidden="false" customHeight="false" outlineLevel="0" collapsed="false">
      <c r="A287" s="6" t="n">
        <v>665</v>
      </c>
      <c r="B287" s="7" t="n">
        <v>45036</v>
      </c>
      <c r="C287" s="6" t="s">
        <v>333</v>
      </c>
      <c r="D287" s="6" t="s">
        <v>44</v>
      </c>
      <c r="E287" s="6" t="n">
        <v>57</v>
      </c>
      <c r="F287" s="6" t="s">
        <v>47</v>
      </c>
      <c r="G287" s="6" t="n">
        <v>1</v>
      </c>
      <c r="H287" s="8" t="n">
        <v>50</v>
      </c>
      <c r="I287" s="8" t="n">
        <f aca="false">G287*H287</f>
        <v>50</v>
      </c>
    </row>
    <row r="288" customFormat="false" ht="15" hidden="false" customHeight="false" outlineLevel="0" collapsed="false">
      <c r="A288" s="6" t="n">
        <v>298</v>
      </c>
      <c r="B288" s="7" t="n">
        <v>45036</v>
      </c>
      <c r="C288" s="6" t="s">
        <v>334</v>
      </c>
      <c r="D288" s="6" t="s">
        <v>44</v>
      </c>
      <c r="E288" s="6" t="n">
        <v>27</v>
      </c>
      <c r="F288" s="6" t="s">
        <v>45</v>
      </c>
      <c r="G288" s="6" t="n">
        <v>4</v>
      </c>
      <c r="H288" s="8" t="n">
        <v>300</v>
      </c>
      <c r="I288" s="8" t="n">
        <f aca="false">G288*H288</f>
        <v>1200</v>
      </c>
    </row>
    <row r="289" customFormat="false" ht="15" hidden="false" customHeight="false" outlineLevel="0" collapsed="false">
      <c r="A289" s="6" t="n">
        <v>374</v>
      </c>
      <c r="B289" s="7" t="n">
        <v>45036</v>
      </c>
      <c r="C289" s="6" t="s">
        <v>335</v>
      </c>
      <c r="D289" s="6" t="s">
        <v>49</v>
      </c>
      <c r="E289" s="6" t="n">
        <v>59</v>
      </c>
      <c r="F289" s="6" t="s">
        <v>45</v>
      </c>
      <c r="G289" s="6" t="n">
        <v>3</v>
      </c>
      <c r="H289" s="8" t="n">
        <v>25</v>
      </c>
      <c r="I289" s="8" t="n">
        <f aca="false">G289*H289</f>
        <v>75</v>
      </c>
    </row>
    <row r="290" customFormat="false" ht="15" hidden="false" customHeight="false" outlineLevel="0" collapsed="false">
      <c r="A290" s="6" t="n">
        <v>39</v>
      </c>
      <c r="B290" s="7" t="n">
        <v>45037</v>
      </c>
      <c r="C290" s="6" t="s">
        <v>336</v>
      </c>
      <c r="D290" s="6" t="s">
        <v>44</v>
      </c>
      <c r="E290" s="6" t="n">
        <v>23</v>
      </c>
      <c r="F290" s="6" t="s">
        <v>47</v>
      </c>
      <c r="G290" s="6" t="n">
        <v>4</v>
      </c>
      <c r="H290" s="8" t="n">
        <v>30</v>
      </c>
      <c r="I290" s="8" t="n">
        <f aca="false">G290*H290</f>
        <v>120</v>
      </c>
    </row>
    <row r="291" customFormat="false" ht="15" hidden="false" customHeight="false" outlineLevel="0" collapsed="false">
      <c r="A291" s="6" t="n">
        <v>893</v>
      </c>
      <c r="B291" s="7" t="n">
        <v>45037</v>
      </c>
      <c r="C291" s="6" t="s">
        <v>337</v>
      </c>
      <c r="D291" s="6" t="s">
        <v>44</v>
      </c>
      <c r="E291" s="6" t="n">
        <v>49</v>
      </c>
      <c r="F291" s="6" t="s">
        <v>51</v>
      </c>
      <c r="G291" s="6" t="n">
        <v>1</v>
      </c>
      <c r="H291" s="8" t="n">
        <v>50</v>
      </c>
      <c r="I291" s="8" t="n">
        <f aca="false">G291*H291</f>
        <v>50</v>
      </c>
    </row>
    <row r="292" customFormat="false" ht="15" hidden="false" customHeight="false" outlineLevel="0" collapsed="false">
      <c r="A292" s="6" t="n">
        <v>316</v>
      </c>
      <c r="B292" s="7" t="n">
        <v>45038</v>
      </c>
      <c r="C292" s="6" t="s">
        <v>338</v>
      </c>
      <c r="D292" s="6" t="s">
        <v>49</v>
      </c>
      <c r="E292" s="6" t="n">
        <v>48</v>
      </c>
      <c r="F292" s="6" t="s">
        <v>47</v>
      </c>
      <c r="G292" s="6" t="n">
        <v>2</v>
      </c>
      <c r="H292" s="8" t="n">
        <v>25</v>
      </c>
      <c r="I292" s="8" t="n">
        <f aca="false">G292*H292</f>
        <v>50</v>
      </c>
    </row>
    <row r="293" customFormat="false" ht="15" hidden="false" customHeight="false" outlineLevel="0" collapsed="false">
      <c r="A293" s="6" t="n">
        <v>17</v>
      </c>
      <c r="B293" s="7" t="n">
        <v>45038</v>
      </c>
      <c r="C293" s="6" t="s">
        <v>339</v>
      </c>
      <c r="D293" s="6" t="s">
        <v>49</v>
      </c>
      <c r="E293" s="6" t="n">
        <v>27</v>
      </c>
      <c r="F293" s="6" t="s">
        <v>47</v>
      </c>
      <c r="G293" s="6" t="n">
        <v>4</v>
      </c>
      <c r="H293" s="8" t="n">
        <v>25</v>
      </c>
      <c r="I293" s="8" t="n">
        <f aca="false">G293*H293</f>
        <v>100</v>
      </c>
    </row>
    <row r="294" customFormat="false" ht="15" hidden="false" customHeight="false" outlineLevel="0" collapsed="false">
      <c r="A294" s="6" t="n">
        <v>755</v>
      </c>
      <c r="B294" s="7" t="n">
        <v>45038</v>
      </c>
      <c r="C294" s="6" t="s">
        <v>340</v>
      </c>
      <c r="D294" s="6" t="s">
        <v>49</v>
      </c>
      <c r="E294" s="6" t="n">
        <v>58</v>
      </c>
      <c r="F294" s="6" t="s">
        <v>47</v>
      </c>
      <c r="G294" s="6" t="n">
        <v>3</v>
      </c>
      <c r="H294" s="8" t="n">
        <v>25</v>
      </c>
      <c r="I294" s="8" t="n">
        <f aca="false">G294*H294</f>
        <v>75</v>
      </c>
    </row>
    <row r="295" customFormat="false" ht="15" hidden="false" customHeight="false" outlineLevel="0" collapsed="false">
      <c r="A295" s="6" t="n">
        <v>129</v>
      </c>
      <c r="B295" s="7" t="n">
        <v>45039</v>
      </c>
      <c r="C295" s="6" t="s">
        <v>341</v>
      </c>
      <c r="D295" s="6" t="s">
        <v>49</v>
      </c>
      <c r="E295" s="6" t="n">
        <v>21</v>
      </c>
      <c r="F295" s="6" t="s">
        <v>45</v>
      </c>
      <c r="G295" s="6" t="n">
        <v>2</v>
      </c>
      <c r="H295" s="8" t="n">
        <v>300</v>
      </c>
      <c r="I295" s="8" t="n">
        <f aca="false">G295*H295</f>
        <v>600</v>
      </c>
    </row>
    <row r="296" customFormat="false" ht="15" hidden="false" customHeight="false" outlineLevel="0" collapsed="false">
      <c r="A296" s="6" t="n">
        <v>98</v>
      </c>
      <c r="B296" s="7" t="n">
        <v>45039</v>
      </c>
      <c r="C296" s="6" t="s">
        <v>342</v>
      </c>
      <c r="D296" s="6" t="s">
        <v>49</v>
      </c>
      <c r="E296" s="6" t="n">
        <v>55</v>
      </c>
      <c r="F296" s="6" t="s">
        <v>45</v>
      </c>
      <c r="G296" s="6" t="n">
        <v>2</v>
      </c>
      <c r="H296" s="8" t="n">
        <v>50</v>
      </c>
      <c r="I296" s="8" t="n">
        <f aca="false">G296*H296</f>
        <v>100</v>
      </c>
    </row>
    <row r="297" customFormat="false" ht="15" hidden="false" customHeight="false" outlineLevel="0" collapsed="false">
      <c r="A297" s="6" t="n">
        <v>230</v>
      </c>
      <c r="B297" s="7" t="n">
        <v>45039</v>
      </c>
      <c r="C297" s="6" t="s">
        <v>343</v>
      </c>
      <c r="D297" s="6" t="s">
        <v>44</v>
      </c>
      <c r="E297" s="6" t="n">
        <v>54</v>
      </c>
      <c r="F297" s="6" t="s">
        <v>45</v>
      </c>
      <c r="G297" s="6" t="n">
        <v>1</v>
      </c>
      <c r="H297" s="8" t="n">
        <v>25</v>
      </c>
      <c r="I297" s="8" t="n">
        <f aca="false">G297*H297</f>
        <v>25</v>
      </c>
    </row>
    <row r="298" customFormat="false" ht="15" hidden="false" customHeight="false" outlineLevel="0" collapsed="false">
      <c r="A298" s="6" t="n">
        <v>28</v>
      </c>
      <c r="B298" s="7" t="n">
        <v>45039</v>
      </c>
      <c r="C298" s="6" t="s">
        <v>344</v>
      </c>
      <c r="D298" s="6" t="s">
        <v>49</v>
      </c>
      <c r="E298" s="6" t="n">
        <v>43</v>
      </c>
      <c r="F298" s="6" t="s">
        <v>45</v>
      </c>
      <c r="G298" s="6" t="n">
        <v>1</v>
      </c>
      <c r="H298" s="8" t="n">
        <v>500</v>
      </c>
      <c r="I298" s="8" t="n">
        <f aca="false">G298*H298</f>
        <v>500</v>
      </c>
    </row>
    <row r="299" customFormat="false" ht="15" hidden="false" customHeight="false" outlineLevel="0" collapsed="false">
      <c r="A299" s="6" t="n">
        <v>613</v>
      </c>
      <c r="B299" s="7" t="n">
        <v>45039</v>
      </c>
      <c r="C299" s="6" t="s">
        <v>345</v>
      </c>
      <c r="D299" s="6" t="s">
        <v>49</v>
      </c>
      <c r="E299" s="6" t="n">
        <v>52</v>
      </c>
      <c r="F299" s="6" t="s">
        <v>47</v>
      </c>
      <c r="G299" s="6" t="n">
        <v>3</v>
      </c>
      <c r="H299" s="8" t="n">
        <v>30</v>
      </c>
      <c r="I299" s="8" t="n">
        <f aca="false">G299*H299</f>
        <v>90</v>
      </c>
    </row>
    <row r="300" customFormat="false" ht="15" hidden="false" customHeight="false" outlineLevel="0" collapsed="false">
      <c r="A300" s="6" t="n">
        <v>693</v>
      </c>
      <c r="B300" s="7" t="n">
        <v>45039</v>
      </c>
      <c r="C300" s="6" t="s">
        <v>346</v>
      </c>
      <c r="D300" s="6" t="s">
        <v>44</v>
      </c>
      <c r="E300" s="6" t="n">
        <v>41</v>
      </c>
      <c r="F300" s="6" t="s">
        <v>45</v>
      </c>
      <c r="G300" s="6" t="n">
        <v>3</v>
      </c>
      <c r="H300" s="8" t="n">
        <v>500</v>
      </c>
      <c r="I300" s="8" t="n">
        <f aca="false">G300*H300</f>
        <v>1500</v>
      </c>
    </row>
    <row r="301" customFormat="false" ht="15" hidden="false" customHeight="false" outlineLevel="0" collapsed="false">
      <c r="A301" s="6" t="n">
        <v>691</v>
      </c>
      <c r="B301" s="7" t="n">
        <v>45039</v>
      </c>
      <c r="C301" s="6" t="s">
        <v>347</v>
      </c>
      <c r="D301" s="6" t="s">
        <v>49</v>
      </c>
      <c r="E301" s="6" t="n">
        <v>51</v>
      </c>
      <c r="F301" s="6" t="s">
        <v>47</v>
      </c>
      <c r="G301" s="6" t="n">
        <v>3</v>
      </c>
      <c r="H301" s="8" t="n">
        <v>30</v>
      </c>
      <c r="I301" s="8" t="n">
        <f aca="false">G301*H301</f>
        <v>90</v>
      </c>
    </row>
    <row r="302" customFormat="false" ht="15" hidden="false" customHeight="false" outlineLevel="0" collapsed="false">
      <c r="A302" s="6" t="n">
        <v>477</v>
      </c>
      <c r="B302" s="7" t="n">
        <v>45040</v>
      </c>
      <c r="C302" s="6" t="s">
        <v>348</v>
      </c>
      <c r="D302" s="6" t="s">
        <v>44</v>
      </c>
      <c r="E302" s="6" t="n">
        <v>43</v>
      </c>
      <c r="F302" s="6" t="s">
        <v>47</v>
      </c>
      <c r="G302" s="6" t="n">
        <v>4</v>
      </c>
      <c r="H302" s="8" t="n">
        <v>30</v>
      </c>
      <c r="I302" s="8" t="n">
        <f aca="false">G302*H302</f>
        <v>120</v>
      </c>
    </row>
    <row r="303" customFormat="false" ht="15" hidden="false" customHeight="false" outlineLevel="0" collapsed="false">
      <c r="A303" s="6" t="n">
        <v>863</v>
      </c>
      <c r="B303" s="7" t="n">
        <v>45040</v>
      </c>
      <c r="C303" s="6" t="s">
        <v>349</v>
      </c>
      <c r="D303" s="6" t="s">
        <v>49</v>
      </c>
      <c r="E303" s="6" t="n">
        <v>30</v>
      </c>
      <c r="F303" s="6" t="s">
        <v>51</v>
      </c>
      <c r="G303" s="6" t="n">
        <v>2</v>
      </c>
      <c r="H303" s="8" t="n">
        <v>25</v>
      </c>
      <c r="I303" s="8" t="n">
        <f aca="false">G303*H303</f>
        <v>50</v>
      </c>
    </row>
    <row r="304" customFormat="false" ht="15" hidden="false" customHeight="false" outlineLevel="0" collapsed="false">
      <c r="A304" s="6" t="n">
        <v>738</v>
      </c>
      <c r="B304" s="7" t="n">
        <v>45041</v>
      </c>
      <c r="C304" s="6" t="s">
        <v>350</v>
      </c>
      <c r="D304" s="6" t="s">
        <v>44</v>
      </c>
      <c r="E304" s="6" t="n">
        <v>41</v>
      </c>
      <c r="F304" s="6" t="s">
        <v>47</v>
      </c>
      <c r="G304" s="6" t="n">
        <v>2</v>
      </c>
      <c r="H304" s="8" t="n">
        <v>50</v>
      </c>
      <c r="I304" s="8" t="n">
        <f aca="false">G304*H304</f>
        <v>100</v>
      </c>
    </row>
    <row r="305" customFormat="false" ht="15" hidden="false" customHeight="false" outlineLevel="0" collapsed="false">
      <c r="A305" s="6" t="n">
        <v>483</v>
      </c>
      <c r="B305" s="7" t="n">
        <v>45041</v>
      </c>
      <c r="C305" s="6" t="s">
        <v>351</v>
      </c>
      <c r="D305" s="6" t="s">
        <v>44</v>
      </c>
      <c r="E305" s="6" t="n">
        <v>55</v>
      </c>
      <c r="F305" s="6" t="s">
        <v>47</v>
      </c>
      <c r="G305" s="6" t="n">
        <v>1</v>
      </c>
      <c r="H305" s="8" t="n">
        <v>30</v>
      </c>
      <c r="I305" s="8" t="n">
        <f aca="false">G305*H305</f>
        <v>30</v>
      </c>
    </row>
    <row r="306" customFormat="false" ht="15" hidden="false" customHeight="false" outlineLevel="0" collapsed="false">
      <c r="A306" s="6" t="n">
        <v>6</v>
      </c>
      <c r="B306" s="7" t="n">
        <v>45041</v>
      </c>
      <c r="C306" s="6" t="s">
        <v>352</v>
      </c>
      <c r="D306" s="6" t="s">
        <v>49</v>
      </c>
      <c r="E306" s="6" t="n">
        <v>45</v>
      </c>
      <c r="F306" s="6" t="s">
        <v>45</v>
      </c>
      <c r="G306" s="6" t="n">
        <v>1</v>
      </c>
      <c r="H306" s="8" t="n">
        <v>30</v>
      </c>
      <c r="I306" s="8" t="n">
        <f aca="false">G306*H306</f>
        <v>30</v>
      </c>
    </row>
    <row r="307" customFormat="false" ht="15" hidden="false" customHeight="false" outlineLevel="0" collapsed="false">
      <c r="A307" s="6" t="n">
        <v>222</v>
      </c>
      <c r="B307" s="7" t="n">
        <v>45042</v>
      </c>
      <c r="C307" s="6" t="s">
        <v>353</v>
      </c>
      <c r="D307" s="6" t="s">
        <v>44</v>
      </c>
      <c r="E307" s="6" t="n">
        <v>51</v>
      </c>
      <c r="F307" s="6" t="s">
        <v>47</v>
      </c>
      <c r="G307" s="6" t="n">
        <v>4</v>
      </c>
      <c r="H307" s="8" t="n">
        <v>30</v>
      </c>
      <c r="I307" s="8" t="n">
        <f aca="false">G307*H307</f>
        <v>120</v>
      </c>
    </row>
    <row r="308" customFormat="false" ht="15" hidden="false" customHeight="false" outlineLevel="0" collapsed="false">
      <c r="A308" s="6" t="n">
        <v>953</v>
      </c>
      <c r="B308" s="7" t="n">
        <v>45042</v>
      </c>
      <c r="C308" s="6" t="s">
        <v>354</v>
      </c>
      <c r="D308" s="6" t="s">
        <v>44</v>
      </c>
      <c r="E308" s="6" t="n">
        <v>45</v>
      </c>
      <c r="F308" s="6" t="s">
        <v>45</v>
      </c>
      <c r="G308" s="6" t="n">
        <v>3</v>
      </c>
      <c r="H308" s="8" t="n">
        <v>30</v>
      </c>
      <c r="I308" s="8" t="n">
        <f aca="false">G308*H308</f>
        <v>90</v>
      </c>
    </row>
    <row r="309" customFormat="false" ht="15" hidden="false" customHeight="false" outlineLevel="0" collapsed="false">
      <c r="A309" s="6" t="n">
        <v>588</v>
      </c>
      <c r="B309" s="7" t="n">
        <v>45042</v>
      </c>
      <c r="C309" s="6" t="s">
        <v>355</v>
      </c>
      <c r="D309" s="6" t="s">
        <v>44</v>
      </c>
      <c r="E309" s="6" t="n">
        <v>38</v>
      </c>
      <c r="F309" s="6" t="s">
        <v>51</v>
      </c>
      <c r="G309" s="6" t="n">
        <v>2</v>
      </c>
      <c r="H309" s="8" t="n">
        <v>30</v>
      </c>
      <c r="I309" s="8" t="n">
        <f aca="false">G309*H309</f>
        <v>60</v>
      </c>
    </row>
    <row r="310" customFormat="false" ht="15" hidden="false" customHeight="false" outlineLevel="0" collapsed="false">
      <c r="A310" s="6" t="n">
        <v>903</v>
      </c>
      <c r="B310" s="7" t="n">
        <v>45043</v>
      </c>
      <c r="C310" s="6" t="s">
        <v>356</v>
      </c>
      <c r="D310" s="6" t="s">
        <v>49</v>
      </c>
      <c r="E310" s="6" t="n">
        <v>51</v>
      </c>
      <c r="F310" s="6" t="s">
        <v>45</v>
      </c>
      <c r="G310" s="6" t="n">
        <v>4</v>
      </c>
      <c r="H310" s="8" t="n">
        <v>50</v>
      </c>
      <c r="I310" s="8" t="n">
        <f aca="false">G310*H310</f>
        <v>200</v>
      </c>
    </row>
    <row r="311" customFormat="false" ht="15" hidden="false" customHeight="false" outlineLevel="0" collapsed="false">
      <c r="A311" s="6" t="n">
        <v>66</v>
      </c>
      <c r="B311" s="7" t="n">
        <v>45043</v>
      </c>
      <c r="C311" s="6" t="s">
        <v>357</v>
      </c>
      <c r="D311" s="6" t="s">
        <v>49</v>
      </c>
      <c r="E311" s="6" t="n">
        <v>45</v>
      </c>
      <c r="F311" s="6" t="s">
        <v>51</v>
      </c>
      <c r="G311" s="6" t="n">
        <v>1</v>
      </c>
      <c r="H311" s="8" t="n">
        <v>30</v>
      </c>
      <c r="I311" s="8" t="n">
        <f aca="false">G311*H311</f>
        <v>30</v>
      </c>
    </row>
    <row r="312" customFormat="false" ht="15" hidden="false" customHeight="false" outlineLevel="0" collapsed="false">
      <c r="A312" s="6" t="n">
        <v>482</v>
      </c>
      <c r="B312" s="7" t="n">
        <v>45043</v>
      </c>
      <c r="C312" s="6" t="s">
        <v>358</v>
      </c>
      <c r="D312" s="6" t="s">
        <v>49</v>
      </c>
      <c r="E312" s="6" t="n">
        <v>28</v>
      </c>
      <c r="F312" s="6" t="s">
        <v>47</v>
      </c>
      <c r="G312" s="6" t="n">
        <v>4</v>
      </c>
      <c r="H312" s="8" t="n">
        <v>300</v>
      </c>
      <c r="I312" s="8" t="n">
        <f aca="false">G312*H312</f>
        <v>1200</v>
      </c>
    </row>
    <row r="313" customFormat="false" ht="15" hidden="false" customHeight="false" outlineLevel="0" collapsed="false">
      <c r="A313" s="6" t="n">
        <v>102</v>
      </c>
      <c r="B313" s="7" t="n">
        <v>45044</v>
      </c>
      <c r="C313" s="6" t="s">
        <v>359</v>
      </c>
      <c r="D313" s="6" t="s">
        <v>49</v>
      </c>
      <c r="E313" s="6" t="n">
        <v>47</v>
      </c>
      <c r="F313" s="6" t="s">
        <v>45</v>
      </c>
      <c r="G313" s="6" t="n">
        <v>2</v>
      </c>
      <c r="H313" s="8" t="n">
        <v>25</v>
      </c>
      <c r="I313" s="8" t="n">
        <f aca="false">G313*H313</f>
        <v>50</v>
      </c>
    </row>
    <row r="314" customFormat="false" ht="15" hidden="false" customHeight="false" outlineLevel="0" collapsed="false">
      <c r="A314" s="6" t="n">
        <v>228</v>
      </c>
      <c r="B314" s="7" t="n">
        <v>45044</v>
      </c>
      <c r="C314" s="6" t="s">
        <v>360</v>
      </c>
      <c r="D314" s="6" t="s">
        <v>49</v>
      </c>
      <c r="E314" s="6" t="n">
        <v>59</v>
      </c>
      <c r="F314" s="6" t="s">
        <v>51</v>
      </c>
      <c r="G314" s="6" t="n">
        <v>2</v>
      </c>
      <c r="H314" s="8" t="n">
        <v>30</v>
      </c>
      <c r="I314" s="8" t="n">
        <f aca="false">G314*H314</f>
        <v>60</v>
      </c>
    </row>
    <row r="315" customFormat="false" ht="15" hidden="false" customHeight="false" outlineLevel="0" collapsed="false">
      <c r="A315" s="6" t="n">
        <v>236</v>
      </c>
      <c r="B315" s="7" t="n">
        <v>45044</v>
      </c>
      <c r="C315" s="6" t="s">
        <v>361</v>
      </c>
      <c r="D315" s="6" t="s">
        <v>49</v>
      </c>
      <c r="E315" s="6" t="n">
        <v>54</v>
      </c>
      <c r="F315" s="6" t="s">
        <v>47</v>
      </c>
      <c r="G315" s="6" t="n">
        <v>1</v>
      </c>
      <c r="H315" s="8" t="n">
        <v>25</v>
      </c>
      <c r="I315" s="8" t="n">
        <f aca="false">G315*H315</f>
        <v>25</v>
      </c>
    </row>
    <row r="316" customFormat="false" ht="15" hidden="false" customHeight="false" outlineLevel="0" collapsed="false">
      <c r="A316" s="6" t="n">
        <v>987</v>
      </c>
      <c r="B316" s="7" t="n">
        <v>45045</v>
      </c>
      <c r="C316" s="6" t="s">
        <v>362</v>
      </c>
      <c r="D316" s="6" t="s">
        <v>49</v>
      </c>
      <c r="E316" s="6" t="n">
        <v>30</v>
      </c>
      <c r="F316" s="6" t="s">
        <v>47</v>
      </c>
      <c r="G316" s="6" t="n">
        <v>3</v>
      </c>
      <c r="H316" s="8" t="n">
        <v>300</v>
      </c>
      <c r="I316" s="8" t="n">
        <f aca="false">G316*H316</f>
        <v>900</v>
      </c>
    </row>
    <row r="317" customFormat="false" ht="15" hidden="false" customHeight="false" outlineLevel="0" collapsed="false">
      <c r="A317" s="6" t="n">
        <v>660</v>
      </c>
      <c r="B317" s="7" t="n">
        <v>45045</v>
      </c>
      <c r="C317" s="6" t="s">
        <v>363</v>
      </c>
      <c r="D317" s="6" t="s">
        <v>49</v>
      </c>
      <c r="E317" s="6" t="n">
        <v>38</v>
      </c>
      <c r="F317" s="6" t="s">
        <v>45</v>
      </c>
      <c r="G317" s="6" t="n">
        <v>2</v>
      </c>
      <c r="H317" s="8" t="n">
        <v>500</v>
      </c>
      <c r="I317" s="8" t="n">
        <f aca="false">G317*H317</f>
        <v>1000</v>
      </c>
    </row>
    <row r="318" customFormat="false" ht="15" hidden="false" customHeight="false" outlineLevel="0" collapsed="false">
      <c r="A318" s="6" t="n">
        <v>884</v>
      </c>
      <c r="B318" s="7" t="n">
        <v>45045</v>
      </c>
      <c r="C318" s="6" t="s">
        <v>364</v>
      </c>
      <c r="D318" s="6" t="s">
        <v>49</v>
      </c>
      <c r="E318" s="6" t="n">
        <v>26</v>
      </c>
      <c r="F318" s="6" t="s">
        <v>47</v>
      </c>
      <c r="G318" s="6" t="n">
        <v>2</v>
      </c>
      <c r="H318" s="8" t="n">
        <v>30</v>
      </c>
      <c r="I318" s="8" t="n">
        <f aca="false">G318*H318</f>
        <v>60</v>
      </c>
    </row>
    <row r="319" customFormat="false" ht="15" hidden="false" customHeight="false" outlineLevel="0" collapsed="false">
      <c r="A319" s="6" t="n">
        <v>69</v>
      </c>
      <c r="B319" s="7" t="n">
        <v>45046</v>
      </c>
      <c r="C319" s="6" t="s">
        <v>365</v>
      </c>
      <c r="D319" s="6" t="s">
        <v>49</v>
      </c>
      <c r="E319" s="6" t="n">
        <v>56</v>
      </c>
      <c r="F319" s="6" t="s">
        <v>45</v>
      </c>
      <c r="G319" s="6" t="n">
        <v>3</v>
      </c>
      <c r="H319" s="8" t="n">
        <v>25</v>
      </c>
      <c r="I319" s="8" t="n">
        <f aca="false">G319*H319</f>
        <v>75</v>
      </c>
    </row>
    <row r="320" customFormat="false" ht="15" hidden="false" customHeight="false" outlineLevel="0" collapsed="false">
      <c r="A320" s="6" t="n">
        <v>995</v>
      </c>
      <c r="B320" s="7" t="n">
        <v>45046</v>
      </c>
      <c r="C320" s="6" t="s">
        <v>366</v>
      </c>
      <c r="D320" s="6" t="s">
        <v>49</v>
      </c>
      <c r="E320" s="6" t="n">
        <v>41</v>
      </c>
      <c r="F320" s="6" t="s">
        <v>47</v>
      </c>
      <c r="G320" s="6" t="n">
        <v>1</v>
      </c>
      <c r="H320" s="8" t="n">
        <v>30</v>
      </c>
      <c r="I320" s="8" t="n">
        <f aca="false">G320*H320</f>
        <v>30</v>
      </c>
    </row>
    <row r="321" customFormat="false" ht="15" hidden="false" customHeight="false" outlineLevel="0" collapsed="false">
      <c r="A321" s="6" t="n">
        <v>18</v>
      </c>
      <c r="B321" s="7" t="n">
        <v>45046</v>
      </c>
      <c r="C321" s="6" t="s">
        <v>367</v>
      </c>
      <c r="D321" s="6" t="s">
        <v>49</v>
      </c>
      <c r="E321" s="6" t="n">
        <v>47</v>
      </c>
      <c r="F321" s="6" t="s">
        <v>51</v>
      </c>
      <c r="G321" s="6" t="n">
        <v>2</v>
      </c>
      <c r="H321" s="8" t="n">
        <v>25</v>
      </c>
      <c r="I321" s="8" t="n">
        <f aca="false">G321*H321</f>
        <v>50</v>
      </c>
    </row>
    <row r="322" customFormat="false" ht="15" hidden="false" customHeight="false" outlineLevel="0" collapsed="false">
      <c r="A322" s="6" t="n">
        <v>652</v>
      </c>
      <c r="B322" s="7" t="n">
        <v>45047</v>
      </c>
      <c r="C322" s="6" t="s">
        <v>368</v>
      </c>
      <c r="D322" s="6" t="s">
        <v>49</v>
      </c>
      <c r="E322" s="6" t="n">
        <v>34</v>
      </c>
      <c r="F322" s="6" t="s">
        <v>45</v>
      </c>
      <c r="G322" s="6" t="n">
        <v>2</v>
      </c>
      <c r="H322" s="8" t="n">
        <v>50</v>
      </c>
      <c r="I322" s="8" t="n">
        <f aca="false">G322*H322</f>
        <v>100</v>
      </c>
    </row>
    <row r="323" customFormat="false" ht="15" hidden="false" customHeight="false" outlineLevel="0" collapsed="false">
      <c r="A323" s="6" t="n">
        <v>337</v>
      </c>
      <c r="B323" s="7" t="n">
        <v>45047</v>
      </c>
      <c r="C323" s="6" t="s">
        <v>369</v>
      </c>
      <c r="D323" s="6" t="s">
        <v>44</v>
      </c>
      <c r="E323" s="6" t="n">
        <v>38</v>
      </c>
      <c r="F323" s="6" t="s">
        <v>47</v>
      </c>
      <c r="G323" s="6" t="n">
        <v>1</v>
      </c>
      <c r="H323" s="8" t="n">
        <v>500</v>
      </c>
      <c r="I323" s="8" t="n">
        <f aca="false">G323*H323</f>
        <v>500</v>
      </c>
    </row>
    <row r="324" customFormat="false" ht="15" hidden="false" customHeight="false" outlineLevel="0" collapsed="false">
      <c r="A324" s="6" t="n">
        <v>585</v>
      </c>
      <c r="B324" s="7" t="n">
        <v>45047</v>
      </c>
      <c r="C324" s="6" t="s">
        <v>370</v>
      </c>
      <c r="D324" s="6" t="s">
        <v>49</v>
      </c>
      <c r="E324" s="6" t="n">
        <v>24</v>
      </c>
      <c r="F324" s="6" t="s">
        <v>47</v>
      </c>
      <c r="G324" s="6" t="n">
        <v>1</v>
      </c>
      <c r="H324" s="8" t="n">
        <v>25</v>
      </c>
      <c r="I324" s="8" t="n">
        <f aca="false">G324*H324</f>
        <v>25</v>
      </c>
    </row>
    <row r="325" customFormat="false" ht="15" hidden="false" customHeight="false" outlineLevel="0" collapsed="false">
      <c r="A325" s="6" t="n">
        <v>293</v>
      </c>
      <c r="B325" s="7" t="n">
        <v>45048</v>
      </c>
      <c r="C325" s="6" t="s">
        <v>371</v>
      </c>
      <c r="D325" s="6" t="s">
        <v>44</v>
      </c>
      <c r="E325" s="6" t="n">
        <v>50</v>
      </c>
      <c r="F325" s="6" t="s">
        <v>51</v>
      </c>
      <c r="G325" s="6" t="n">
        <v>3</v>
      </c>
      <c r="H325" s="8" t="n">
        <v>30</v>
      </c>
      <c r="I325" s="8" t="n">
        <f aca="false">G325*H325</f>
        <v>90</v>
      </c>
    </row>
    <row r="326" customFormat="false" ht="15" hidden="false" customHeight="false" outlineLevel="0" collapsed="false">
      <c r="A326" s="6" t="n">
        <v>242</v>
      </c>
      <c r="B326" s="7" t="n">
        <v>45048</v>
      </c>
      <c r="C326" s="6" t="s">
        <v>372</v>
      </c>
      <c r="D326" s="6" t="s">
        <v>44</v>
      </c>
      <c r="E326" s="6" t="n">
        <v>21</v>
      </c>
      <c r="F326" s="6" t="s">
        <v>47</v>
      </c>
      <c r="G326" s="6" t="n">
        <v>1</v>
      </c>
      <c r="H326" s="8" t="n">
        <v>25</v>
      </c>
      <c r="I326" s="8" t="n">
        <f aca="false">G326*H326</f>
        <v>25</v>
      </c>
    </row>
    <row r="327" customFormat="false" ht="15" hidden="false" customHeight="false" outlineLevel="0" collapsed="false">
      <c r="A327" s="6" t="n">
        <v>460</v>
      </c>
      <c r="B327" s="7" t="n">
        <v>45048</v>
      </c>
      <c r="C327" s="6" t="s">
        <v>373</v>
      </c>
      <c r="D327" s="6" t="s">
        <v>44</v>
      </c>
      <c r="E327" s="6" t="n">
        <v>40</v>
      </c>
      <c r="F327" s="6" t="s">
        <v>45</v>
      </c>
      <c r="G327" s="6" t="n">
        <v>1</v>
      </c>
      <c r="H327" s="8" t="n">
        <v>50</v>
      </c>
      <c r="I327" s="8" t="n">
        <f aca="false">G327*H327</f>
        <v>50</v>
      </c>
    </row>
    <row r="328" customFormat="false" ht="15" hidden="false" customHeight="false" outlineLevel="0" collapsed="false">
      <c r="A328" s="6" t="n">
        <v>646</v>
      </c>
      <c r="B328" s="7" t="n">
        <v>45049</v>
      </c>
      <c r="C328" s="6" t="s">
        <v>374</v>
      </c>
      <c r="D328" s="6" t="s">
        <v>44</v>
      </c>
      <c r="E328" s="6" t="n">
        <v>38</v>
      </c>
      <c r="F328" s="6" t="s">
        <v>47</v>
      </c>
      <c r="G328" s="6" t="n">
        <v>3</v>
      </c>
      <c r="H328" s="8" t="n">
        <v>30</v>
      </c>
      <c r="I328" s="8" t="n">
        <f aca="false">G328*H328</f>
        <v>90</v>
      </c>
    </row>
    <row r="329" customFormat="false" ht="15" hidden="false" customHeight="false" outlineLevel="0" collapsed="false">
      <c r="A329" s="6" t="n">
        <v>188</v>
      </c>
      <c r="B329" s="7" t="n">
        <v>45049</v>
      </c>
      <c r="C329" s="6" t="s">
        <v>375</v>
      </c>
      <c r="D329" s="6" t="s">
        <v>44</v>
      </c>
      <c r="E329" s="6" t="n">
        <v>40</v>
      </c>
      <c r="F329" s="6" t="s">
        <v>47</v>
      </c>
      <c r="G329" s="6" t="n">
        <v>3</v>
      </c>
      <c r="H329" s="8" t="n">
        <v>25</v>
      </c>
      <c r="I329" s="8" t="n">
        <f aca="false">G329*H329</f>
        <v>75</v>
      </c>
    </row>
    <row r="330" customFormat="false" ht="15" hidden="false" customHeight="false" outlineLevel="0" collapsed="false">
      <c r="A330" s="6" t="n">
        <v>357</v>
      </c>
      <c r="B330" s="7" t="n">
        <v>45049</v>
      </c>
      <c r="C330" s="6" t="s">
        <v>376</v>
      </c>
      <c r="D330" s="6" t="s">
        <v>49</v>
      </c>
      <c r="E330" s="6" t="n">
        <v>40</v>
      </c>
      <c r="F330" s="6" t="s">
        <v>51</v>
      </c>
      <c r="G330" s="6" t="n">
        <v>3</v>
      </c>
      <c r="H330" s="8" t="n">
        <v>25</v>
      </c>
      <c r="I330" s="8" t="n">
        <f aca="false">G330*H330</f>
        <v>75</v>
      </c>
    </row>
    <row r="331" customFormat="false" ht="15" hidden="false" customHeight="false" outlineLevel="0" collapsed="false">
      <c r="A331" s="6" t="n">
        <v>974</v>
      </c>
      <c r="B331" s="7" t="n">
        <v>45049</v>
      </c>
      <c r="C331" s="6" t="s">
        <v>377</v>
      </c>
      <c r="D331" s="6" t="s">
        <v>44</v>
      </c>
      <c r="E331" s="6" t="n">
        <v>47</v>
      </c>
      <c r="F331" s="6" t="s">
        <v>45</v>
      </c>
      <c r="G331" s="6" t="n">
        <v>1</v>
      </c>
      <c r="H331" s="8" t="n">
        <v>30</v>
      </c>
      <c r="I331" s="8" t="n">
        <f aca="false">G331*H331</f>
        <v>30</v>
      </c>
    </row>
    <row r="332" customFormat="false" ht="15" hidden="false" customHeight="false" outlineLevel="0" collapsed="false">
      <c r="A332" s="6" t="n">
        <v>749</v>
      </c>
      <c r="B332" s="7" t="n">
        <v>45049</v>
      </c>
      <c r="C332" s="6" t="s">
        <v>378</v>
      </c>
      <c r="D332" s="6" t="s">
        <v>44</v>
      </c>
      <c r="E332" s="6" t="n">
        <v>42</v>
      </c>
      <c r="F332" s="6" t="s">
        <v>45</v>
      </c>
      <c r="G332" s="6" t="n">
        <v>1</v>
      </c>
      <c r="H332" s="8" t="n">
        <v>30</v>
      </c>
      <c r="I332" s="8" t="n">
        <f aca="false">G332*H332</f>
        <v>30</v>
      </c>
    </row>
    <row r="333" customFormat="false" ht="15" hidden="false" customHeight="false" outlineLevel="0" collapsed="false">
      <c r="A333" s="6" t="n">
        <v>190</v>
      </c>
      <c r="B333" s="7" t="n">
        <v>45050</v>
      </c>
      <c r="C333" s="6" t="s">
        <v>379</v>
      </c>
      <c r="D333" s="6" t="s">
        <v>49</v>
      </c>
      <c r="E333" s="6" t="n">
        <v>60</v>
      </c>
      <c r="F333" s="6" t="s">
        <v>45</v>
      </c>
      <c r="G333" s="6" t="n">
        <v>3</v>
      </c>
      <c r="H333" s="8" t="n">
        <v>30</v>
      </c>
      <c r="I333" s="8" t="n">
        <f aca="false">G333*H333</f>
        <v>90</v>
      </c>
    </row>
    <row r="334" customFormat="false" ht="15" hidden="false" customHeight="false" outlineLevel="0" collapsed="false">
      <c r="A334" s="6" t="n">
        <v>849</v>
      </c>
      <c r="B334" s="7" t="n">
        <v>45050</v>
      </c>
      <c r="C334" s="6" t="s">
        <v>380</v>
      </c>
      <c r="D334" s="6" t="s">
        <v>44</v>
      </c>
      <c r="E334" s="6" t="n">
        <v>32</v>
      </c>
      <c r="F334" s="6" t="s">
        <v>47</v>
      </c>
      <c r="G334" s="6" t="n">
        <v>2</v>
      </c>
      <c r="H334" s="8" t="n">
        <v>25</v>
      </c>
      <c r="I334" s="8" t="n">
        <f aca="false">G334*H334</f>
        <v>50</v>
      </c>
    </row>
    <row r="335" customFormat="false" ht="15" hidden="false" customHeight="false" outlineLevel="0" collapsed="false">
      <c r="A335" s="6" t="n">
        <v>853</v>
      </c>
      <c r="B335" s="7" t="n">
        <v>45050</v>
      </c>
      <c r="C335" s="6" t="s">
        <v>381</v>
      </c>
      <c r="D335" s="6" t="s">
        <v>44</v>
      </c>
      <c r="E335" s="6" t="n">
        <v>21</v>
      </c>
      <c r="F335" s="6" t="s">
        <v>45</v>
      </c>
      <c r="G335" s="6" t="n">
        <v>2</v>
      </c>
      <c r="H335" s="8" t="n">
        <v>500</v>
      </c>
      <c r="I335" s="8" t="n">
        <f aca="false">G335*H335</f>
        <v>1000</v>
      </c>
    </row>
    <row r="336" customFormat="false" ht="15" hidden="false" customHeight="false" outlineLevel="0" collapsed="false">
      <c r="A336" s="6" t="n">
        <v>824</v>
      </c>
      <c r="B336" s="7" t="n">
        <v>45051</v>
      </c>
      <c r="C336" s="6" t="s">
        <v>382</v>
      </c>
      <c r="D336" s="6" t="s">
        <v>44</v>
      </c>
      <c r="E336" s="6" t="n">
        <v>63</v>
      </c>
      <c r="F336" s="6" t="s">
        <v>47</v>
      </c>
      <c r="G336" s="6" t="n">
        <v>4</v>
      </c>
      <c r="H336" s="8" t="n">
        <v>30</v>
      </c>
      <c r="I336" s="8" t="n">
        <f aca="false">G336*H336</f>
        <v>120</v>
      </c>
    </row>
    <row r="337" customFormat="false" ht="15" hidden="false" customHeight="false" outlineLevel="0" collapsed="false">
      <c r="A337" s="6" t="n">
        <v>606</v>
      </c>
      <c r="B337" s="7" t="n">
        <v>45051</v>
      </c>
      <c r="C337" s="6" t="s">
        <v>383</v>
      </c>
      <c r="D337" s="6" t="s">
        <v>44</v>
      </c>
      <c r="E337" s="6" t="n">
        <v>22</v>
      </c>
      <c r="F337" s="6" t="s">
        <v>51</v>
      </c>
      <c r="G337" s="6" t="n">
        <v>1</v>
      </c>
      <c r="H337" s="8" t="n">
        <v>50</v>
      </c>
      <c r="I337" s="8" t="n">
        <f aca="false">G337*H337</f>
        <v>50</v>
      </c>
    </row>
    <row r="338" customFormat="false" ht="15" hidden="false" customHeight="false" outlineLevel="0" collapsed="false">
      <c r="A338" s="6" t="n">
        <v>779</v>
      </c>
      <c r="B338" s="7" t="n">
        <v>45051</v>
      </c>
      <c r="C338" s="6" t="s">
        <v>384</v>
      </c>
      <c r="D338" s="6" t="s">
        <v>49</v>
      </c>
      <c r="E338" s="6" t="n">
        <v>56</v>
      </c>
      <c r="F338" s="6" t="s">
        <v>51</v>
      </c>
      <c r="G338" s="6" t="n">
        <v>2</v>
      </c>
      <c r="H338" s="8" t="n">
        <v>500</v>
      </c>
      <c r="I338" s="8" t="n">
        <f aca="false">G338*H338</f>
        <v>1000</v>
      </c>
    </row>
    <row r="339" customFormat="false" ht="15" hidden="false" customHeight="false" outlineLevel="0" collapsed="false">
      <c r="A339" s="6" t="n">
        <v>252</v>
      </c>
      <c r="B339" s="7" t="n">
        <v>45051</v>
      </c>
      <c r="C339" s="6" t="s">
        <v>385</v>
      </c>
      <c r="D339" s="6" t="s">
        <v>44</v>
      </c>
      <c r="E339" s="6" t="n">
        <v>54</v>
      </c>
      <c r="F339" s="6" t="s">
        <v>51</v>
      </c>
      <c r="G339" s="6" t="n">
        <v>1</v>
      </c>
      <c r="H339" s="8" t="n">
        <v>300</v>
      </c>
      <c r="I339" s="8" t="n">
        <f aca="false">G339*H339</f>
        <v>300</v>
      </c>
    </row>
    <row r="340" customFormat="false" ht="15" hidden="false" customHeight="false" outlineLevel="0" collapsed="false">
      <c r="A340" s="6" t="n">
        <v>866</v>
      </c>
      <c r="B340" s="7" t="n">
        <v>45051</v>
      </c>
      <c r="C340" s="6" t="s">
        <v>386</v>
      </c>
      <c r="D340" s="6" t="s">
        <v>44</v>
      </c>
      <c r="E340" s="6" t="n">
        <v>24</v>
      </c>
      <c r="F340" s="6" t="s">
        <v>51</v>
      </c>
      <c r="G340" s="6" t="n">
        <v>1</v>
      </c>
      <c r="H340" s="8" t="n">
        <v>50</v>
      </c>
      <c r="I340" s="8" t="n">
        <f aca="false">G340*H340</f>
        <v>50</v>
      </c>
    </row>
    <row r="341" customFormat="false" ht="15" hidden="false" customHeight="false" outlineLevel="0" collapsed="false">
      <c r="A341" s="6" t="n">
        <v>5</v>
      </c>
      <c r="B341" s="7" t="n">
        <v>45052</v>
      </c>
      <c r="C341" s="6" t="s">
        <v>387</v>
      </c>
      <c r="D341" s="6" t="s">
        <v>44</v>
      </c>
      <c r="E341" s="6" t="n">
        <v>30</v>
      </c>
      <c r="F341" s="6" t="s">
        <v>45</v>
      </c>
      <c r="G341" s="6" t="n">
        <v>2</v>
      </c>
      <c r="H341" s="8" t="n">
        <v>50</v>
      </c>
      <c r="I341" s="8" t="n">
        <f aca="false">G341*H341</f>
        <v>100</v>
      </c>
    </row>
    <row r="342" customFormat="false" ht="15" hidden="false" customHeight="false" outlineLevel="0" collapsed="false">
      <c r="A342" s="6" t="n">
        <v>820</v>
      </c>
      <c r="B342" s="7" t="n">
        <v>45052</v>
      </c>
      <c r="C342" s="6" t="s">
        <v>388</v>
      </c>
      <c r="D342" s="6" t="s">
        <v>44</v>
      </c>
      <c r="E342" s="6" t="n">
        <v>49</v>
      </c>
      <c r="F342" s="6" t="s">
        <v>51</v>
      </c>
      <c r="G342" s="6" t="n">
        <v>4</v>
      </c>
      <c r="H342" s="8" t="n">
        <v>50</v>
      </c>
      <c r="I342" s="8" t="n">
        <f aca="false">G342*H342</f>
        <v>200</v>
      </c>
    </row>
    <row r="343" customFormat="false" ht="15" hidden="false" customHeight="false" outlineLevel="0" collapsed="false">
      <c r="A343" s="6" t="n">
        <v>593</v>
      </c>
      <c r="B343" s="7" t="n">
        <v>45052</v>
      </c>
      <c r="C343" s="6" t="s">
        <v>389</v>
      </c>
      <c r="D343" s="6" t="s">
        <v>44</v>
      </c>
      <c r="E343" s="6" t="n">
        <v>35</v>
      </c>
      <c r="F343" s="6" t="s">
        <v>51</v>
      </c>
      <c r="G343" s="6" t="n">
        <v>2</v>
      </c>
      <c r="H343" s="8" t="n">
        <v>30</v>
      </c>
      <c r="I343" s="8" t="n">
        <f aca="false">G343*H343</f>
        <v>60</v>
      </c>
    </row>
    <row r="344" customFormat="false" ht="15" hidden="false" customHeight="false" outlineLevel="0" collapsed="false">
      <c r="A344" s="6" t="n">
        <v>380</v>
      </c>
      <c r="B344" s="7" t="n">
        <v>45052</v>
      </c>
      <c r="C344" s="6" t="s">
        <v>390</v>
      </c>
      <c r="D344" s="6" t="s">
        <v>44</v>
      </c>
      <c r="E344" s="6" t="n">
        <v>56</v>
      </c>
      <c r="F344" s="6" t="s">
        <v>51</v>
      </c>
      <c r="G344" s="6" t="n">
        <v>2</v>
      </c>
      <c r="H344" s="8" t="n">
        <v>300</v>
      </c>
      <c r="I344" s="8" t="n">
        <f aca="false">G344*H344</f>
        <v>600</v>
      </c>
    </row>
    <row r="345" customFormat="false" ht="15" hidden="false" customHeight="false" outlineLevel="0" collapsed="false">
      <c r="A345" s="6" t="n">
        <v>90</v>
      </c>
      <c r="B345" s="7" t="n">
        <v>45052</v>
      </c>
      <c r="C345" s="6" t="s">
        <v>391</v>
      </c>
      <c r="D345" s="6" t="s">
        <v>49</v>
      </c>
      <c r="E345" s="6" t="n">
        <v>51</v>
      </c>
      <c r="F345" s="6" t="s">
        <v>51</v>
      </c>
      <c r="G345" s="6" t="n">
        <v>1</v>
      </c>
      <c r="H345" s="8" t="n">
        <v>30</v>
      </c>
      <c r="I345" s="8" t="n">
        <f aca="false">G345*H345</f>
        <v>30</v>
      </c>
    </row>
    <row r="346" customFormat="false" ht="15" hidden="false" customHeight="false" outlineLevel="0" collapsed="false">
      <c r="A346" s="6" t="n">
        <v>120</v>
      </c>
      <c r="B346" s="7" t="n">
        <v>45053</v>
      </c>
      <c r="C346" s="6" t="s">
        <v>392</v>
      </c>
      <c r="D346" s="6" t="s">
        <v>44</v>
      </c>
      <c r="E346" s="6" t="n">
        <v>60</v>
      </c>
      <c r="F346" s="6" t="s">
        <v>45</v>
      </c>
      <c r="G346" s="6" t="n">
        <v>1</v>
      </c>
      <c r="H346" s="8" t="n">
        <v>50</v>
      </c>
      <c r="I346" s="8" t="n">
        <f aca="false">G346*H346</f>
        <v>50</v>
      </c>
    </row>
    <row r="347" customFormat="false" ht="15" hidden="false" customHeight="false" outlineLevel="0" collapsed="false">
      <c r="A347" s="6" t="n">
        <v>221</v>
      </c>
      <c r="B347" s="7" t="n">
        <v>45053</v>
      </c>
      <c r="C347" s="6" t="s">
        <v>393</v>
      </c>
      <c r="D347" s="6" t="s">
        <v>44</v>
      </c>
      <c r="E347" s="6" t="n">
        <v>39</v>
      </c>
      <c r="F347" s="6" t="s">
        <v>45</v>
      </c>
      <c r="G347" s="6" t="n">
        <v>2</v>
      </c>
      <c r="H347" s="8" t="n">
        <v>300</v>
      </c>
      <c r="I347" s="8" t="n">
        <f aca="false">G347*H347</f>
        <v>600</v>
      </c>
    </row>
    <row r="348" customFormat="false" ht="15" hidden="false" customHeight="false" outlineLevel="0" collapsed="false">
      <c r="A348" s="6" t="n">
        <v>341</v>
      </c>
      <c r="B348" s="7" t="n">
        <v>45053</v>
      </c>
      <c r="C348" s="6" t="s">
        <v>394</v>
      </c>
      <c r="D348" s="6" t="s">
        <v>44</v>
      </c>
      <c r="E348" s="6" t="n">
        <v>31</v>
      </c>
      <c r="F348" s="6" t="s">
        <v>47</v>
      </c>
      <c r="G348" s="6" t="n">
        <v>4</v>
      </c>
      <c r="H348" s="8" t="n">
        <v>50</v>
      </c>
      <c r="I348" s="8" t="n">
        <f aca="false">G348*H348</f>
        <v>200</v>
      </c>
    </row>
    <row r="349" customFormat="false" ht="15" hidden="false" customHeight="false" outlineLevel="0" collapsed="false">
      <c r="A349" s="6" t="n">
        <v>640</v>
      </c>
      <c r="B349" s="7" t="n">
        <v>45053</v>
      </c>
      <c r="C349" s="6" t="s">
        <v>395</v>
      </c>
      <c r="D349" s="6" t="s">
        <v>49</v>
      </c>
      <c r="E349" s="6" t="n">
        <v>51</v>
      </c>
      <c r="F349" s="6" t="s">
        <v>51</v>
      </c>
      <c r="G349" s="6" t="n">
        <v>4</v>
      </c>
      <c r="H349" s="8" t="n">
        <v>30</v>
      </c>
      <c r="I349" s="8" t="n">
        <f aca="false">G349*H349</f>
        <v>120</v>
      </c>
    </row>
    <row r="350" customFormat="false" ht="15" hidden="false" customHeight="false" outlineLevel="0" collapsed="false">
      <c r="A350" s="6" t="n">
        <v>744</v>
      </c>
      <c r="B350" s="7" t="n">
        <v>45053</v>
      </c>
      <c r="C350" s="6" t="s">
        <v>396</v>
      </c>
      <c r="D350" s="6" t="s">
        <v>44</v>
      </c>
      <c r="E350" s="6" t="n">
        <v>40</v>
      </c>
      <c r="F350" s="6" t="s">
        <v>51</v>
      </c>
      <c r="G350" s="6" t="n">
        <v>1</v>
      </c>
      <c r="H350" s="8" t="n">
        <v>25</v>
      </c>
      <c r="I350" s="8" t="n">
        <f aca="false">G350*H350</f>
        <v>25</v>
      </c>
    </row>
    <row r="351" customFormat="false" ht="15" hidden="false" customHeight="false" outlineLevel="0" collapsed="false">
      <c r="A351" s="6" t="n">
        <v>469</v>
      </c>
      <c r="B351" s="7" t="n">
        <v>45054</v>
      </c>
      <c r="C351" s="6" t="s">
        <v>397</v>
      </c>
      <c r="D351" s="6" t="s">
        <v>44</v>
      </c>
      <c r="E351" s="6" t="n">
        <v>18</v>
      </c>
      <c r="F351" s="6" t="s">
        <v>45</v>
      </c>
      <c r="G351" s="6" t="n">
        <v>3</v>
      </c>
      <c r="H351" s="8" t="n">
        <v>25</v>
      </c>
      <c r="I351" s="8" t="n">
        <f aca="false">G351*H351</f>
        <v>75</v>
      </c>
    </row>
    <row r="352" customFormat="false" ht="15" hidden="false" customHeight="false" outlineLevel="0" collapsed="false">
      <c r="A352" s="6" t="n">
        <v>283</v>
      </c>
      <c r="B352" s="7" t="n">
        <v>45054</v>
      </c>
      <c r="C352" s="6" t="s">
        <v>398</v>
      </c>
      <c r="D352" s="6" t="s">
        <v>49</v>
      </c>
      <c r="E352" s="6" t="n">
        <v>18</v>
      </c>
      <c r="F352" s="6" t="s">
        <v>51</v>
      </c>
      <c r="G352" s="6" t="n">
        <v>1</v>
      </c>
      <c r="H352" s="8" t="n">
        <v>500</v>
      </c>
      <c r="I352" s="8" t="n">
        <f aca="false">G352*H352</f>
        <v>500</v>
      </c>
    </row>
    <row r="353" customFormat="false" ht="15" hidden="false" customHeight="false" outlineLevel="0" collapsed="false">
      <c r="A353" s="6" t="n">
        <v>273</v>
      </c>
      <c r="B353" s="7" t="n">
        <v>45054</v>
      </c>
      <c r="C353" s="6" t="s">
        <v>399</v>
      </c>
      <c r="D353" s="6" t="s">
        <v>49</v>
      </c>
      <c r="E353" s="6" t="n">
        <v>22</v>
      </c>
      <c r="F353" s="6" t="s">
        <v>45</v>
      </c>
      <c r="G353" s="6" t="n">
        <v>1</v>
      </c>
      <c r="H353" s="8" t="n">
        <v>50</v>
      </c>
      <c r="I353" s="8" t="n">
        <f aca="false">G353*H353</f>
        <v>50</v>
      </c>
    </row>
    <row r="354" customFormat="false" ht="15" hidden="false" customHeight="false" outlineLevel="0" collapsed="false">
      <c r="A354" s="6" t="n">
        <v>620</v>
      </c>
      <c r="B354" s="7" t="n">
        <v>45054</v>
      </c>
      <c r="C354" s="6" t="s">
        <v>400</v>
      </c>
      <c r="D354" s="6" t="s">
        <v>44</v>
      </c>
      <c r="E354" s="6" t="n">
        <v>63</v>
      </c>
      <c r="F354" s="6" t="s">
        <v>51</v>
      </c>
      <c r="G354" s="6" t="n">
        <v>3</v>
      </c>
      <c r="H354" s="8" t="n">
        <v>25</v>
      </c>
      <c r="I354" s="8" t="n">
        <f aca="false">G354*H354</f>
        <v>75</v>
      </c>
    </row>
    <row r="355" customFormat="false" ht="15" hidden="false" customHeight="false" outlineLevel="0" collapsed="false">
      <c r="A355" s="6" t="n">
        <v>452</v>
      </c>
      <c r="B355" s="7" t="n">
        <v>45054</v>
      </c>
      <c r="C355" s="6" t="s">
        <v>401</v>
      </c>
      <c r="D355" s="6" t="s">
        <v>49</v>
      </c>
      <c r="E355" s="6" t="n">
        <v>48</v>
      </c>
      <c r="F355" s="6" t="s">
        <v>47</v>
      </c>
      <c r="G355" s="6" t="n">
        <v>3</v>
      </c>
      <c r="H355" s="8" t="n">
        <v>500</v>
      </c>
      <c r="I355" s="8" t="n">
        <f aca="false">G355*H355</f>
        <v>1500</v>
      </c>
    </row>
    <row r="356" customFormat="false" ht="15" hidden="false" customHeight="false" outlineLevel="0" collapsed="false">
      <c r="A356" s="6" t="n">
        <v>946</v>
      </c>
      <c r="B356" s="7" t="n">
        <v>45054</v>
      </c>
      <c r="C356" s="6" t="s">
        <v>402</v>
      </c>
      <c r="D356" s="6" t="s">
        <v>44</v>
      </c>
      <c r="E356" s="6" t="n">
        <v>62</v>
      </c>
      <c r="F356" s="6" t="s">
        <v>51</v>
      </c>
      <c r="G356" s="6" t="n">
        <v>4</v>
      </c>
      <c r="H356" s="8" t="n">
        <v>500</v>
      </c>
      <c r="I356" s="8" t="n">
        <f aca="false">G356*H356</f>
        <v>2000</v>
      </c>
    </row>
    <row r="357" customFormat="false" ht="15" hidden="false" customHeight="false" outlineLevel="0" collapsed="false">
      <c r="A357" s="6" t="n">
        <v>883</v>
      </c>
      <c r="B357" s="7" t="n">
        <v>45055</v>
      </c>
      <c r="C357" s="6" t="s">
        <v>403</v>
      </c>
      <c r="D357" s="6" t="s">
        <v>44</v>
      </c>
      <c r="E357" s="6" t="n">
        <v>40</v>
      </c>
      <c r="F357" s="6" t="s">
        <v>51</v>
      </c>
      <c r="G357" s="6" t="n">
        <v>1</v>
      </c>
      <c r="H357" s="8" t="n">
        <v>500</v>
      </c>
      <c r="I357" s="8" t="n">
        <f aca="false">G357*H357</f>
        <v>500</v>
      </c>
    </row>
    <row r="358" customFormat="false" ht="15" hidden="false" customHeight="false" outlineLevel="0" collapsed="false">
      <c r="A358" s="6" t="n">
        <v>414</v>
      </c>
      <c r="B358" s="7" t="n">
        <v>45055</v>
      </c>
      <c r="C358" s="6" t="s">
        <v>404</v>
      </c>
      <c r="D358" s="6" t="s">
        <v>44</v>
      </c>
      <c r="E358" s="6" t="n">
        <v>48</v>
      </c>
      <c r="F358" s="6" t="s">
        <v>45</v>
      </c>
      <c r="G358" s="6" t="n">
        <v>4</v>
      </c>
      <c r="H358" s="8" t="n">
        <v>25</v>
      </c>
      <c r="I358" s="8" t="n">
        <f aca="false">G358*H358</f>
        <v>100</v>
      </c>
    </row>
    <row r="359" customFormat="false" ht="15" hidden="false" customHeight="false" outlineLevel="0" collapsed="false">
      <c r="A359" s="6" t="n">
        <v>148</v>
      </c>
      <c r="B359" s="7" t="n">
        <v>45055</v>
      </c>
      <c r="C359" s="6" t="s">
        <v>405</v>
      </c>
      <c r="D359" s="6" t="s">
        <v>44</v>
      </c>
      <c r="E359" s="6" t="n">
        <v>18</v>
      </c>
      <c r="F359" s="6" t="s">
        <v>47</v>
      </c>
      <c r="G359" s="6" t="n">
        <v>2</v>
      </c>
      <c r="H359" s="8" t="n">
        <v>30</v>
      </c>
      <c r="I359" s="8" t="n">
        <f aca="false">G359*H359</f>
        <v>60</v>
      </c>
    </row>
    <row r="360" customFormat="false" ht="15" hidden="false" customHeight="false" outlineLevel="0" collapsed="false">
      <c r="A360" s="6" t="n">
        <v>930</v>
      </c>
      <c r="B360" s="7" t="n">
        <v>45056</v>
      </c>
      <c r="C360" s="6" t="s">
        <v>406</v>
      </c>
      <c r="D360" s="6" t="s">
        <v>44</v>
      </c>
      <c r="E360" s="6" t="n">
        <v>54</v>
      </c>
      <c r="F360" s="6" t="s">
        <v>47</v>
      </c>
      <c r="G360" s="6" t="n">
        <v>4</v>
      </c>
      <c r="H360" s="8" t="n">
        <v>50</v>
      </c>
      <c r="I360" s="8" t="n">
        <f aca="false">G360*H360</f>
        <v>200</v>
      </c>
    </row>
    <row r="361" customFormat="false" ht="15" hidden="false" customHeight="false" outlineLevel="0" collapsed="false">
      <c r="A361" s="6" t="n">
        <v>731</v>
      </c>
      <c r="B361" s="7" t="n">
        <v>45056</v>
      </c>
      <c r="C361" s="6" t="s">
        <v>407</v>
      </c>
      <c r="D361" s="6" t="s">
        <v>44</v>
      </c>
      <c r="E361" s="6" t="n">
        <v>54</v>
      </c>
      <c r="F361" s="6" t="s">
        <v>47</v>
      </c>
      <c r="G361" s="6" t="n">
        <v>4</v>
      </c>
      <c r="H361" s="8" t="n">
        <v>500</v>
      </c>
      <c r="I361" s="8" t="n">
        <f aca="false">G361*H361</f>
        <v>2000</v>
      </c>
    </row>
    <row r="362" customFormat="false" ht="15" hidden="false" customHeight="false" outlineLevel="0" collapsed="false">
      <c r="A362" s="6" t="n">
        <v>518</v>
      </c>
      <c r="B362" s="7" t="n">
        <v>45057</v>
      </c>
      <c r="C362" s="6" t="s">
        <v>408</v>
      </c>
      <c r="D362" s="6" t="s">
        <v>49</v>
      </c>
      <c r="E362" s="6" t="n">
        <v>40</v>
      </c>
      <c r="F362" s="6" t="s">
        <v>47</v>
      </c>
      <c r="G362" s="6" t="n">
        <v>1</v>
      </c>
      <c r="H362" s="8" t="n">
        <v>30</v>
      </c>
      <c r="I362" s="8" t="n">
        <f aca="false">G362*H362</f>
        <v>30</v>
      </c>
    </row>
    <row r="363" customFormat="false" ht="15" hidden="false" customHeight="false" outlineLevel="0" collapsed="false">
      <c r="A363" s="6" t="n">
        <v>758</v>
      </c>
      <c r="B363" s="7" t="n">
        <v>45058</v>
      </c>
      <c r="C363" s="6" t="s">
        <v>409</v>
      </c>
      <c r="D363" s="6" t="s">
        <v>44</v>
      </c>
      <c r="E363" s="6" t="n">
        <v>64</v>
      </c>
      <c r="F363" s="6" t="s">
        <v>47</v>
      </c>
      <c r="G363" s="6" t="n">
        <v>4</v>
      </c>
      <c r="H363" s="8" t="n">
        <v>25</v>
      </c>
      <c r="I363" s="8" t="n">
        <f aca="false">G363*H363</f>
        <v>100</v>
      </c>
    </row>
    <row r="364" customFormat="false" ht="15" hidden="false" customHeight="false" outlineLevel="0" collapsed="false">
      <c r="A364" s="6" t="n">
        <v>639</v>
      </c>
      <c r="B364" s="7" t="n">
        <v>45059</v>
      </c>
      <c r="C364" s="6" t="s">
        <v>410</v>
      </c>
      <c r="D364" s="6" t="s">
        <v>49</v>
      </c>
      <c r="E364" s="6" t="n">
        <v>62</v>
      </c>
      <c r="F364" s="6" t="s">
        <v>45</v>
      </c>
      <c r="G364" s="6" t="n">
        <v>4</v>
      </c>
      <c r="H364" s="8" t="n">
        <v>50</v>
      </c>
      <c r="I364" s="8" t="n">
        <f aca="false">G364*H364</f>
        <v>200</v>
      </c>
    </row>
    <row r="365" customFormat="false" ht="15" hidden="false" customHeight="false" outlineLevel="0" collapsed="false">
      <c r="A365" s="6" t="n">
        <v>838</v>
      </c>
      <c r="B365" s="7" t="n">
        <v>45059</v>
      </c>
      <c r="C365" s="6" t="s">
        <v>411</v>
      </c>
      <c r="D365" s="6" t="s">
        <v>44</v>
      </c>
      <c r="E365" s="6" t="n">
        <v>47</v>
      </c>
      <c r="F365" s="6" t="s">
        <v>51</v>
      </c>
      <c r="G365" s="6" t="n">
        <v>2</v>
      </c>
      <c r="H365" s="8" t="n">
        <v>300</v>
      </c>
      <c r="I365" s="8" t="n">
        <f aca="false">G365*H365</f>
        <v>600</v>
      </c>
    </row>
    <row r="366" customFormat="false" ht="15" hidden="false" customHeight="false" outlineLevel="0" collapsed="false">
      <c r="A366" s="6" t="n">
        <v>501</v>
      </c>
      <c r="B366" s="7" t="n">
        <v>45060</v>
      </c>
      <c r="C366" s="6" t="s">
        <v>412</v>
      </c>
      <c r="D366" s="6" t="s">
        <v>44</v>
      </c>
      <c r="E366" s="6" t="n">
        <v>39</v>
      </c>
      <c r="F366" s="6" t="s">
        <v>51</v>
      </c>
      <c r="G366" s="6" t="n">
        <v>2</v>
      </c>
      <c r="H366" s="8" t="n">
        <v>30</v>
      </c>
      <c r="I366" s="8" t="n">
        <f aca="false">G366*H366</f>
        <v>60</v>
      </c>
    </row>
    <row r="367" customFormat="false" ht="15" hidden="false" customHeight="false" outlineLevel="0" collapsed="false">
      <c r="A367" s="6" t="n">
        <v>721</v>
      </c>
      <c r="B367" s="7" t="n">
        <v>45060</v>
      </c>
      <c r="C367" s="6" t="s">
        <v>413</v>
      </c>
      <c r="D367" s="6" t="s">
        <v>49</v>
      </c>
      <c r="E367" s="6" t="n">
        <v>52</v>
      </c>
      <c r="F367" s="6" t="s">
        <v>47</v>
      </c>
      <c r="G367" s="6" t="n">
        <v>1</v>
      </c>
      <c r="H367" s="8" t="n">
        <v>500</v>
      </c>
      <c r="I367" s="8" t="n">
        <f aca="false">G367*H367</f>
        <v>500</v>
      </c>
    </row>
    <row r="368" customFormat="false" ht="15" hidden="false" customHeight="false" outlineLevel="0" collapsed="false">
      <c r="A368" s="6" t="n">
        <v>353</v>
      </c>
      <c r="B368" s="7" t="n">
        <v>45060</v>
      </c>
      <c r="C368" s="6" t="s">
        <v>414</v>
      </c>
      <c r="D368" s="6" t="s">
        <v>44</v>
      </c>
      <c r="E368" s="6" t="n">
        <v>31</v>
      </c>
      <c r="F368" s="6" t="s">
        <v>51</v>
      </c>
      <c r="G368" s="6" t="n">
        <v>1</v>
      </c>
      <c r="H368" s="8" t="n">
        <v>500</v>
      </c>
      <c r="I368" s="8" t="n">
        <f aca="false">G368*H368</f>
        <v>500</v>
      </c>
    </row>
    <row r="369" customFormat="false" ht="15" hidden="false" customHeight="false" outlineLevel="0" collapsed="false">
      <c r="A369" s="6" t="n">
        <v>123</v>
      </c>
      <c r="B369" s="7" t="n">
        <v>45061</v>
      </c>
      <c r="C369" s="6" t="s">
        <v>415</v>
      </c>
      <c r="D369" s="6" t="s">
        <v>49</v>
      </c>
      <c r="E369" s="6" t="n">
        <v>40</v>
      </c>
      <c r="F369" s="6" t="s">
        <v>51</v>
      </c>
      <c r="G369" s="6" t="n">
        <v>2</v>
      </c>
      <c r="H369" s="8" t="n">
        <v>30</v>
      </c>
      <c r="I369" s="8" t="n">
        <f aca="false">G369*H369</f>
        <v>60</v>
      </c>
    </row>
    <row r="370" customFormat="false" ht="15" hidden="false" customHeight="false" outlineLevel="0" collapsed="false">
      <c r="A370" s="6" t="n">
        <v>425</v>
      </c>
      <c r="B370" s="7" t="n">
        <v>45061</v>
      </c>
      <c r="C370" s="6" t="s">
        <v>416</v>
      </c>
      <c r="D370" s="6" t="s">
        <v>49</v>
      </c>
      <c r="E370" s="6" t="n">
        <v>55</v>
      </c>
      <c r="F370" s="6" t="s">
        <v>51</v>
      </c>
      <c r="G370" s="6" t="n">
        <v>4</v>
      </c>
      <c r="H370" s="8" t="n">
        <v>30</v>
      </c>
      <c r="I370" s="8" t="n">
        <f aca="false">G370*H370</f>
        <v>120</v>
      </c>
    </row>
    <row r="371" customFormat="false" ht="15" hidden="false" customHeight="false" outlineLevel="0" collapsed="false">
      <c r="A371" s="6" t="n">
        <v>164</v>
      </c>
      <c r="B371" s="7" t="n">
        <v>45061</v>
      </c>
      <c r="C371" s="6" t="s">
        <v>417</v>
      </c>
      <c r="D371" s="6" t="s">
        <v>49</v>
      </c>
      <c r="E371" s="6" t="n">
        <v>47</v>
      </c>
      <c r="F371" s="6" t="s">
        <v>45</v>
      </c>
      <c r="G371" s="6" t="n">
        <v>3</v>
      </c>
      <c r="H371" s="8" t="n">
        <v>500</v>
      </c>
      <c r="I371" s="8" t="n">
        <f aca="false">G371*H371</f>
        <v>1500</v>
      </c>
    </row>
    <row r="372" customFormat="false" ht="15" hidden="false" customHeight="false" outlineLevel="0" collapsed="false">
      <c r="A372" s="6" t="n">
        <v>398</v>
      </c>
      <c r="B372" s="7" t="n">
        <v>45062</v>
      </c>
      <c r="C372" s="6" t="s">
        <v>418</v>
      </c>
      <c r="D372" s="6" t="s">
        <v>49</v>
      </c>
      <c r="E372" s="6" t="n">
        <v>48</v>
      </c>
      <c r="F372" s="6" t="s">
        <v>47</v>
      </c>
      <c r="G372" s="6" t="n">
        <v>2</v>
      </c>
      <c r="H372" s="8" t="n">
        <v>300</v>
      </c>
      <c r="I372" s="8" t="n">
        <f aca="false">G372*H372</f>
        <v>600</v>
      </c>
    </row>
    <row r="373" customFormat="false" ht="15" hidden="false" customHeight="false" outlineLevel="0" collapsed="false">
      <c r="A373" s="6" t="n">
        <v>305</v>
      </c>
      <c r="B373" s="7" t="n">
        <v>45062</v>
      </c>
      <c r="C373" s="6" t="s">
        <v>419</v>
      </c>
      <c r="D373" s="6" t="s">
        <v>49</v>
      </c>
      <c r="E373" s="6" t="n">
        <v>18</v>
      </c>
      <c r="F373" s="6" t="s">
        <v>45</v>
      </c>
      <c r="G373" s="6" t="n">
        <v>1</v>
      </c>
      <c r="H373" s="8" t="n">
        <v>30</v>
      </c>
      <c r="I373" s="8" t="n">
        <f aca="false">G373*H373</f>
        <v>30</v>
      </c>
    </row>
    <row r="374" customFormat="false" ht="15" hidden="false" customHeight="false" outlineLevel="0" collapsed="false">
      <c r="A374" s="6" t="n">
        <v>358</v>
      </c>
      <c r="B374" s="7" t="n">
        <v>45062</v>
      </c>
      <c r="C374" s="6" t="s">
        <v>420</v>
      </c>
      <c r="D374" s="6" t="s">
        <v>49</v>
      </c>
      <c r="E374" s="6" t="n">
        <v>32</v>
      </c>
      <c r="F374" s="6" t="s">
        <v>45</v>
      </c>
      <c r="G374" s="6" t="n">
        <v>1</v>
      </c>
      <c r="H374" s="8" t="n">
        <v>300</v>
      </c>
      <c r="I374" s="8" t="n">
        <f aca="false">G374*H374</f>
        <v>300</v>
      </c>
    </row>
    <row r="375" customFormat="false" ht="15" hidden="false" customHeight="false" outlineLevel="0" collapsed="false">
      <c r="A375" s="6" t="n">
        <v>48</v>
      </c>
      <c r="B375" s="7" t="n">
        <v>45062</v>
      </c>
      <c r="C375" s="6" t="s">
        <v>421</v>
      </c>
      <c r="D375" s="6" t="s">
        <v>44</v>
      </c>
      <c r="E375" s="6" t="n">
        <v>54</v>
      </c>
      <c r="F375" s="6" t="s">
        <v>51</v>
      </c>
      <c r="G375" s="6" t="n">
        <v>3</v>
      </c>
      <c r="H375" s="8" t="n">
        <v>300</v>
      </c>
      <c r="I375" s="8" t="n">
        <f aca="false">G375*H375</f>
        <v>900</v>
      </c>
    </row>
    <row r="376" customFormat="false" ht="15" hidden="false" customHeight="false" outlineLevel="0" collapsed="false">
      <c r="A376" s="6" t="n">
        <v>376</v>
      </c>
      <c r="B376" s="7" t="n">
        <v>45062</v>
      </c>
      <c r="C376" s="6" t="s">
        <v>422</v>
      </c>
      <c r="D376" s="6" t="s">
        <v>49</v>
      </c>
      <c r="E376" s="6" t="n">
        <v>64</v>
      </c>
      <c r="F376" s="6" t="s">
        <v>45</v>
      </c>
      <c r="G376" s="6" t="n">
        <v>1</v>
      </c>
      <c r="H376" s="8" t="n">
        <v>30</v>
      </c>
      <c r="I376" s="8" t="n">
        <f aca="false">G376*H376</f>
        <v>30</v>
      </c>
    </row>
    <row r="377" customFormat="false" ht="15" hidden="false" customHeight="false" outlineLevel="0" collapsed="false">
      <c r="A377" s="6" t="n">
        <v>996</v>
      </c>
      <c r="B377" s="7" t="n">
        <v>45062</v>
      </c>
      <c r="C377" s="6" t="s">
        <v>423</v>
      </c>
      <c r="D377" s="6" t="s">
        <v>44</v>
      </c>
      <c r="E377" s="6" t="n">
        <v>62</v>
      </c>
      <c r="F377" s="6" t="s">
        <v>47</v>
      </c>
      <c r="G377" s="6" t="n">
        <v>1</v>
      </c>
      <c r="H377" s="8" t="n">
        <v>50</v>
      </c>
      <c r="I377" s="8" t="n">
        <f aca="false">G377*H377</f>
        <v>50</v>
      </c>
    </row>
    <row r="378" customFormat="false" ht="15" hidden="false" customHeight="false" outlineLevel="0" collapsed="false">
      <c r="A378" s="6" t="n">
        <v>118</v>
      </c>
      <c r="B378" s="7" t="n">
        <v>45062</v>
      </c>
      <c r="C378" s="6" t="s">
        <v>424</v>
      </c>
      <c r="D378" s="6" t="s">
        <v>49</v>
      </c>
      <c r="E378" s="6" t="n">
        <v>30</v>
      </c>
      <c r="F378" s="6" t="s">
        <v>51</v>
      </c>
      <c r="G378" s="6" t="n">
        <v>4</v>
      </c>
      <c r="H378" s="8" t="n">
        <v>500</v>
      </c>
      <c r="I378" s="8" t="n">
        <f aca="false">G378*H378</f>
        <v>2000</v>
      </c>
    </row>
    <row r="379" customFormat="false" ht="15" hidden="false" customHeight="false" outlineLevel="0" collapsed="false">
      <c r="A379" s="6" t="n">
        <v>970</v>
      </c>
      <c r="B379" s="7" t="n">
        <v>45062</v>
      </c>
      <c r="C379" s="6" t="s">
        <v>425</v>
      </c>
      <c r="D379" s="6" t="s">
        <v>44</v>
      </c>
      <c r="E379" s="6" t="n">
        <v>59</v>
      </c>
      <c r="F379" s="6" t="s">
        <v>51</v>
      </c>
      <c r="G379" s="6" t="n">
        <v>4</v>
      </c>
      <c r="H379" s="8" t="n">
        <v>500</v>
      </c>
      <c r="I379" s="8" t="n">
        <f aca="false">G379*H379</f>
        <v>2000</v>
      </c>
    </row>
    <row r="380" customFormat="false" ht="15" hidden="false" customHeight="false" outlineLevel="0" collapsed="false">
      <c r="A380" s="6" t="n">
        <v>203</v>
      </c>
      <c r="B380" s="7" t="n">
        <v>45062</v>
      </c>
      <c r="C380" s="6" t="s">
        <v>426</v>
      </c>
      <c r="D380" s="6" t="s">
        <v>44</v>
      </c>
      <c r="E380" s="6" t="n">
        <v>56</v>
      </c>
      <c r="F380" s="6" t="s">
        <v>47</v>
      </c>
      <c r="G380" s="6" t="n">
        <v>2</v>
      </c>
      <c r="H380" s="8" t="n">
        <v>500</v>
      </c>
      <c r="I380" s="8" t="n">
        <f aca="false">G380*H380</f>
        <v>1000</v>
      </c>
    </row>
    <row r="381" customFormat="false" ht="15" hidden="false" customHeight="false" outlineLevel="0" collapsed="false">
      <c r="A381" s="6" t="n">
        <v>504</v>
      </c>
      <c r="B381" s="7" t="n">
        <v>45062</v>
      </c>
      <c r="C381" s="6" t="s">
        <v>427</v>
      </c>
      <c r="D381" s="6" t="s">
        <v>49</v>
      </c>
      <c r="E381" s="6" t="n">
        <v>38</v>
      </c>
      <c r="F381" s="6" t="s">
        <v>45</v>
      </c>
      <c r="G381" s="6" t="n">
        <v>3</v>
      </c>
      <c r="H381" s="8" t="n">
        <v>50</v>
      </c>
      <c r="I381" s="8" t="n">
        <f aca="false">G381*H381</f>
        <v>150</v>
      </c>
    </row>
    <row r="382" customFormat="false" ht="15" hidden="false" customHeight="false" outlineLevel="0" collapsed="false">
      <c r="A382" s="6" t="n">
        <v>411</v>
      </c>
      <c r="B382" s="7" t="n">
        <v>45062</v>
      </c>
      <c r="C382" s="6" t="s">
        <v>428</v>
      </c>
      <c r="D382" s="6" t="s">
        <v>44</v>
      </c>
      <c r="E382" s="6" t="n">
        <v>62</v>
      </c>
      <c r="F382" s="6" t="s">
        <v>51</v>
      </c>
      <c r="G382" s="6" t="n">
        <v>4</v>
      </c>
      <c r="H382" s="8" t="n">
        <v>50</v>
      </c>
      <c r="I382" s="8" t="n">
        <f aca="false">G382*H382</f>
        <v>200</v>
      </c>
    </row>
    <row r="383" customFormat="false" ht="15" hidden="false" customHeight="false" outlineLevel="0" collapsed="false">
      <c r="A383" s="6" t="n">
        <v>155</v>
      </c>
      <c r="B383" s="7" t="n">
        <v>45063</v>
      </c>
      <c r="C383" s="6" t="s">
        <v>429</v>
      </c>
      <c r="D383" s="6" t="s">
        <v>44</v>
      </c>
      <c r="E383" s="6" t="n">
        <v>31</v>
      </c>
      <c r="F383" s="6" t="s">
        <v>51</v>
      </c>
      <c r="G383" s="6" t="n">
        <v>4</v>
      </c>
      <c r="H383" s="8" t="n">
        <v>500</v>
      </c>
      <c r="I383" s="8" t="n">
        <f aca="false">G383*H383</f>
        <v>2000</v>
      </c>
    </row>
    <row r="384" customFormat="false" ht="15" hidden="false" customHeight="false" outlineLevel="0" collapsed="false">
      <c r="A384" s="6" t="n">
        <v>81</v>
      </c>
      <c r="B384" s="7" t="n">
        <v>45063</v>
      </c>
      <c r="C384" s="6" t="s">
        <v>430</v>
      </c>
      <c r="D384" s="6" t="s">
        <v>44</v>
      </c>
      <c r="E384" s="6" t="n">
        <v>40</v>
      </c>
      <c r="F384" s="6" t="s">
        <v>51</v>
      </c>
      <c r="G384" s="6" t="n">
        <v>1</v>
      </c>
      <c r="H384" s="8" t="n">
        <v>50</v>
      </c>
      <c r="I384" s="8" t="n">
        <f aca="false">G384*H384</f>
        <v>50</v>
      </c>
    </row>
    <row r="385" customFormat="false" ht="15" hidden="false" customHeight="false" outlineLevel="0" collapsed="false">
      <c r="A385" s="6" t="n">
        <v>470</v>
      </c>
      <c r="B385" s="7" t="n">
        <v>45063</v>
      </c>
      <c r="C385" s="6" t="s">
        <v>431</v>
      </c>
      <c r="D385" s="6" t="s">
        <v>49</v>
      </c>
      <c r="E385" s="6" t="n">
        <v>57</v>
      </c>
      <c r="F385" s="6" t="s">
        <v>47</v>
      </c>
      <c r="G385" s="6" t="n">
        <v>2</v>
      </c>
      <c r="H385" s="8" t="n">
        <v>500</v>
      </c>
      <c r="I385" s="8" t="n">
        <f aca="false">G385*H385</f>
        <v>1000</v>
      </c>
    </row>
    <row r="386" customFormat="false" ht="15" hidden="false" customHeight="false" outlineLevel="0" collapsed="false">
      <c r="A386" s="6" t="n">
        <v>818</v>
      </c>
      <c r="B386" s="7" t="n">
        <v>45064</v>
      </c>
      <c r="C386" s="6" t="s">
        <v>432</v>
      </c>
      <c r="D386" s="6" t="s">
        <v>44</v>
      </c>
      <c r="E386" s="6" t="n">
        <v>30</v>
      </c>
      <c r="F386" s="6" t="s">
        <v>51</v>
      </c>
      <c r="G386" s="6" t="n">
        <v>1</v>
      </c>
      <c r="H386" s="8" t="n">
        <v>500</v>
      </c>
      <c r="I386" s="8" t="n">
        <f aca="false">G386*H386</f>
        <v>500</v>
      </c>
    </row>
    <row r="387" customFormat="false" ht="15" hidden="false" customHeight="false" outlineLevel="0" collapsed="false">
      <c r="A387" s="6" t="n">
        <v>106</v>
      </c>
      <c r="B387" s="7" t="n">
        <v>45064</v>
      </c>
      <c r="C387" s="6" t="s">
        <v>433</v>
      </c>
      <c r="D387" s="6" t="s">
        <v>49</v>
      </c>
      <c r="E387" s="6" t="n">
        <v>46</v>
      </c>
      <c r="F387" s="6" t="s">
        <v>47</v>
      </c>
      <c r="G387" s="6" t="n">
        <v>1</v>
      </c>
      <c r="H387" s="8" t="n">
        <v>50</v>
      </c>
      <c r="I387" s="8" t="n">
        <f aca="false">G387*H387</f>
        <v>50</v>
      </c>
    </row>
    <row r="388" customFormat="false" ht="15" hidden="false" customHeight="false" outlineLevel="0" collapsed="false">
      <c r="A388" s="6" t="n">
        <v>811</v>
      </c>
      <c r="B388" s="7" t="n">
        <v>45065</v>
      </c>
      <c r="C388" s="6" t="s">
        <v>434</v>
      </c>
      <c r="D388" s="6" t="s">
        <v>44</v>
      </c>
      <c r="E388" s="6" t="n">
        <v>61</v>
      </c>
      <c r="F388" s="6" t="s">
        <v>45</v>
      </c>
      <c r="G388" s="6" t="n">
        <v>2</v>
      </c>
      <c r="H388" s="8" t="n">
        <v>25</v>
      </c>
      <c r="I388" s="8" t="n">
        <f aca="false">G388*H388</f>
        <v>50</v>
      </c>
    </row>
    <row r="389" customFormat="false" ht="15" hidden="false" customHeight="false" outlineLevel="0" collapsed="false">
      <c r="A389" s="6" t="n">
        <v>94</v>
      </c>
      <c r="B389" s="7" t="n">
        <v>45065</v>
      </c>
      <c r="C389" s="6" t="s">
        <v>435</v>
      </c>
      <c r="D389" s="6" t="s">
        <v>49</v>
      </c>
      <c r="E389" s="6" t="n">
        <v>47</v>
      </c>
      <c r="F389" s="6" t="s">
        <v>45</v>
      </c>
      <c r="G389" s="6" t="n">
        <v>2</v>
      </c>
      <c r="H389" s="8" t="n">
        <v>500</v>
      </c>
      <c r="I389" s="8" t="n">
        <f aca="false">G389*H389</f>
        <v>1000</v>
      </c>
    </row>
    <row r="390" customFormat="false" ht="15" hidden="false" customHeight="false" outlineLevel="0" collapsed="false">
      <c r="A390" s="6" t="n">
        <v>881</v>
      </c>
      <c r="B390" s="7" t="n">
        <v>45065</v>
      </c>
      <c r="C390" s="6" t="s">
        <v>436</v>
      </c>
      <c r="D390" s="6" t="s">
        <v>44</v>
      </c>
      <c r="E390" s="6" t="n">
        <v>22</v>
      </c>
      <c r="F390" s="6" t="s">
        <v>51</v>
      </c>
      <c r="G390" s="6" t="n">
        <v>1</v>
      </c>
      <c r="H390" s="8" t="n">
        <v>300</v>
      </c>
      <c r="I390" s="8" t="n">
        <f aca="false">G390*H390</f>
        <v>300</v>
      </c>
    </row>
    <row r="391" customFormat="false" ht="15" hidden="false" customHeight="false" outlineLevel="0" collapsed="false">
      <c r="A391" s="6" t="n">
        <v>694</v>
      </c>
      <c r="B391" s="7" t="n">
        <v>45066</v>
      </c>
      <c r="C391" s="6" t="s">
        <v>437</v>
      </c>
      <c r="D391" s="6" t="s">
        <v>49</v>
      </c>
      <c r="E391" s="6" t="n">
        <v>39</v>
      </c>
      <c r="F391" s="6" t="s">
        <v>51</v>
      </c>
      <c r="G391" s="6" t="n">
        <v>2</v>
      </c>
      <c r="H391" s="8" t="n">
        <v>25</v>
      </c>
      <c r="I391" s="8" t="n">
        <f aca="false">G391*H391</f>
        <v>50</v>
      </c>
    </row>
    <row r="392" customFormat="false" ht="15" hidden="false" customHeight="false" outlineLevel="0" collapsed="false">
      <c r="A392" s="6" t="n">
        <v>653</v>
      </c>
      <c r="B392" s="7" t="n">
        <v>45066</v>
      </c>
      <c r="C392" s="6" t="s">
        <v>438</v>
      </c>
      <c r="D392" s="6" t="s">
        <v>44</v>
      </c>
      <c r="E392" s="6" t="n">
        <v>54</v>
      </c>
      <c r="F392" s="6" t="s">
        <v>47</v>
      </c>
      <c r="G392" s="6" t="n">
        <v>3</v>
      </c>
      <c r="H392" s="8" t="n">
        <v>25</v>
      </c>
      <c r="I392" s="8" t="n">
        <f aca="false">G392*H392</f>
        <v>75</v>
      </c>
    </row>
    <row r="393" customFormat="false" ht="15" hidden="false" customHeight="false" outlineLevel="0" collapsed="false">
      <c r="A393" s="6" t="n">
        <v>403</v>
      </c>
      <c r="B393" s="7" t="n">
        <v>45066</v>
      </c>
      <c r="C393" s="6" t="s">
        <v>439</v>
      </c>
      <c r="D393" s="6" t="s">
        <v>44</v>
      </c>
      <c r="E393" s="6" t="n">
        <v>32</v>
      </c>
      <c r="F393" s="6" t="s">
        <v>47</v>
      </c>
      <c r="G393" s="6" t="n">
        <v>2</v>
      </c>
      <c r="H393" s="8" t="n">
        <v>300</v>
      </c>
      <c r="I393" s="8" t="n">
        <f aca="false">G393*H393</f>
        <v>600</v>
      </c>
    </row>
    <row r="394" customFormat="false" ht="15" hidden="false" customHeight="false" outlineLevel="0" collapsed="false">
      <c r="A394" s="6" t="n">
        <v>911</v>
      </c>
      <c r="B394" s="7" t="n">
        <v>45067</v>
      </c>
      <c r="C394" s="6" t="s">
        <v>440</v>
      </c>
      <c r="D394" s="6" t="s">
        <v>44</v>
      </c>
      <c r="E394" s="6" t="n">
        <v>42</v>
      </c>
      <c r="F394" s="6" t="s">
        <v>51</v>
      </c>
      <c r="G394" s="6" t="n">
        <v>3</v>
      </c>
      <c r="H394" s="8" t="n">
        <v>300</v>
      </c>
      <c r="I394" s="8" t="n">
        <f aca="false">G394*H394</f>
        <v>900</v>
      </c>
    </row>
    <row r="395" customFormat="false" ht="15" hidden="false" customHeight="false" outlineLevel="0" collapsed="false">
      <c r="A395" s="6" t="n">
        <v>647</v>
      </c>
      <c r="B395" s="7" t="n">
        <v>45067</v>
      </c>
      <c r="C395" s="6" t="s">
        <v>441</v>
      </c>
      <c r="D395" s="6" t="s">
        <v>44</v>
      </c>
      <c r="E395" s="6" t="n">
        <v>59</v>
      </c>
      <c r="F395" s="6" t="s">
        <v>47</v>
      </c>
      <c r="G395" s="6" t="n">
        <v>3</v>
      </c>
      <c r="H395" s="8" t="n">
        <v>500</v>
      </c>
      <c r="I395" s="8" t="n">
        <f aca="false">G395*H395</f>
        <v>1500</v>
      </c>
    </row>
    <row r="396" customFormat="false" ht="15" hidden="false" customHeight="false" outlineLevel="0" collapsed="false">
      <c r="A396" s="6" t="n">
        <v>4</v>
      </c>
      <c r="B396" s="7" t="n">
        <v>45067</v>
      </c>
      <c r="C396" s="6" t="s">
        <v>442</v>
      </c>
      <c r="D396" s="6" t="s">
        <v>44</v>
      </c>
      <c r="E396" s="6" t="n">
        <v>37</v>
      </c>
      <c r="F396" s="6" t="s">
        <v>47</v>
      </c>
      <c r="G396" s="6" t="n">
        <v>1</v>
      </c>
      <c r="H396" s="8" t="n">
        <v>500</v>
      </c>
      <c r="I396" s="8" t="n">
        <f aca="false">G396*H396</f>
        <v>500</v>
      </c>
    </row>
    <row r="397" customFormat="false" ht="15" hidden="false" customHeight="false" outlineLevel="0" collapsed="false">
      <c r="A397" s="6" t="n">
        <v>843</v>
      </c>
      <c r="B397" s="7" t="n">
        <v>45068</v>
      </c>
      <c r="C397" s="6" t="s">
        <v>443</v>
      </c>
      <c r="D397" s="6" t="s">
        <v>44</v>
      </c>
      <c r="E397" s="6" t="n">
        <v>21</v>
      </c>
      <c r="F397" s="6" t="s">
        <v>45</v>
      </c>
      <c r="G397" s="6" t="n">
        <v>3</v>
      </c>
      <c r="H397" s="8" t="n">
        <v>500</v>
      </c>
      <c r="I397" s="8" t="n">
        <f aca="false">G397*H397</f>
        <v>1500</v>
      </c>
    </row>
    <row r="398" customFormat="false" ht="15" hidden="false" customHeight="false" outlineLevel="0" collapsed="false">
      <c r="A398" s="6" t="n">
        <v>895</v>
      </c>
      <c r="B398" s="7" t="n">
        <v>45068</v>
      </c>
      <c r="C398" s="6" t="s">
        <v>444</v>
      </c>
      <c r="D398" s="6" t="s">
        <v>49</v>
      </c>
      <c r="E398" s="6" t="n">
        <v>55</v>
      </c>
      <c r="F398" s="6" t="s">
        <v>47</v>
      </c>
      <c r="G398" s="6" t="n">
        <v>4</v>
      </c>
      <c r="H398" s="8" t="n">
        <v>30</v>
      </c>
      <c r="I398" s="8" t="n">
        <f aca="false">G398*H398</f>
        <v>120</v>
      </c>
    </row>
    <row r="399" customFormat="false" ht="15" hidden="false" customHeight="false" outlineLevel="0" collapsed="false">
      <c r="A399" s="6" t="n">
        <v>419</v>
      </c>
      <c r="B399" s="7" t="n">
        <v>45068</v>
      </c>
      <c r="C399" s="6" t="s">
        <v>445</v>
      </c>
      <c r="D399" s="6" t="s">
        <v>49</v>
      </c>
      <c r="E399" s="6" t="n">
        <v>44</v>
      </c>
      <c r="F399" s="6" t="s">
        <v>47</v>
      </c>
      <c r="G399" s="6" t="n">
        <v>3</v>
      </c>
      <c r="H399" s="8" t="n">
        <v>30</v>
      </c>
      <c r="I399" s="8" t="n">
        <f aca="false">G399*H399</f>
        <v>90</v>
      </c>
    </row>
    <row r="400" customFormat="false" ht="15" hidden="false" customHeight="false" outlineLevel="0" collapsed="false">
      <c r="A400" s="6" t="n">
        <v>642</v>
      </c>
      <c r="B400" s="7" t="n">
        <v>45068</v>
      </c>
      <c r="C400" s="6" t="s">
        <v>446</v>
      </c>
      <c r="D400" s="6" t="s">
        <v>49</v>
      </c>
      <c r="E400" s="6" t="n">
        <v>54</v>
      </c>
      <c r="F400" s="6" t="s">
        <v>47</v>
      </c>
      <c r="G400" s="6" t="n">
        <v>4</v>
      </c>
      <c r="H400" s="8" t="n">
        <v>25</v>
      </c>
      <c r="I400" s="8" t="n">
        <f aca="false">G400*H400</f>
        <v>100</v>
      </c>
    </row>
    <row r="401" customFormat="false" ht="15" hidden="false" customHeight="false" outlineLevel="0" collapsed="false">
      <c r="A401" s="6" t="n">
        <v>72</v>
      </c>
      <c r="B401" s="7" t="n">
        <v>45069</v>
      </c>
      <c r="C401" s="6" t="s">
        <v>447</v>
      </c>
      <c r="D401" s="6" t="s">
        <v>49</v>
      </c>
      <c r="E401" s="6" t="n">
        <v>20</v>
      </c>
      <c r="F401" s="6" t="s">
        <v>51</v>
      </c>
      <c r="G401" s="6" t="n">
        <v>4</v>
      </c>
      <c r="H401" s="8" t="n">
        <v>500</v>
      </c>
      <c r="I401" s="8" t="n">
        <f aca="false">G401*H401</f>
        <v>2000</v>
      </c>
    </row>
    <row r="402" customFormat="false" ht="15" hidden="false" customHeight="false" outlineLevel="0" collapsed="false">
      <c r="A402" s="6" t="n">
        <v>243</v>
      </c>
      <c r="B402" s="7" t="n">
        <v>45069</v>
      </c>
      <c r="C402" s="6" t="s">
        <v>448</v>
      </c>
      <c r="D402" s="6" t="s">
        <v>49</v>
      </c>
      <c r="E402" s="6" t="n">
        <v>47</v>
      </c>
      <c r="F402" s="6" t="s">
        <v>51</v>
      </c>
      <c r="G402" s="6" t="n">
        <v>3</v>
      </c>
      <c r="H402" s="8" t="n">
        <v>300</v>
      </c>
      <c r="I402" s="8" t="n">
        <f aca="false">G402*H402</f>
        <v>900</v>
      </c>
    </row>
    <row r="403" customFormat="false" ht="15" hidden="false" customHeight="false" outlineLevel="0" collapsed="false">
      <c r="A403" s="6" t="n">
        <v>822</v>
      </c>
      <c r="B403" s="7" t="n">
        <v>45069</v>
      </c>
      <c r="C403" s="6" t="s">
        <v>449</v>
      </c>
      <c r="D403" s="6" t="s">
        <v>49</v>
      </c>
      <c r="E403" s="6" t="n">
        <v>52</v>
      </c>
      <c r="F403" s="6" t="s">
        <v>45</v>
      </c>
      <c r="G403" s="6" t="n">
        <v>3</v>
      </c>
      <c r="H403" s="8" t="n">
        <v>50</v>
      </c>
      <c r="I403" s="8" t="n">
        <f aca="false">G403*H403</f>
        <v>150</v>
      </c>
    </row>
    <row r="404" customFormat="false" ht="15" hidden="false" customHeight="false" outlineLevel="0" collapsed="false">
      <c r="A404" s="6" t="n">
        <v>281</v>
      </c>
      <c r="B404" s="7" t="n">
        <v>45069</v>
      </c>
      <c r="C404" s="6" t="s">
        <v>450</v>
      </c>
      <c r="D404" s="6" t="s">
        <v>49</v>
      </c>
      <c r="E404" s="6" t="n">
        <v>29</v>
      </c>
      <c r="F404" s="6" t="s">
        <v>45</v>
      </c>
      <c r="G404" s="6" t="n">
        <v>4</v>
      </c>
      <c r="H404" s="8" t="n">
        <v>500</v>
      </c>
      <c r="I404" s="8" t="n">
        <f aca="false">G404*H404</f>
        <v>2000</v>
      </c>
    </row>
    <row r="405" customFormat="false" ht="15" hidden="false" customHeight="false" outlineLevel="0" collapsed="false">
      <c r="A405" s="6" t="n">
        <v>31</v>
      </c>
      <c r="B405" s="7" t="n">
        <v>45069</v>
      </c>
      <c r="C405" s="6" t="s">
        <v>451</v>
      </c>
      <c r="D405" s="6" t="s">
        <v>44</v>
      </c>
      <c r="E405" s="6" t="n">
        <v>44</v>
      </c>
      <c r="F405" s="6" t="s">
        <v>51</v>
      </c>
      <c r="G405" s="6" t="n">
        <v>4</v>
      </c>
      <c r="H405" s="8" t="n">
        <v>300</v>
      </c>
      <c r="I405" s="8" t="n">
        <f aca="false">G405*H405</f>
        <v>1200</v>
      </c>
    </row>
    <row r="406" customFormat="false" ht="15" hidden="false" customHeight="false" outlineLevel="0" collapsed="false">
      <c r="A406" s="6" t="n">
        <v>489</v>
      </c>
      <c r="B406" s="7" t="n">
        <v>45069</v>
      </c>
      <c r="C406" s="6" t="s">
        <v>452</v>
      </c>
      <c r="D406" s="6" t="s">
        <v>44</v>
      </c>
      <c r="E406" s="6" t="n">
        <v>44</v>
      </c>
      <c r="F406" s="6" t="s">
        <v>51</v>
      </c>
      <c r="G406" s="6" t="n">
        <v>1</v>
      </c>
      <c r="H406" s="8" t="n">
        <v>30</v>
      </c>
      <c r="I406" s="8" t="n">
        <f aca="false">G406*H406</f>
        <v>30</v>
      </c>
    </row>
    <row r="407" customFormat="false" ht="15" hidden="false" customHeight="false" outlineLevel="0" collapsed="false">
      <c r="A407" s="6" t="n">
        <v>729</v>
      </c>
      <c r="B407" s="7" t="n">
        <v>45069</v>
      </c>
      <c r="C407" s="6" t="s">
        <v>453</v>
      </c>
      <c r="D407" s="6" t="s">
        <v>44</v>
      </c>
      <c r="E407" s="6" t="n">
        <v>29</v>
      </c>
      <c r="F407" s="6" t="s">
        <v>47</v>
      </c>
      <c r="G407" s="6" t="n">
        <v>4</v>
      </c>
      <c r="H407" s="8" t="n">
        <v>300</v>
      </c>
      <c r="I407" s="8" t="n">
        <f aca="false">G407*H407</f>
        <v>1200</v>
      </c>
    </row>
    <row r="408" customFormat="false" ht="15" hidden="false" customHeight="false" outlineLevel="0" collapsed="false">
      <c r="A408" s="6" t="n">
        <v>37</v>
      </c>
      <c r="B408" s="7" t="n">
        <v>45069</v>
      </c>
      <c r="C408" s="6" t="s">
        <v>454</v>
      </c>
      <c r="D408" s="6" t="s">
        <v>49</v>
      </c>
      <c r="E408" s="6" t="n">
        <v>18</v>
      </c>
      <c r="F408" s="6" t="s">
        <v>45</v>
      </c>
      <c r="G408" s="6" t="n">
        <v>3</v>
      </c>
      <c r="H408" s="8" t="n">
        <v>25</v>
      </c>
      <c r="I408" s="8" t="n">
        <f aca="false">G408*H408</f>
        <v>75</v>
      </c>
    </row>
    <row r="409" customFormat="false" ht="15" hidden="false" customHeight="false" outlineLevel="0" collapsed="false">
      <c r="A409" s="6" t="n">
        <v>491</v>
      </c>
      <c r="B409" s="7" t="n">
        <v>45069</v>
      </c>
      <c r="C409" s="6" t="s">
        <v>455</v>
      </c>
      <c r="D409" s="6" t="s">
        <v>49</v>
      </c>
      <c r="E409" s="6" t="n">
        <v>60</v>
      </c>
      <c r="F409" s="6" t="s">
        <v>51</v>
      </c>
      <c r="G409" s="6" t="n">
        <v>3</v>
      </c>
      <c r="H409" s="8" t="n">
        <v>300</v>
      </c>
      <c r="I409" s="8" t="n">
        <f aca="false">G409*H409</f>
        <v>900</v>
      </c>
    </row>
    <row r="410" customFormat="false" ht="15" hidden="false" customHeight="false" outlineLevel="0" collapsed="false">
      <c r="A410" s="6" t="n">
        <v>840</v>
      </c>
      <c r="B410" s="7" t="n">
        <v>45070</v>
      </c>
      <c r="C410" s="6" t="s">
        <v>456</v>
      </c>
      <c r="D410" s="6" t="s">
        <v>44</v>
      </c>
      <c r="E410" s="6" t="n">
        <v>62</v>
      </c>
      <c r="F410" s="6" t="s">
        <v>47</v>
      </c>
      <c r="G410" s="6" t="n">
        <v>2</v>
      </c>
      <c r="H410" s="8" t="n">
        <v>25</v>
      </c>
      <c r="I410" s="8" t="n">
        <f aca="false">G410*H410</f>
        <v>50</v>
      </c>
    </row>
    <row r="411" customFormat="false" ht="15" hidden="false" customHeight="false" outlineLevel="0" collapsed="false">
      <c r="A411" s="6" t="n">
        <v>990</v>
      </c>
      <c r="B411" s="7" t="n">
        <v>45071</v>
      </c>
      <c r="C411" s="6" t="s">
        <v>457</v>
      </c>
      <c r="D411" s="6" t="s">
        <v>49</v>
      </c>
      <c r="E411" s="6" t="n">
        <v>58</v>
      </c>
      <c r="F411" s="6" t="s">
        <v>45</v>
      </c>
      <c r="G411" s="6" t="n">
        <v>2</v>
      </c>
      <c r="H411" s="8" t="n">
        <v>500</v>
      </c>
      <c r="I411" s="8" t="n">
        <f aca="false">G411*H411</f>
        <v>1000</v>
      </c>
    </row>
    <row r="412" customFormat="false" ht="15" hidden="false" customHeight="false" outlineLevel="0" collapsed="false">
      <c r="A412" s="6" t="n">
        <v>404</v>
      </c>
      <c r="B412" s="7" t="n">
        <v>45071</v>
      </c>
      <c r="C412" s="6" t="s">
        <v>458</v>
      </c>
      <c r="D412" s="6" t="s">
        <v>44</v>
      </c>
      <c r="E412" s="6" t="n">
        <v>46</v>
      </c>
      <c r="F412" s="6" t="s">
        <v>51</v>
      </c>
      <c r="G412" s="6" t="n">
        <v>2</v>
      </c>
      <c r="H412" s="8" t="n">
        <v>500</v>
      </c>
      <c r="I412" s="8" t="n">
        <f aca="false">G412*H412</f>
        <v>1000</v>
      </c>
    </row>
    <row r="413" customFormat="false" ht="15" hidden="false" customHeight="false" outlineLevel="0" collapsed="false">
      <c r="A413" s="6" t="n">
        <v>899</v>
      </c>
      <c r="B413" s="7" t="n">
        <v>45071</v>
      </c>
      <c r="C413" s="6" t="s">
        <v>459</v>
      </c>
      <c r="D413" s="6" t="s">
        <v>44</v>
      </c>
      <c r="E413" s="6" t="n">
        <v>26</v>
      </c>
      <c r="F413" s="6" t="s">
        <v>47</v>
      </c>
      <c r="G413" s="6" t="n">
        <v>2</v>
      </c>
      <c r="H413" s="8" t="n">
        <v>300</v>
      </c>
      <c r="I413" s="8" t="n">
        <f aca="false">G413*H413</f>
        <v>600</v>
      </c>
    </row>
    <row r="414" customFormat="false" ht="15" hidden="false" customHeight="false" outlineLevel="0" collapsed="false">
      <c r="A414" s="6" t="n">
        <v>923</v>
      </c>
      <c r="B414" s="7" t="n">
        <v>45072</v>
      </c>
      <c r="C414" s="6" t="s">
        <v>460</v>
      </c>
      <c r="D414" s="6" t="s">
        <v>44</v>
      </c>
      <c r="E414" s="6" t="n">
        <v>32</v>
      </c>
      <c r="F414" s="6" t="s">
        <v>45</v>
      </c>
      <c r="G414" s="6" t="n">
        <v>3</v>
      </c>
      <c r="H414" s="8" t="n">
        <v>300</v>
      </c>
      <c r="I414" s="8" t="n">
        <f aca="false">G414*H414</f>
        <v>900</v>
      </c>
    </row>
    <row r="415" customFormat="false" ht="15" hidden="false" customHeight="false" outlineLevel="0" collapsed="false">
      <c r="A415" s="6" t="n">
        <v>382</v>
      </c>
      <c r="B415" s="7" t="n">
        <v>45072</v>
      </c>
      <c r="C415" s="6" t="s">
        <v>461</v>
      </c>
      <c r="D415" s="6" t="s">
        <v>49</v>
      </c>
      <c r="E415" s="6" t="n">
        <v>53</v>
      </c>
      <c r="F415" s="6" t="s">
        <v>47</v>
      </c>
      <c r="G415" s="6" t="n">
        <v>2</v>
      </c>
      <c r="H415" s="8" t="n">
        <v>500</v>
      </c>
      <c r="I415" s="8" t="n">
        <f aca="false">G415*H415</f>
        <v>1000</v>
      </c>
    </row>
    <row r="416" customFormat="false" ht="15" hidden="false" customHeight="false" outlineLevel="0" collapsed="false">
      <c r="A416" s="6" t="n">
        <v>578</v>
      </c>
      <c r="B416" s="7" t="n">
        <v>45072</v>
      </c>
      <c r="C416" s="6" t="s">
        <v>462</v>
      </c>
      <c r="D416" s="6" t="s">
        <v>49</v>
      </c>
      <c r="E416" s="6" t="n">
        <v>54</v>
      </c>
      <c r="F416" s="6" t="s">
        <v>47</v>
      </c>
      <c r="G416" s="6" t="n">
        <v>4</v>
      </c>
      <c r="H416" s="8" t="n">
        <v>30</v>
      </c>
      <c r="I416" s="8" t="n">
        <f aca="false">G416*H416</f>
        <v>120</v>
      </c>
    </row>
    <row r="417" customFormat="false" ht="15" hidden="false" customHeight="false" outlineLevel="0" collapsed="false">
      <c r="A417" s="6" t="n">
        <v>561</v>
      </c>
      <c r="B417" s="7" t="n">
        <v>45073</v>
      </c>
      <c r="C417" s="6" t="s">
        <v>463</v>
      </c>
      <c r="D417" s="6" t="s">
        <v>49</v>
      </c>
      <c r="E417" s="6" t="n">
        <v>64</v>
      </c>
      <c r="F417" s="6" t="s">
        <v>47</v>
      </c>
      <c r="G417" s="6" t="n">
        <v>4</v>
      </c>
      <c r="H417" s="8" t="n">
        <v>500</v>
      </c>
      <c r="I417" s="8" t="n">
        <f aca="false">G417*H417</f>
        <v>2000</v>
      </c>
    </row>
    <row r="418" customFormat="false" ht="15" hidden="false" customHeight="false" outlineLevel="0" collapsed="false">
      <c r="A418" s="6" t="n">
        <v>651</v>
      </c>
      <c r="B418" s="7" t="n">
        <v>45073</v>
      </c>
      <c r="C418" s="6" t="s">
        <v>464</v>
      </c>
      <c r="D418" s="6" t="s">
        <v>44</v>
      </c>
      <c r="E418" s="6" t="n">
        <v>51</v>
      </c>
      <c r="F418" s="6" t="s">
        <v>47</v>
      </c>
      <c r="G418" s="6" t="n">
        <v>3</v>
      </c>
      <c r="H418" s="8" t="n">
        <v>50</v>
      </c>
      <c r="I418" s="8" t="n">
        <f aca="false">G418*H418</f>
        <v>150</v>
      </c>
    </row>
    <row r="419" customFormat="false" ht="15" hidden="false" customHeight="false" outlineLevel="0" collapsed="false">
      <c r="A419" s="6" t="n">
        <v>307</v>
      </c>
      <c r="B419" s="7" t="n">
        <v>45073</v>
      </c>
      <c r="C419" s="6" t="s">
        <v>465</v>
      </c>
      <c r="D419" s="6" t="s">
        <v>49</v>
      </c>
      <c r="E419" s="6" t="n">
        <v>26</v>
      </c>
      <c r="F419" s="6" t="s">
        <v>51</v>
      </c>
      <c r="G419" s="6" t="n">
        <v>2</v>
      </c>
      <c r="H419" s="8" t="n">
        <v>25</v>
      </c>
      <c r="I419" s="8" t="n">
        <f aca="false">G419*H419</f>
        <v>50</v>
      </c>
    </row>
    <row r="420" customFormat="false" ht="15" hidden="false" customHeight="false" outlineLevel="0" collapsed="false">
      <c r="A420" s="6" t="n">
        <v>988</v>
      </c>
      <c r="B420" s="7" t="n">
        <v>45074</v>
      </c>
      <c r="C420" s="6" t="s">
        <v>466</v>
      </c>
      <c r="D420" s="6" t="s">
        <v>49</v>
      </c>
      <c r="E420" s="6" t="n">
        <v>63</v>
      </c>
      <c r="F420" s="6" t="s">
        <v>47</v>
      </c>
      <c r="G420" s="6" t="n">
        <v>3</v>
      </c>
      <c r="H420" s="8" t="n">
        <v>25</v>
      </c>
      <c r="I420" s="8" t="n">
        <f aca="false">G420*H420</f>
        <v>75</v>
      </c>
    </row>
    <row r="421" customFormat="false" ht="15" hidden="false" customHeight="false" outlineLevel="0" collapsed="false">
      <c r="A421" s="6" t="n">
        <v>67</v>
      </c>
      <c r="B421" s="7" t="n">
        <v>45075</v>
      </c>
      <c r="C421" s="6" t="s">
        <v>467</v>
      </c>
      <c r="D421" s="6" t="s">
        <v>49</v>
      </c>
      <c r="E421" s="6" t="n">
        <v>48</v>
      </c>
      <c r="F421" s="6" t="s">
        <v>45</v>
      </c>
      <c r="G421" s="6" t="n">
        <v>4</v>
      </c>
      <c r="H421" s="8" t="n">
        <v>300</v>
      </c>
      <c r="I421" s="8" t="n">
        <f aca="false">G421*H421</f>
        <v>1200</v>
      </c>
    </row>
    <row r="422" customFormat="false" ht="15" hidden="false" customHeight="false" outlineLevel="0" collapsed="false">
      <c r="A422" s="6" t="n">
        <v>985</v>
      </c>
      <c r="B422" s="7" t="n">
        <v>45076</v>
      </c>
      <c r="C422" s="6" t="s">
        <v>468</v>
      </c>
      <c r="D422" s="6" t="s">
        <v>49</v>
      </c>
      <c r="E422" s="6" t="n">
        <v>19</v>
      </c>
      <c r="F422" s="6" t="s">
        <v>51</v>
      </c>
      <c r="G422" s="6" t="n">
        <v>2</v>
      </c>
      <c r="H422" s="8" t="n">
        <v>25</v>
      </c>
      <c r="I422" s="8" t="n">
        <f aca="false">G422*H422</f>
        <v>50</v>
      </c>
    </row>
    <row r="423" customFormat="false" ht="15" hidden="false" customHeight="false" outlineLevel="0" collapsed="false">
      <c r="A423" s="6" t="n">
        <v>915</v>
      </c>
      <c r="B423" s="7" t="n">
        <v>45076</v>
      </c>
      <c r="C423" s="6" t="s">
        <v>469</v>
      </c>
      <c r="D423" s="6" t="s">
        <v>49</v>
      </c>
      <c r="E423" s="6" t="n">
        <v>26</v>
      </c>
      <c r="F423" s="6" t="s">
        <v>45</v>
      </c>
      <c r="G423" s="6" t="n">
        <v>3</v>
      </c>
      <c r="H423" s="8" t="n">
        <v>30</v>
      </c>
      <c r="I423" s="8" t="n">
        <f aca="false">G423*H423</f>
        <v>90</v>
      </c>
    </row>
    <row r="424" customFormat="false" ht="15" hidden="false" customHeight="false" outlineLevel="0" collapsed="false">
      <c r="A424" s="6" t="n">
        <v>159</v>
      </c>
      <c r="B424" s="7" t="n">
        <v>45077</v>
      </c>
      <c r="C424" s="6" t="s">
        <v>470</v>
      </c>
      <c r="D424" s="6" t="s">
        <v>44</v>
      </c>
      <c r="E424" s="6" t="n">
        <v>26</v>
      </c>
      <c r="F424" s="6" t="s">
        <v>47</v>
      </c>
      <c r="G424" s="6" t="n">
        <v>4</v>
      </c>
      <c r="H424" s="8" t="n">
        <v>50</v>
      </c>
      <c r="I424" s="8" t="n">
        <f aca="false">G424*H424</f>
        <v>200</v>
      </c>
    </row>
    <row r="425" customFormat="false" ht="15" hidden="false" customHeight="false" outlineLevel="0" collapsed="false">
      <c r="A425" s="6" t="n">
        <v>56</v>
      </c>
      <c r="B425" s="7" t="n">
        <v>45077</v>
      </c>
      <c r="C425" s="6" t="s">
        <v>471</v>
      </c>
      <c r="D425" s="6" t="s">
        <v>49</v>
      </c>
      <c r="E425" s="6" t="n">
        <v>26</v>
      </c>
      <c r="F425" s="6" t="s">
        <v>47</v>
      </c>
      <c r="G425" s="6" t="n">
        <v>3</v>
      </c>
      <c r="H425" s="8" t="n">
        <v>300</v>
      </c>
      <c r="I425" s="8" t="n">
        <f aca="false">G425*H425</f>
        <v>900</v>
      </c>
    </row>
    <row r="426" customFormat="false" ht="15" hidden="false" customHeight="false" outlineLevel="0" collapsed="false">
      <c r="A426" s="6" t="n">
        <v>862</v>
      </c>
      <c r="B426" s="7" t="n">
        <v>45077</v>
      </c>
      <c r="C426" s="6" t="s">
        <v>472</v>
      </c>
      <c r="D426" s="6" t="s">
        <v>44</v>
      </c>
      <c r="E426" s="6" t="n">
        <v>28</v>
      </c>
      <c r="F426" s="6" t="s">
        <v>51</v>
      </c>
      <c r="G426" s="6" t="n">
        <v>4</v>
      </c>
      <c r="H426" s="8" t="n">
        <v>300</v>
      </c>
      <c r="I426" s="8" t="n">
        <f aca="false">G426*H426</f>
        <v>1200</v>
      </c>
    </row>
    <row r="427" customFormat="false" ht="15" hidden="false" customHeight="false" outlineLevel="0" collapsed="false">
      <c r="A427" s="6" t="n">
        <v>545</v>
      </c>
      <c r="B427" s="7" t="n">
        <v>45078</v>
      </c>
      <c r="C427" s="6" t="s">
        <v>473</v>
      </c>
      <c r="D427" s="6" t="s">
        <v>44</v>
      </c>
      <c r="E427" s="6" t="n">
        <v>27</v>
      </c>
      <c r="F427" s="6" t="s">
        <v>47</v>
      </c>
      <c r="G427" s="6" t="n">
        <v>2</v>
      </c>
      <c r="H427" s="8" t="n">
        <v>25</v>
      </c>
      <c r="I427" s="8" t="n">
        <f aca="false">G427*H427</f>
        <v>50</v>
      </c>
    </row>
    <row r="428" customFormat="false" ht="15" hidden="false" customHeight="false" outlineLevel="0" collapsed="false">
      <c r="A428" s="6" t="n">
        <v>902</v>
      </c>
      <c r="B428" s="7" t="n">
        <v>45078</v>
      </c>
      <c r="C428" s="6" t="s">
        <v>474</v>
      </c>
      <c r="D428" s="6" t="s">
        <v>49</v>
      </c>
      <c r="E428" s="6" t="n">
        <v>54</v>
      </c>
      <c r="F428" s="6" t="s">
        <v>45</v>
      </c>
      <c r="G428" s="6" t="n">
        <v>1</v>
      </c>
      <c r="H428" s="8" t="n">
        <v>50</v>
      </c>
      <c r="I428" s="8" t="n">
        <f aca="false">G428*H428</f>
        <v>50</v>
      </c>
    </row>
    <row r="429" customFormat="false" ht="15" hidden="false" customHeight="false" outlineLevel="0" collapsed="false">
      <c r="A429" s="6" t="n">
        <v>315</v>
      </c>
      <c r="B429" s="7" t="n">
        <v>45078</v>
      </c>
      <c r="C429" s="6" t="s">
        <v>475</v>
      </c>
      <c r="D429" s="6" t="s">
        <v>44</v>
      </c>
      <c r="E429" s="6" t="n">
        <v>47</v>
      </c>
      <c r="F429" s="6" t="s">
        <v>47</v>
      </c>
      <c r="G429" s="6" t="n">
        <v>2</v>
      </c>
      <c r="H429" s="8" t="n">
        <v>30</v>
      </c>
      <c r="I429" s="8" t="n">
        <f aca="false">G429*H429</f>
        <v>60</v>
      </c>
    </row>
    <row r="430" customFormat="false" ht="15" hidden="false" customHeight="false" outlineLevel="0" collapsed="false">
      <c r="A430" s="6" t="n">
        <v>958</v>
      </c>
      <c r="B430" s="7" t="n">
        <v>45079</v>
      </c>
      <c r="C430" s="6" t="s">
        <v>476</v>
      </c>
      <c r="D430" s="6" t="s">
        <v>44</v>
      </c>
      <c r="E430" s="6" t="n">
        <v>62</v>
      </c>
      <c r="F430" s="6" t="s">
        <v>51</v>
      </c>
      <c r="G430" s="6" t="n">
        <v>2</v>
      </c>
      <c r="H430" s="8" t="n">
        <v>25</v>
      </c>
      <c r="I430" s="8" t="n">
        <f aca="false">G430*H430</f>
        <v>50</v>
      </c>
    </row>
    <row r="431" customFormat="false" ht="15" hidden="false" customHeight="false" outlineLevel="0" collapsed="false">
      <c r="A431" s="6" t="n">
        <v>170</v>
      </c>
      <c r="B431" s="7" t="n">
        <v>45079</v>
      </c>
      <c r="C431" s="6" t="s">
        <v>477</v>
      </c>
      <c r="D431" s="6" t="s">
        <v>49</v>
      </c>
      <c r="E431" s="6" t="n">
        <v>25</v>
      </c>
      <c r="F431" s="6" t="s">
        <v>47</v>
      </c>
      <c r="G431" s="6" t="n">
        <v>2</v>
      </c>
      <c r="H431" s="8" t="n">
        <v>25</v>
      </c>
      <c r="I431" s="8" t="n">
        <f aca="false">G431*H431</f>
        <v>50</v>
      </c>
    </row>
    <row r="432" customFormat="false" ht="15" hidden="false" customHeight="false" outlineLevel="0" collapsed="false">
      <c r="A432" s="6" t="n">
        <v>685</v>
      </c>
      <c r="B432" s="7" t="n">
        <v>45079</v>
      </c>
      <c r="C432" s="6" t="s">
        <v>478</v>
      </c>
      <c r="D432" s="6" t="s">
        <v>44</v>
      </c>
      <c r="E432" s="6" t="n">
        <v>57</v>
      </c>
      <c r="F432" s="6" t="s">
        <v>51</v>
      </c>
      <c r="G432" s="6" t="n">
        <v>2</v>
      </c>
      <c r="H432" s="8" t="n">
        <v>25</v>
      </c>
      <c r="I432" s="8" t="n">
        <f aca="false">G432*H432</f>
        <v>50</v>
      </c>
    </row>
    <row r="433" customFormat="false" ht="15" hidden="false" customHeight="false" outlineLevel="0" collapsed="false">
      <c r="A433" s="6" t="n">
        <v>363</v>
      </c>
      <c r="B433" s="7" t="n">
        <v>45080</v>
      </c>
      <c r="C433" s="6" t="s">
        <v>479</v>
      </c>
      <c r="D433" s="6" t="s">
        <v>44</v>
      </c>
      <c r="E433" s="6" t="n">
        <v>64</v>
      </c>
      <c r="F433" s="6" t="s">
        <v>45</v>
      </c>
      <c r="G433" s="6" t="n">
        <v>1</v>
      </c>
      <c r="H433" s="8" t="n">
        <v>25</v>
      </c>
      <c r="I433" s="8" t="n">
        <f aca="false">G433*H433</f>
        <v>25</v>
      </c>
    </row>
    <row r="434" customFormat="false" ht="15" hidden="false" customHeight="false" outlineLevel="0" collapsed="false">
      <c r="A434" s="6" t="n">
        <v>537</v>
      </c>
      <c r="B434" s="7" t="n">
        <v>45080</v>
      </c>
      <c r="C434" s="6" t="s">
        <v>480</v>
      </c>
      <c r="D434" s="6" t="s">
        <v>49</v>
      </c>
      <c r="E434" s="6" t="n">
        <v>21</v>
      </c>
      <c r="F434" s="6" t="s">
        <v>45</v>
      </c>
      <c r="G434" s="6" t="n">
        <v>1</v>
      </c>
      <c r="H434" s="8" t="n">
        <v>500</v>
      </c>
      <c r="I434" s="8" t="n">
        <f aca="false">G434*H434</f>
        <v>500</v>
      </c>
    </row>
    <row r="435" customFormat="false" ht="15" hidden="false" customHeight="false" outlineLevel="0" collapsed="false">
      <c r="A435" s="6" t="n">
        <v>394</v>
      </c>
      <c r="B435" s="7" t="n">
        <v>45080</v>
      </c>
      <c r="C435" s="6" t="s">
        <v>481</v>
      </c>
      <c r="D435" s="6" t="s">
        <v>49</v>
      </c>
      <c r="E435" s="6" t="n">
        <v>27</v>
      </c>
      <c r="F435" s="6" t="s">
        <v>47</v>
      </c>
      <c r="G435" s="6" t="n">
        <v>1</v>
      </c>
      <c r="H435" s="8" t="n">
        <v>500</v>
      </c>
      <c r="I435" s="8" t="n">
        <f aca="false">G435*H435</f>
        <v>500</v>
      </c>
    </row>
    <row r="436" customFormat="false" ht="15" hidden="false" customHeight="false" outlineLevel="0" collapsed="false">
      <c r="A436" s="6" t="n">
        <v>387</v>
      </c>
      <c r="B436" s="7" t="n">
        <v>45081</v>
      </c>
      <c r="C436" s="6" t="s">
        <v>482</v>
      </c>
      <c r="D436" s="6" t="s">
        <v>44</v>
      </c>
      <c r="E436" s="6" t="n">
        <v>44</v>
      </c>
      <c r="F436" s="6" t="s">
        <v>45</v>
      </c>
      <c r="G436" s="6" t="n">
        <v>1</v>
      </c>
      <c r="H436" s="8" t="n">
        <v>30</v>
      </c>
      <c r="I436" s="8" t="n">
        <f aca="false">G436*H436</f>
        <v>30</v>
      </c>
    </row>
    <row r="437" customFormat="false" ht="15" hidden="false" customHeight="false" outlineLevel="0" collapsed="false">
      <c r="A437" s="6" t="n">
        <v>556</v>
      </c>
      <c r="B437" s="7" t="n">
        <v>45081</v>
      </c>
      <c r="C437" s="6" t="s">
        <v>483</v>
      </c>
      <c r="D437" s="6" t="s">
        <v>49</v>
      </c>
      <c r="E437" s="6" t="n">
        <v>18</v>
      </c>
      <c r="F437" s="6" t="s">
        <v>51</v>
      </c>
      <c r="G437" s="6" t="n">
        <v>1</v>
      </c>
      <c r="H437" s="8" t="n">
        <v>50</v>
      </c>
      <c r="I437" s="8" t="n">
        <f aca="false">G437*H437</f>
        <v>50</v>
      </c>
    </row>
    <row r="438" customFormat="false" ht="15" hidden="false" customHeight="false" outlineLevel="0" collapsed="false">
      <c r="A438" s="6" t="n">
        <v>782</v>
      </c>
      <c r="B438" s="7" t="n">
        <v>45081</v>
      </c>
      <c r="C438" s="6" t="s">
        <v>484</v>
      </c>
      <c r="D438" s="6" t="s">
        <v>44</v>
      </c>
      <c r="E438" s="6" t="n">
        <v>59</v>
      </c>
      <c r="F438" s="6" t="s">
        <v>47</v>
      </c>
      <c r="G438" s="6" t="n">
        <v>3</v>
      </c>
      <c r="H438" s="8" t="n">
        <v>300</v>
      </c>
      <c r="I438" s="8" t="n">
        <f aca="false">G438*H438</f>
        <v>900</v>
      </c>
    </row>
    <row r="439" customFormat="false" ht="15" hidden="false" customHeight="false" outlineLevel="0" collapsed="false">
      <c r="A439" s="6" t="n">
        <v>906</v>
      </c>
      <c r="B439" s="7" t="n">
        <v>45081</v>
      </c>
      <c r="C439" s="6" t="s">
        <v>485</v>
      </c>
      <c r="D439" s="6" t="s">
        <v>49</v>
      </c>
      <c r="E439" s="6" t="n">
        <v>20</v>
      </c>
      <c r="F439" s="6" t="s">
        <v>47</v>
      </c>
      <c r="G439" s="6" t="n">
        <v>1</v>
      </c>
      <c r="H439" s="8" t="n">
        <v>50</v>
      </c>
      <c r="I439" s="8" t="n">
        <f aca="false">G439*H439</f>
        <v>50</v>
      </c>
    </row>
    <row r="440" customFormat="false" ht="15" hidden="false" customHeight="false" outlineLevel="0" collapsed="false">
      <c r="A440" s="6" t="n">
        <v>944</v>
      </c>
      <c r="B440" s="7" t="n">
        <v>45082</v>
      </c>
      <c r="C440" s="6" t="s">
        <v>486</v>
      </c>
      <c r="D440" s="6" t="s">
        <v>44</v>
      </c>
      <c r="E440" s="6" t="n">
        <v>44</v>
      </c>
      <c r="F440" s="6" t="s">
        <v>47</v>
      </c>
      <c r="G440" s="6" t="n">
        <v>2</v>
      </c>
      <c r="H440" s="8" t="n">
        <v>25</v>
      </c>
      <c r="I440" s="8" t="n">
        <f aca="false">G440*H440</f>
        <v>50</v>
      </c>
    </row>
    <row r="441" customFormat="false" ht="15" hidden="false" customHeight="false" outlineLevel="0" collapsed="false">
      <c r="A441" s="6" t="n">
        <v>560</v>
      </c>
      <c r="B441" s="7" t="n">
        <v>45082</v>
      </c>
      <c r="C441" s="6" t="s">
        <v>487</v>
      </c>
      <c r="D441" s="6" t="s">
        <v>49</v>
      </c>
      <c r="E441" s="6" t="n">
        <v>25</v>
      </c>
      <c r="F441" s="6" t="s">
        <v>51</v>
      </c>
      <c r="G441" s="6" t="n">
        <v>1</v>
      </c>
      <c r="H441" s="8" t="n">
        <v>50</v>
      </c>
      <c r="I441" s="8" t="n">
        <f aca="false">G441*H441</f>
        <v>50</v>
      </c>
    </row>
    <row r="442" customFormat="false" ht="15" hidden="false" customHeight="false" outlineLevel="0" collapsed="false">
      <c r="A442" s="6" t="n">
        <v>961</v>
      </c>
      <c r="B442" s="7" t="n">
        <v>45083</v>
      </c>
      <c r="C442" s="6" t="s">
        <v>488</v>
      </c>
      <c r="D442" s="6" t="s">
        <v>44</v>
      </c>
      <c r="E442" s="6" t="n">
        <v>53</v>
      </c>
      <c r="F442" s="6" t="s">
        <v>45</v>
      </c>
      <c r="G442" s="6" t="n">
        <v>4</v>
      </c>
      <c r="H442" s="8" t="n">
        <v>50</v>
      </c>
      <c r="I442" s="8" t="n">
        <f aca="false">G442*H442</f>
        <v>200</v>
      </c>
    </row>
    <row r="443" customFormat="false" ht="15" hidden="false" customHeight="false" outlineLevel="0" collapsed="false">
      <c r="A443" s="6" t="n">
        <v>867</v>
      </c>
      <c r="B443" s="7" t="n">
        <v>45083</v>
      </c>
      <c r="C443" s="6" t="s">
        <v>489</v>
      </c>
      <c r="D443" s="6" t="s">
        <v>44</v>
      </c>
      <c r="E443" s="6" t="n">
        <v>21</v>
      </c>
      <c r="F443" s="6" t="s">
        <v>51</v>
      </c>
      <c r="G443" s="6" t="n">
        <v>1</v>
      </c>
      <c r="H443" s="8" t="n">
        <v>500</v>
      </c>
      <c r="I443" s="8" t="n">
        <f aca="false">G443*H443</f>
        <v>500</v>
      </c>
    </row>
    <row r="444" customFormat="false" ht="15" hidden="false" customHeight="false" outlineLevel="0" collapsed="false">
      <c r="A444" s="6" t="n">
        <v>481</v>
      </c>
      <c r="B444" s="7" t="n">
        <v>45083</v>
      </c>
      <c r="C444" s="6" t="s">
        <v>490</v>
      </c>
      <c r="D444" s="6" t="s">
        <v>49</v>
      </c>
      <c r="E444" s="6" t="n">
        <v>43</v>
      </c>
      <c r="F444" s="6" t="s">
        <v>51</v>
      </c>
      <c r="G444" s="6" t="n">
        <v>4</v>
      </c>
      <c r="H444" s="8" t="n">
        <v>300</v>
      </c>
      <c r="I444" s="8" t="n">
        <f aca="false">G444*H444</f>
        <v>1200</v>
      </c>
    </row>
    <row r="445" customFormat="false" ht="15" hidden="false" customHeight="false" outlineLevel="0" collapsed="false">
      <c r="A445" s="6" t="n">
        <v>882</v>
      </c>
      <c r="B445" s="7" t="n">
        <v>45083</v>
      </c>
      <c r="C445" s="6" t="s">
        <v>491</v>
      </c>
      <c r="D445" s="6" t="s">
        <v>49</v>
      </c>
      <c r="E445" s="6" t="n">
        <v>64</v>
      </c>
      <c r="F445" s="6" t="s">
        <v>51</v>
      </c>
      <c r="G445" s="6" t="n">
        <v>2</v>
      </c>
      <c r="H445" s="8" t="n">
        <v>25</v>
      </c>
      <c r="I445" s="8" t="n">
        <f aca="false">G445*H445</f>
        <v>50</v>
      </c>
    </row>
    <row r="446" customFormat="false" ht="15" hidden="false" customHeight="false" outlineLevel="0" collapsed="false">
      <c r="A446" s="6" t="n">
        <v>446</v>
      </c>
      <c r="B446" s="7" t="n">
        <v>45084</v>
      </c>
      <c r="C446" s="6" t="s">
        <v>492</v>
      </c>
      <c r="D446" s="6" t="s">
        <v>44</v>
      </c>
      <c r="E446" s="6" t="n">
        <v>21</v>
      </c>
      <c r="F446" s="6" t="s">
        <v>51</v>
      </c>
      <c r="G446" s="6" t="n">
        <v>1</v>
      </c>
      <c r="H446" s="8" t="n">
        <v>50</v>
      </c>
      <c r="I446" s="8" t="n">
        <f aca="false">G446*H446</f>
        <v>50</v>
      </c>
    </row>
    <row r="447" customFormat="false" ht="15" hidden="false" customHeight="false" outlineLevel="0" collapsed="false">
      <c r="A447" s="6" t="n">
        <v>187</v>
      </c>
      <c r="B447" s="7" t="n">
        <v>45084</v>
      </c>
      <c r="C447" s="6" t="s">
        <v>493</v>
      </c>
      <c r="D447" s="6" t="s">
        <v>49</v>
      </c>
      <c r="E447" s="6" t="n">
        <v>64</v>
      </c>
      <c r="F447" s="6" t="s">
        <v>47</v>
      </c>
      <c r="G447" s="6" t="n">
        <v>2</v>
      </c>
      <c r="H447" s="8" t="n">
        <v>50</v>
      </c>
      <c r="I447" s="8" t="n">
        <f aca="false">G447*H447</f>
        <v>100</v>
      </c>
    </row>
    <row r="448" customFormat="false" ht="15" hidden="false" customHeight="false" outlineLevel="0" collapsed="false">
      <c r="A448" s="6" t="n">
        <v>539</v>
      </c>
      <c r="B448" s="7" t="n">
        <v>45085</v>
      </c>
      <c r="C448" s="6" t="s">
        <v>494</v>
      </c>
      <c r="D448" s="6" t="s">
        <v>44</v>
      </c>
      <c r="E448" s="6" t="n">
        <v>25</v>
      </c>
      <c r="F448" s="6" t="s">
        <v>45</v>
      </c>
      <c r="G448" s="6" t="n">
        <v>1</v>
      </c>
      <c r="H448" s="8" t="n">
        <v>500</v>
      </c>
      <c r="I448" s="8" t="n">
        <f aca="false">G448*H448</f>
        <v>500</v>
      </c>
    </row>
    <row r="449" customFormat="false" ht="15" hidden="false" customHeight="false" outlineLevel="0" collapsed="false">
      <c r="A449" s="6" t="n">
        <v>587</v>
      </c>
      <c r="B449" s="7" t="n">
        <v>45085</v>
      </c>
      <c r="C449" s="6" t="s">
        <v>495</v>
      </c>
      <c r="D449" s="6" t="s">
        <v>49</v>
      </c>
      <c r="E449" s="6" t="n">
        <v>40</v>
      </c>
      <c r="F449" s="6" t="s">
        <v>45</v>
      </c>
      <c r="G449" s="6" t="n">
        <v>4</v>
      </c>
      <c r="H449" s="8" t="n">
        <v>300</v>
      </c>
      <c r="I449" s="8" t="n">
        <f aca="false">G449*H449</f>
        <v>1200</v>
      </c>
    </row>
    <row r="450" customFormat="false" ht="15" hidden="false" customHeight="false" outlineLevel="0" collapsed="false">
      <c r="A450" s="6" t="n">
        <v>769</v>
      </c>
      <c r="B450" s="7" t="n">
        <v>45086</v>
      </c>
      <c r="C450" s="6" t="s">
        <v>496</v>
      </c>
      <c r="D450" s="6" t="s">
        <v>49</v>
      </c>
      <c r="E450" s="6" t="n">
        <v>31</v>
      </c>
      <c r="F450" s="6" t="s">
        <v>51</v>
      </c>
      <c r="G450" s="6" t="n">
        <v>4</v>
      </c>
      <c r="H450" s="8" t="n">
        <v>30</v>
      </c>
      <c r="I450" s="8" t="n">
        <f aca="false">G450*H450</f>
        <v>120</v>
      </c>
    </row>
    <row r="451" customFormat="false" ht="15" hidden="false" customHeight="false" outlineLevel="0" collapsed="false">
      <c r="A451" s="6" t="n">
        <v>765</v>
      </c>
      <c r="B451" s="7" t="n">
        <v>45086</v>
      </c>
      <c r="C451" s="6" t="s">
        <v>497</v>
      </c>
      <c r="D451" s="6" t="s">
        <v>44</v>
      </c>
      <c r="E451" s="6" t="n">
        <v>43</v>
      </c>
      <c r="F451" s="6" t="s">
        <v>47</v>
      </c>
      <c r="G451" s="6" t="n">
        <v>4</v>
      </c>
      <c r="H451" s="8" t="n">
        <v>50</v>
      </c>
      <c r="I451" s="8" t="n">
        <f aca="false">G451*H451</f>
        <v>200</v>
      </c>
    </row>
    <row r="452" customFormat="false" ht="15" hidden="false" customHeight="false" outlineLevel="0" collapsed="false">
      <c r="A452" s="6" t="n">
        <v>212</v>
      </c>
      <c r="B452" s="7" t="n">
        <v>45086</v>
      </c>
      <c r="C452" s="6" t="s">
        <v>498</v>
      </c>
      <c r="D452" s="6" t="s">
        <v>44</v>
      </c>
      <c r="E452" s="6" t="n">
        <v>21</v>
      </c>
      <c r="F452" s="6" t="s">
        <v>47</v>
      </c>
      <c r="G452" s="6" t="n">
        <v>3</v>
      </c>
      <c r="H452" s="8" t="n">
        <v>500</v>
      </c>
      <c r="I452" s="8" t="n">
        <f aca="false">G452*H452</f>
        <v>1500</v>
      </c>
    </row>
    <row r="453" customFormat="false" ht="15" hidden="false" customHeight="false" outlineLevel="0" collapsed="false">
      <c r="A453" s="6" t="n">
        <v>510</v>
      </c>
      <c r="B453" s="7" t="n">
        <v>45087</v>
      </c>
      <c r="C453" s="6" t="s">
        <v>499</v>
      </c>
      <c r="D453" s="6" t="s">
        <v>49</v>
      </c>
      <c r="E453" s="6" t="n">
        <v>39</v>
      </c>
      <c r="F453" s="6" t="s">
        <v>45</v>
      </c>
      <c r="G453" s="6" t="n">
        <v>4</v>
      </c>
      <c r="H453" s="8" t="n">
        <v>50</v>
      </c>
      <c r="I453" s="8" t="n">
        <f aca="false">G453*H453</f>
        <v>200</v>
      </c>
    </row>
    <row r="454" customFormat="false" ht="15" hidden="false" customHeight="false" outlineLevel="0" collapsed="false">
      <c r="A454" s="6" t="n">
        <v>356</v>
      </c>
      <c r="B454" s="7" t="n">
        <v>45087</v>
      </c>
      <c r="C454" s="6" t="s">
        <v>500</v>
      </c>
      <c r="D454" s="6" t="s">
        <v>44</v>
      </c>
      <c r="E454" s="6" t="n">
        <v>50</v>
      </c>
      <c r="F454" s="6" t="s">
        <v>51</v>
      </c>
      <c r="G454" s="6" t="n">
        <v>3</v>
      </c>
      <c r="H454" s="8" t="n">
        <v>500</v>
      </c>
      <c r="I454" s="8" t="n">
        <f aca="false">G454*H454</f>
        <v>1500</v>
      </c>
    </row>
    <row r="455" customFormat="false" ht="15" hidden="false" customHeight="false" outlineLevel="0" collapsed="false">
      <c r="A455" s="6" t="n">
        <v>321</v>
      </c>
      <c r="B455" s="7" t="n">
        <v>45087</v>
      </c>
      <c r="C455" s="6" t="s">
        <v>501</v>
      </c>
      <c r="D455" s="6" t="s">
        <v>49</v>
      </c>
      <c r="E455" s="6" t="n">
        <v>26</v>
      </c>
      <c r="F455" s="6" t="s">
        <v>51</v>
      </c>
      <c r="G455" s="6" t="n">
        <v>2</v>
      </c>
      <c r="H455" s="8" t="n">
        <v>25</v>
      </c>
      <c r="I455" s="8" t="n">
        <f aca="false">G455*H455</f>
        <v>50</v>
      </c>
    </row>
    <row r="456" customFormat="false" ht="15" hidden="false" customHeight="false" outlineLevel="0" collapsed="false">
      <c r="A456" s="6" t="n">
        <v>534</v>
      </c>
      <c r="B456" s="7" t="n">
        <v>45087</v>
      </c>
      <c r="C456" s="6" t="s">
        <v>502</v>
      </c>
      <c r="D456" s="6" t="s">
        <v>44</v>
      </c>
      <c r="E456" s="6" t="n">
        <v>45</v>
      </c>
      <c r="F456" s="6" t="s">
        <v>47</v>
      </c>
      <c r="G456" s="6" t="n">
        <v>2</v>
      </c>
      <c r="H456" s="8" t="n">
        <v>500</v>
      </c>
      <c r="I456" s="8" t="n">
        <f aca="false">G456*H456</f>
        <v>1000</v>
      </c>
    </row>
    <row r="457" customFormat="false" ht="15" hidden="false" customHeight="false" outlineLevel="0" collapsed="false">
      <c r="A457" s="6" t="n">
        <v>352</v>
      </c>
      <c r="B457" s="7" t="n">
        <v>45088</v>
      </c>
      <c r="C457" s="6" t="s">
        <v>503</v>
      </c>
      <c r="D457" s="6" t="s">
        <v>44</v>
      </c>
      <c r="E457" s="6" t="n">
        <v>57</v>
      </c>
      <c r="F457" s="6" t="s">
        <v>51</v>
      </c>
      <c r="G457" s="6" t="n">
        <v>2</v>
      </c>
      <c r="H457" s="8" t="n">
        <v>500</v>
      </c>
      <c r="I457" s="8" t="n">
        <f aca="false">G457*H457</f>
        <v>1000</v>
      </c>
    </row>
    <row r="458" customFormat="false" ht="15" hidden="false" customHeight="false" outlineLevel="0" collapsed="false">
      <c r="A458" s="6" t="n">
        <v>365</v>
      </c>
      <c r="B458" s="7" t="n">
        <v>45088</v>
      </c>
      <c r="C458" s="6" t="s">
        <v>504</v>
      </c>
      <c r="D458" s="6" t="s">
        <v>44</v>
      </c>
      <c r="E458" s="6" t="n">
        <v>31</v>
      </c>
      <c r="F458" s="6" t="s">
        <v>47</v>
      </c>
      <c r="G458" s="6" t="n">
        <v>1</v>
      </c>
      <c r="H458" s="8" t="n">
        <v>300</v>
      </c>
      <c r="I458" s="8" t="n">
        <f aca="false">G458*H458</f>
        <v>300</v>
      </c>
    </row>
    <row r="459" customFormat="false" ht="15" hidden="false" customHeight="false" outlineLevel="0" collapsed="false">
      <c r="A459" s="6" t="n">
        <v>110</v>
      </c>
      <c r="B459" s="7" t="n">
        <v>45088</v>
      </c>
      <c r="C459" s="6" t="s">
        <v>505</v>
      </c>
      <c r="D459" s="6" t="s">
        <v>44</v>
      </c>
      <c r="E459" s="6" t="n">
        <v>27</v>
      </c>
      <c r="F459" s="6" t="s">
        <v>47</v>
      </c>
      <c r="G459" s="6" t="n">
        <v>3</v>
      </c>
      <c r="H459" s="8" t="n">
        <v>300</v>
      </c>
      <c r="I459" s="8" t="n">
        <f aca="false">G459*H459</f>
        <v>900</v>
      </c>
    </row>
    <row r="460" customFormat="false" ht="15" hidden="false" customHeight="false" outlineLevel="0" collapsed="false">
      <c r="A460" s="6" t="n">
        <v>887</v>
      </c>
      <c r="B460" s="7" t="n">
        <v>45088</v>
      </c>
      <c r="C460" s="6" t="s">
        <v>506</v>
      </c>
      <c r="D460" s="6" t="s">
        <v>44</v>
      </c>
      <c r="E460" s="6" t="n">
        <v>59</v>
      </c>
      <c r="F460" s="6" t="s">
        <v>47</v>
      </c>
      <c r="G460" s="6" t="n">
        <v>4</v>
      </c>
      <c r="H460" s="8" t="n">
        <v>25</v>
      </c>
      <c r="I460" s="8" t="n">
        <f aca="false">G460*H460</f>
        <v>100</v>
      </c>
    </row>
    <row r="461" customFormat="false" ht="15" hidden="false" customHeight="false" outlineLevel="0" collapsed="false">
      <c r="A461" s="6" t="n">
        <v>104</v>
      </c>
      <c r="B461" s="7" t="n">
        <v>45088</v>
      </c>
      <c r="C461" s="6" t="s">
        <v>507</v>
      </c>
      <c r="D461" s="6" t="s">
        <v>49</v>
      </c>
      <c r="E461" s="6" t="n">
        <v>34</v>
      </c>
      <c r="F461" s="6" t="s">
        <v>45</v>
      </c>
      <c r="G461" s="6" t="n">
        <v>2</v>
      </c>
      <c r="H461" s="8" t="n">
        <v>500</v>
      </c>
      <c r="I461" s="8" t="n">
        <f aca="false">G461*H461</f>
        <v>1000</v>
      </c>
    </row>
    <row r="462" customFormat="false" ht="15" hidden="false" customHeight="false" outlineLevel="0" collapsed="false">
      <c r="A462" s="6" t="n">
        <v>629</v>
      </c>
      <c r="B462" s="7" t="n">
        <v>45089</v>
      </c>
      <c r="C462" s="6" t="s">
        <v>508</v>
      </c>
      <c r="D462" s="6" t="s">
        <v>44</v>
      </c>
      <c r="E462" s="6" t="n">
        <v>62</v>
      </c>
      <c r="F462" s="6" t="s">
        <v>51</v>
      </c>
      <c r="G462" s="6" t="n">
        <v>2</v>
      </c>
      <c r="H462" s="8" t="n">
        <v>25</v>
      </c>
      <c r="I462" s="8" t="n">
        <f aca="false">G462*H462</f>
        <v>50</v>
      </c>
    </row>
    <row r="463" customFormat="false" ht="15" hidden="false" customHeight="false" outlineLevel="0" collapsed="false">
      <c r="A463" s="6" t="n">
        <v>655</v>
      </c>
      <c r="B463" s="7" t="n">
        <v>45090</v>
      </c>
      <c r="C463" s="6" t="s">
        <v>509</v>
      </c>
      <c r="D463" s="6" t="s">
        <v>49</v>
      </c>
      <c r="E463" s="6" t="n">
        <v>55</v>
      </c>
      <c r="F463" s="6" t="s">
        <v>47</v>
      </c>
      <c r="G463" s="6" t="n">
        <v>1</v>
      </c>
      <c r="H463" s="8" t="n">
        <v>500</v>
      </c>
      <c r="I463" s="8" t="n">
        <f aca="false">G463*H463</f>
        <v>500</v>
      </c>
    </row>
    <row r="464" customFormat="false" ht="15" hidden="false" customHeight="false" outlineLevel="0" collapsed="false">
      <c r="A464" s="6" t="n">
        <v>567</v>
      </c>
      <c r="B464" s="7" t="n">
        <v>45091</v>
      </c>
      <c r="C464" s="6" t="s">
        <v>510</v>
      </c>
      <c r="D464" s="6" t="s">
        <v>49</v>
      </c>
      <c r="E464" s="6" t="n">
        <v>25</v>
      </c>
      <c r="F464" s="6" t="s">
        <v>47</v>
      </c>
      <c r="G464" s="6" t="n">
        <v>3</v>
      </c>
      <c r="H464" s="8" t="n">
        <v>300</v>
      </c>
      <c r="I464" s="8" t="n">
        <f aca="false">G464*H464</f>
        <v>900</v>
      </c>
    </row>
    <row r="465" customFormat="false" ht="15" hidden="false" customHeight="false" outlineLevel="0" collapsed="false">
      <c r="A465" s="6" t="n">
        <v>182</v>
      </c>
      <c r="B465" s="7" t="n">
        <v>45092</v>
      </c>
      <c r="C465" s="6" t="s">
        <v>511</v>
      </c>
      <c r="D465" s="6" t="s">
        <v>44</v>
      </c>
      <c r="E465" s="6" t="n">
        <v>62</v>
      </c>
      <c r="F465" s="6" t="s">
        <v>45</v>
      </c>
      <c r="G465" s="6" t="n">
        <v>4</v>
      </c>
      <c r="H465" s="8" t="n">
        <v>30</v>
      </c>
      <c r="I465" s="8" t="n">
        <f aca="false">G465*H465</f>
        <v>120</v>
      </c>
    </row>
    <row r="466" customFormat="false" ht="15" hidden="false" customHeight="false" outlineLevel="0" collapsed="false">
      <c r="A466" s="6" t="n">
        <v>819</v>
      </c>
      <c r="B466" s="7" t="n">
        <v>45092</v>
      </c>
      <c r="C466" s="6" t="s">
        <v>512</v>
      </c>
      <c r="D466" s="6" t="s">
        <v>49</v>
      </c>
      <c r="E466" s="6" t="n">
        <v>35</v>
      </c>
      <c r="F466" s="6" t="s">
        <v>45</v>
      </c>
      <c r="G466" s="6" t="n">
        <v>2</v>
      </c>
      <c r="H466" s="8" t="n">
        <v>50</v>
      </c>
      <c r="I466" s="8" t="n">
        <f aca="false">G466*H466</f>
        <v>100</v>
      </c>
    </row>
    <row r="467" customFormat="false" ht="15" hidden="false" customHeight="false" outlineLevel="0" collapsed="false">
      <c r="A467" s="6" t="n">
        <v>833</v>
      </c>
      <c r="B467" s="7" t="n">
        <v>45093</v>
      </c>
      <c r="C467" s="6" t="s">
        <v>513</v>
      </c>
      <c r="D467" s="6" t="s">
        <v>44</v>
      </c>
      <c r="E467" s="6" t="n">
        <v>42</v>
      </c>
      <c r="F467" s="6" t="s">
        <v>45</v>
      </c>
      <c r="G467" s="6" t="n">
        <v>4</v>
      </c>
      <c r="H467" s="8" t="n">
        <v>50</v>
      </c>
      <c r="I467" s="8" t="n">
        <f aca="false">G467*H467</f>
        <v>200</v>
      </c>
    </row>
    <row r="468" customFormat="false" ht="15" hidden="false" customHeight="false" outlineLevel="0" collapsed="false">
      <c r="A468" s="6" t="n">
        <v>100</v>
      </c>
      <c r="B468" s="7" t="n">
        <v>45093</v>
      </c>
      <c r="C468" s="6" t="s">
        <v>514</v>
      </c>
      <c r="D468" s="6" t="s">
        <v>44</v>
      </c>
      <c r="E468" s="6" t="n">
        <v>41</v>
      </c>
      <c r="F468" s="6" t="s">
        <v>51</v>
      </c>
      <c r="G468" s="6" t="n">
        <v>1</v>
      </c>
      <c r="H468" s="8" t="n">
        <v>30</v>
      </c>
      <c r="I468" s="8" t="n">
        <f aca="false">G468*H468</f>
        <v>30</v>
      </c>
    </row>
    <row r="469" customFormat="false" ht="15" hidden="false" customHeight="false" outlineLevel="0" collapsed="false">
      <c r="A469" s="6" t="n">
        <v>723</v>
      </c>
      <c r="B469" s="7" t="n">
        <v>45094</v>
      </c>
      <c r="C469" s="6" t="s">
        <v>515</v>
      </c>
      <c r="D469" s="6" t="s">
        <v>49</v>
      </c>
      <c r="E469" s="6" t="n">
        <v>54</v>
      </c>
      <c r="F469" s="6" t="s">
        <v>45</v>
      </c>
      <c r="G469" s="6" t="n">
        <v>4</v>
      </c>
      <c r="H469" s="8" t="n">
        <v>50</v>
      </c>
      <c r="I469" s="8" t="n">
        <f aca="false">G469*H469</f>
        <v>200</v>
      </c>
    </row>
    <row r="470" customFormat="false" ht="15" hidden="false" customHeight="false" outlineLevel="0" collapsed="false">
      <c r="A470" s="6" t="n">
        <v>542</v>
      </c>
      <c r="B470" s="7" t="n">
        <v>45094</v>
      </c>
      <c r="C470" s="6" t="s">
        <v>516</v>
      </c>
      <c r="D470" s="6" t="s">
        <v>49</v>
      </c>
      <c r="E470" s="6" t="n">
        <v>20</v>
      </c>
      <c r="F470" s="6" t="s">
        <v>45</v>
      </c>
      <c r="G470" s="6" t="n">
        <v>1</v>
      </c>
      <c r="H470" s="8" t="n">
        <v>50</v>
      </c>
      <c r="I470" s="8" t="n">
        <f aca="false">G470*H470</f>
        <v>50</v>
      </c>
    </row>
    <row r="471" customFormat="false" ht="15" hidden="false" customHeight="false" outlineLevel="0" collapsed="false">
      <c r="A471" s="6" t="n">
        <v>726</v>
      </c>
      <c r="B471" s="7" t="n">
        <v>45094</v>
      </c>
      <c r="C471" s="6" t="s">
        <v>517</v>
      </c>
      <c r="D471" s="6" t="s">
        <v>44</v>
      </c>
      <c r="E471" s="6" t="n">
        <v>47</v>
      </c>
      <c r="F471" s="6" t="s">
        <v>47</v>
      </c>
      <c r="G471" s="6" t="n">
        <v>4</v>
      </c>
      <c r="H471" s="8" t="n">
        <v>300</v>
      </c>
      <c r="I471" s="8" t="n">
        <f aca="false">G471*H471</f>
        <v>1200</v>
      </c>
    </row>
    <row r="472" customFormat="false" ht="15" hidden="false" customHeight="false" outlineLevel="0" collapsed="false">
      <c r="A472" s="6" t="n">
        <v>488</v>
      </c>
      <c r="B472" s="7" t="n">
        <v>45095</v>
      </c>
      <c r="C472" s="6" t="s">
        <v>518</v>
      </c>
      <c r="D472" s="6" t="s">
        <v>49</v>
      </c>
      <c r="E472" s="6" t="n">
        <v>51</v>
      </c>
      <c r="F472" s="6" t="s">
        <v>51</v>
      </c>
      <c r="G472" s="6" t="n">
        <v>3</v>
      </c>
      <c r="H472" s="8" t="n">
        <v>300</v>
      </c>
      <c r="I472" s="8" t="n">
        <f aca="false">G472*H472</f>
        <v>900</v>
      </c>
    </row>
    <row r="473" customFormat="false" ht="15" hidden="false" customHeight="false" outlineLevel="0" collapsed="false">
      <c r="A473" s="6" t="n">
        <v>532</v>
      </c>
      <c r="B473" s="7" t="n">
        <v>45096</v>
      </c>
      <c r="C473" s="6" t="s">
        <v>519</v>
      </c>
      <c r="D473" s="6" t="s">
        <v>49</v>
      </c>
      <c r="E473" s="6" t="n">
        <v>64</v>
      </c>
      <c r="F473" s="6" t="s">
        <v>47</v>
      </c>
      <c r="G473" s="6" t="n">
        <v>4</v>
      </c>
      <c r="H473" s="8" t="n">
        <v>30</v>
      </c>
      <c r="I473" s="8" t="n">
        <f aca="false">G473*H473</f>
        <v>120</v>
      </c>
    </row>
    <row r="474" customFormat="false" ht="15" hidden="false" customHeight="false" outlineLevel="0" collapsed="false">
      <c r="A474" s="6" t="n">
        <v>669</v>
      </c>
      <c r="B474" s="7" t="n">
        <v>45096</v>
      </c>
      <c r="C474" s="6" t="s">
        <v>520</v>
      </c>
      <c r="D474" s="6" t="s">
        <v>44</v>
      </c>
      <c r="E474" s="6" t="n">
        <v>24</v>
      </c>
      <c r="F474" s="6" t="s">
        <v>45</v>
      </c>
      <c r="G474" s="6" t="n">
        <v>4</v>
      </c>
      <c r="H474" s="8" t="n">
        <v>300</v>
      </c>
      <c r="I474" s="8" t="n">
        <f aca="false">G474*H474</f>
        <v>1200</v>
      </c>
    </row>
    <row r="475" customFormat="false" ht="15" hidden="false" customHeight="false" outlineLevel="0" collapsed="false">
      <c r="A475" s="6" t="n">
        <v>877</v>
      </c>
      <c r="B475" s="7" t="n">
        <v>45096</v>
      </c>
      <c r="C475" s="6" t="s">
        <v>521</v>
      </c>
      <c r="D475" s="6" t="s">
        <v>49</v>
      </c>
      <c r="E475" s="6" t="n">
        <v>58</v>
      </c>
      <c r="F475" s="6" t="s">
        <v>47</v>
      </c>
      <c r="G475" s="6" t="n">
        <v>1</v>
      </c>
      <c r="H475" s="8" t="n">
        <v>25</v>
      </c>
      <c r="I475" s="8" t="n">
        <f aca="false">G475*H475</f>
        <v>25</v>
      </c>
    </row>
    <row r="476" customFormat="false" ht="15" hidden="false" customHeight="false" outlineLevel="0" collapsed="false">
      <c r="A476" s="6" t="n">
        <v>239</v>
      </c>
      <c r="B476" s="7" t="n">
        <v>45096</v>
      </c>
      <c r="C476" s="6" t="s">
        <v>522</v>
      </c>
      <c r="D476" s="6" t="s">
        <v>44</v>
      </c>
      <c r="E476" s="6" t="n">
        <v>38</v>
      </c>
      <c r="F476" s="6" t="s">
        <v>51</v>
      </c>
      <c r="G476" s="6" t="n">
        <v>3</v>
      </c>
      <c r="H476" s="8" t="n">
        <v>500</v>
      </c>
      <c r="I476" s="8" t="n">
        <f aca="false">G476*H476</f>
        <v>1500</v>
      </c>
    </row>
    <row r="477" customFormat="false" ht="15" hidden="false" customHeight="false" outlineLevel="0" collapsed="false">
      <c r="A477" s="6" t="n">
        <v>498</v>
      </c>
      <c r="B477" s="7" t="n">
        <v>45096</v>
      </c>
      <c r="C477" s="6" t="s">
        <v>523</v>
      </c>
      <c r="D477" s="6" t="s">
        <v>49</v>
      </c>
      <c r="E477" s="6" t="n">
        <v>50</v>
      </c>
      <c r="F477" s="6" t="s">
        <v>47</v>
      </c>
      <c r="G477" s="6" t="n">
        <v>4</v>
      </c>
      <c r="H477" s="8" t="n">
        <v>25</v>
      </c>
      <c r="I477" s="8" t="n">
        <f aca="false">G477*H477</f>
        <v>100</v>
      </c>
    </row>
    <row r="478" customFormat="false" ht="15" hidden="false" customHeight="false" outlineLevel="0" collapsed="false">
      <c r="A478" s="6" t="n">
        <v>422</v>
      </c>
      <c r="B478" s="7" t="n">
        <v>45097</v>
      </c>
      <c r="C478" s="6" t="s">
        <v>524</v>
      </c>
      <c r="D478" s="6" t="s">
        <v>49</v>
      </c>
      <c r="E478" s="6" t="n">
        <v>28</v>
      </c>
      <c r="F478" s="6" t="s">
        <v>47</v>
      </c>
      <c r="G478" s="6" t="n">
        <v>3</v>
      </c>
      <c r="H478" s="8" t="n">
        <v>30</v>
      </c>
      <c r="I478" s="8" t="n">
        <f aca="false">G478*H478</f>
        <v>90</v>
      </c>
    </row>
    <row r="479" customFormat="false" ht="15" hidden="false" customHeight="false" outlineLevel="0" collapsed="false">
      <c r="A479" s="6" t="n">
        <v>466</v>
      </c>
      <c r="B479" s="7" t="n">
        <v>45097</v>
      </c>
      <c r="C479" s="6" t="s">
        <v>525</v>
      </c>
      <c r="D479" s="6" t="s">
        <v>44</v>
      </c>
      <c r="E479" s="6" t="n">
        <v>63</v>
      </c>
      <c r="F479" s="6" t="s">
        <v>51</v>
      </c>
      <c r="G479" s="6" t="n">
        <v>4</v>
      </c>
      <c r="H479" s="8" t="n">
        <v>25</v>
      </c>
      <c r="I479" s="8" t="n">
        <f aca="false">G479*H479</f>
        <v>100</v>
      </c>
    </row>
    <row r="480" customFormat="false" ht="15" hidden="false" customHeight="false" outlineLevel="0" collapsed="false">
      <c r="A480" s="6" t="n">
        <v>583</v>
      </c>
      <c r="B480" s="7" t="n">
        <v>45098</v>
      </c>
      <c r="C480" s="6" t="s">
        <v>526</v>
      </c>
      <c r="D480" s="6" t="s">
        <v>49</v>
      </c>
      <c r="E480" s="6" t="n">
        <v>24</v>
      </c>
      <c r="F480" s="6" t="s">
        <v>51</v>
      </c>
      <c r="G480" s="6" t="n">
        <v>4</v>
      </c>
      <c r="H480" s="8" t="n">
        <v>25</v>
      </c>
      <c r="I480" s="8" t="n">
        <f aca="false">G480*H480</f>
        <v>100</v>
      </c>
    </row>
    <row r="481" customFormat="false" ht="15" hidden="false" customHeight="false" outlineLevel="0" collapsed="false">
      <c r="A481" s="6" t="n">
        <v>654</v>
      </c>
      <c r="B481" s="7" t="n">
        <v>45098</v>
      </c>
      <c r="C481" s="6" t="s">
        <v>527</v>
      </c>
      <c r="D481" s="6" t="s">
        <v>44</v>
      </c>
      <c r="E481" s="6" t="n">
        <v>42</v>
      </c>
      <c r="F481" s="6" t="s">
        <v>47</v>
      </c>
      <c r="G481" s="6" t="n">
        <v>3</v>
      </c>
      <c r="H481" s="8" t="n">
        <v>25</v>
      </c>
      <c r="I481" s="8" t="n">
        <f aca="false">G481*H481</f>
        <v>75</v>
      </c>
    </row>
    <row r="482" customFormat="false" ht="15" hidden="false" customHeight="false" outlineLevel="0" collapsed="false">
      <c r="A482" s="6" t="n">
        <v>727</v>
      </c>
      <c r="B482" s="7" t="n">
        <v>45099</v>
      </c>
      <c r="C482" s="6" t="s">
        <v>528</v>
      </c>
      <c r="D482" s="6" t="s">
        <v>44</v>
      </c>
      <c r="E482" s="6" t="n">
        <v>55</v>
      </c>
      <c r="F482" s="6" t="s">
        <v>45</v>
      </c>
      <c r="G482" s="6" t="n">
        <v>3</v>
      </c>
      <c r="H482" s="8" t="n">
        <v>300</v>
      </c>
      <c r="I482" s="8" t="n">
        <f aca="false">G482*H482</f>
        <v>900</v>
      </c>
    </row>
    <row r="483" customFormat="false" ht="15" hidden="false" customHeight="false" outlineLevel="0" collapsed="false">
      <c r="A483" s="6" t="n">
        <v>830</v>
      </c>
      <c r="B483" s="7" t="n">
        <v>45099</v>
      </c>
      <c r="C483" s="6" t="s">
        <v>529</v>
      </c>
      <c r="D483" s="6" t="s">
        <v>49</v>
      </c>
      <c r="E483" s="6" t="n">
        <v>64</v>
      </c>
      <c r="F483" s="6" t="s">
        <v>47</v>
      </c>
      <c r="G483" s="6" t="n">
        <v>3</v>
      </c>
      <c r="H483" s="8" t="n">
        <v>50</v>
      </c>
      <c r="I483" s="8" t="n">
        <f aca="false">G483*H483</f>
        <v>150</v>
      </c>
    </row>
    <row r="484" customFormat="false" ht="15" hidden="false" customHeight="false" outlineLevel="0" collapsed="false">
      <c r="A484" s="6" t="n">
        <v>40</v>
      </c>
      <c r="B484" s="7" t="n">
        <v>45099</v>
      </c>
      <c r="C484" s="6" t="s">
        <v>530</v>
      </c>
      <c r="D484" s="6" t="s">
        <v>44</v>
      </c>
      <c r="E484" s="6" t="n">
        <v>45</v>
      </c>
      <c r="F484" s="6" t="s">
        <v>45</v>
      </c>
      <c r="G484" s="6" t="n">
        <v>1</v>
      </c>
      <c r="H484" s="8" t="n">
        <v>50</v>
      </c>
      <c r="I484" s="8" t="n">
        <f aca="false">G484*H484</f>
        <v>50</v>
      </c>
    </row>
    <row r="485" customFormat="false" ht="15" hidden="false" customHeight="false" outlineLevel="0" collapsed="false">
      <c r="A485" s="6" t="n">
        <v>699</v>
      </c>
      <c r="B485" s="7" t="n">
        <v>45099</v>
      </c>
      <c r="C485" s="6" t="s">
        <v>531</v>
      </c>
      <c r="D485" s="6" t="s">
        <v>49</v>
      </c>
      <c r="E485" s="6" t="n">
        <v>37</v>
      </c>
      <c r="F485" s="6" t="s">
        <v>47</v>
      </c>
      <c r="G485" s="6" t="n">
        <v>4</v>
      </c>
      <c r="H485" s="8" t="n">
        <v>30</v>
      </c>
      <c r="I485" s="8" t="n">
        <f aca="false">G485*H485</f>
        <v>120</v>
      </c>
    </row>
    <row r="486" customFormat="false" ht="15" hidden="false" customHeight="false" outlineLevel="0" collapsed="false">
      <c r="A486" s="6" t="n">
        <v>271</v>
      </c>
      <c r="B486" s="7" t="n">
        <v>45100</v>
      </c>
      <c r="C486" s="6" t="s">
        <v>532</v>
      </c>
      <c r="D486" s="6" t="s">
        <v>49</v>
      </c>
      <c r="E486" s="6" t="n">
        <v>62</v>
      </c>
      <c r="F486" s="6" t="s">
        <v>45</v>
      </c>
      <c r="G486" s="6" t="n">
        <v>4</v>
      </c>
      <c r="H486" s="8" t="n">
        <v>30</v>
      </c>
      <c r="I486" s="8" t="n">
        <f aca="false">G486*H486</f>
        <v>120</v>
      </c>
    </row>
    <row r="487" customFormat="false" ht="15" hidden="false" customHeight="false" outlineLevel="0" collapsed="false">
      <c r="A487" s="6" t="n">
        <v>224</v>
      </c>
      <c r="B487" s="7" t="n">
        <v>45100</v>
      </c>
      <c r="C487" s="6" t="s">
        <v>533</v>
      </c>
      <c r="D487" s="6" t="s">
        <v>49</v>
      </c>
      <c r="E487" s="6" t="n">
        <v>25</v>
      </c>
      <c r="F487" s="6" t="s">
        <v>47</v>
      </c>
      <c r="G487" s="6" t="n">
        <v>1</v>
      </c>
      <c r="H487" s="8" t="n">
        <v>50</v>
      </c>
      <c r="I487" s="8" t="n">
        <f aca="false">G487*H487</f>
        <v>50</v>
      </c>
    </row>
    <row r="488" customFormat="false" ht="15" hidden="false" customHeight="false" outlineLevel="0" collapsed="false">
      <c r="A488" s="6" t="n">
        <v>36</v>
      </c>
      <c r="B488" s="7" t="n">
        <v>45101</v>
      </c>
      <c r="C488" s="6" t="s">
        <v>534</v>
      </c>
      <c r="D488" s="6" t="s">
        <v>44</v>
      </c>
      <c r="E488" s="6" t="n">
        <v>52</v>
      </c>
      <c r="F488" s="6" t="s">
        <v>45</v>
      </c>
      <c r="G488" s="6" t="n">
        <v>3</v>
      </c>
      <c r="H488" s="8" t="n">
        <v>300</v>
      </c>
      <c r="I488" s="8" t="n">
        <f aca="false">G488*H488</f>
        <v>900</v>
      </c>
    </row>
    <row r="489" customFormat="false" ht="15" hidden="false" customHeight="false" outlineLevel="0" collapsed="false">
      <c r="A489" s="6" t="n">
        <v>157</v>
      </c>
      <c r="B489" s="7" t="n">
        <v>45101</v>
      </c>
      <c r="C489" s="6" t="s">
        <v>535</v>
      </c>
      <c r="D489" s="6" t="s">
        <v>44</v>
      </c>
      <c r="E489" s="6" t="n">
        <v>62</v>
      </c>
      <c r="F489" s="6" t="s">
        <v>51</v>
      </c>
      <c r="G489" s="6" t="n">
        <v>4</v>
      </c>
      <c r="H489" s="8" t="n">
        <v>500</v>
      </c>
      <c r="I489" s="8" t="n">
        <f aca="false">G489*H489</f>
        <v>2000</v>
      </c>
    </row>
    <row r="490" customFormat="false" ht="15" hidden="false" customHeight="false" outlineLevel="0" collapsed="false">
      <c r="A490" s="6" t="n">
        <v>839</v>
      </c>
      <c r="B490" s="7" t="n">
        <v>45101</v>
      </c>
      <c r="C490" s="6" t="s">
        <v>536</v>
      </c>
      <c r="D490" s="6" t="s">
        <v>49</v>
      </c>
      <c r="E490" s="6" t="n">
        <v>20</v>
      </c>
      <c r="F490" s="6" t="s">
        <v>51</v>
      </c>
      <c r="G490" s="6" t="n">
        <v>4</v>
      </c>
      <c r="H490" s="8" t="n">
        <v>300</v>
      </c>
      <c r="I490" s="8" t="n">
        <f aca="false">G490*H490</f>
        <v>1200</v>
      </c>
    </row>
    <row r="491" customFormat="false" ht="15" hidden="false" customHeight="false" outlineLevel="0" collapsed="false">
      <c r="A491" s="6" t="n">
        <v>796</v>
      </c>
      <c r="B491" s="7" t="n">
        <v>45101</v>
      </c>
      <c r="C491" s="6" t="s">
        <v>537</v>
      </c>
      <c r="D491" s="6" t="s">
        <v>44</v>
      </c>
      <c r="E491" s="6" t="n">
        <v>43</v>
      </c>
      <c r="F491" s="6" t="s">
        <v>45</v>
      </c>
      <c r="G491" s="6" t="n">
        <v>4</v>
      </c>
      <c r="H491" s="8" t="n">
        <v>30</v>
      </c>
      <c r="I491" s="8" t="n">
        <f aca="false">G491*H491</f>
        <v>120</v>
      </c>
    </row>
    <row r="492" customFormat="false" ht="15" hidden="false" customHeight="false" outlineLevel="0" collapsed="false">
      <c r="A492" s="6" t="n">
        <v>927</v>
      </c>
      <c r="B492" s="7" t="n">
        <v>45101</v>
      </c>
      <c r="C492" s="6" t="s">
        <v>538</v>
      </c>
      <c r="D492" s="6" t="s">
        <v>44</v>
      </c>
      <c r="E492" s="6" t="n">
        <v>43</v>
      </c>
      <c r="F492" s="6" t="s">
        <v>51</v>
      </c>
      <c r="G492" s="6" t="n">
        <v>4</v>
      </c>
      <c r="H492" s="8" t="n">
        <v>500</v>
      </c>
      <c r="I492" s="8" t="n">
        <f aca="false">G492*H492</f>
        <v>2000</v>
      </c>
    </row>
    <row r="493" customFormat="false" ht="15" hidden="false" customHeight="false" outlineLevel="0" collapsed="false">
      <c r="A493" s="6" t="n">
        <v>407</v>
      </c>
      <c r="B493" s="7" t="n">
        <v>45102</v>
      </c>
      <c r="C493" s="6" t="s">
        <v>539</v>
      </c>
      <c r="D493" s="6" t="s">
        <v>49</v>
      </c>
      <c r="E493" s="6" t="n">
        <v>46</v>
      </c>
      <c r="F493" s="6" t="s">
        <v>51</v>
      </c>
      <c r="G493" s="6" t="n">
        <v>3</v>
      </c>
      <c r="H493" s="8" t="n">
        <v>300</v>
      </c>
      <c r="I493" s="8" t="n">
        <f aca="false">G493*H493</f>
        <v>900</v>
      </c>
    </row>
    <row r="494" customFormat="false" ht="15" hidden="false" customHeight="false" outlineLevel="0" collapsed="false">
      <c r="A494" s="6" t="n">
        <v>874</v>
      </c>
      <c r="B494" s="7" t="n">
        <v>45103</v>
      </c>
      <c r="C494" s="6" t="s">
        <v>540</v>
      </c>
      <c r="D494" s="6" t="s">
        <v>44</v>
      </c>
      <c r="E494" s="6" t="n">
        <v>60</v>
      </c>
      <c r="F494" s="6" t="s">
        <v>45</v>
      </c>
      <c r="G494" s="6" t="n">
        <v>1</v>
      </c>
      <c r="H494" s="8" t="n">
        <v>30</v>
      </c>
      <c r="I494" s="8" t="n">
        <f aca="false">G494*H494</f>
        <v>30</v>
      </c>
    </row>
    <row r="495" customFormat="false" ht="15" hidden="false" customHeight="false" outlineLevel="0" collapsed="false">
      <c r="A495" s="6" t="n">
        <v>46</v>
      </c>
      <c r="B495" s="7" t="n">
        <v>45103</v>
      </c>
      <c r="C495" s="6" t="s">
        <v>541</v>
      </c>
      <c r="D495" s="6" t="s">
        <v>49</v>
      </c>
      <c r="E495" s="6" t="n">
        <v>20</v>
      </c>
      <c r="F495" s="6" t="s">
        <v>51</v>
      </c>
      <c r="G495" s="6" t="n">
        <v>4</v>
      </c>
      <c r="H495" s="8" t="n">
        <v>300</v>
      </c>
      <c r="I495" s="8" t="n">
        <f aca="false">G495*H495</f>
        <v>1200</v>
      </c>
    </row>
    <row r="496" customFormat="false" ht="15" hidden="false" customHeight="false" outlineLevel="0" collapsed="false">
      <c r="A496" s="6" t="n">
        <v>509</v>
      </c>
      <c r="B496" s="7" t="n">
        <v>45103</v>
      </c>
      <c r="C496" s="6" t="s">
        <v>542</v>
      </c>
      <c r="D496" s="6" t="s">
        <v>49</v>
      </c>
      <c r="E496" s="6" t="n">
        <v>37</v>
      </c>
      <c r="F496" s="6" t="s">
        <v>51</v>
      </c>
      <c r="G496" s="6" t="n">
        <v>3</v>
      </c>
      <c r="H496" s="8" t="n">
        <v>300</v>
      </c>
      <c r="I496" s="8" t="n">
        <f aca="false">G496*H496</f>
        <v>900</v>
      </c>
    </row>
    <row r="497" customFormat="false" ht="15" hidden="false" customHeight="false" outlineLevel="0" collapsed="false">
      <c r="A497" s="6" t="n">
        <v>788</v>
      </c>
      <c r="B497" s="7" t="n">
        <v>45104</v>
      </c>
      <c r="C497" s="6" t="s">
        <v>543</v>
      </c>
      <c r="D497" s="6" t="s">
        <v>49</v>
      </c>
      <c r="E497" s="6" t="n">
        <v>52</v>
      </c>
      <c r="F497" s="6" t="s">
        <v>45</v>
      </c>
      <c r="G497" s="6" t="n">
        <v>3</v>
      </c>
      <c r="H497" s="8" t="n">
        <v>300</v>
      </c>
      <c r="I497" s="8" t="n">
        <f aca="false">G497*H497</f>
        <v>900</v>
      </c>
    </row>
    <row r="498" customFormat="false" ht="15" hidden="false" customHeight="false" outlineLevel="0" collapsed="false">
      <c r="A498" s="6" t="n">
        <v>378</v>
      </c>
      <c r="B498" s="7" t="n">
        <v>45105</v>
      </c>
      <c r="C498" s="6" t="s">
        <v>544</v>
      </c>
      <c r="D498" s="6" t="s">
        <v>44</v>
      </c>
      <c r="E498" s="6" t="n">
        <v>50</v>
      </c>
      <c r="F498" s="6" t="s">
        <v>45</v>
      </c>
      <c r="G498" s="6" t="n">
        <v>1</v>
      </c>
      <c r="H498" s="8" t="n">
        <v>300</v>
      </c>
      <c r="I498" s="8" t="n">
        <f aca="false">G498*H498</f>
        <v>300</v>
      </c>
    </row>
    <row r="499" customFormat="false" ht="15" hidden="false" customHeight="false" outlineLevel="0" collapsed="false">
      <c r="A499" s="6" t="n">
        <v>737</v>
      </c>
      <c r="B499" s="7" t="n">
        <v>45106</v>
      </c>
      <c r="C499" s="6" t="s">
        <v>545</v>
      </c>
      <c r="D499" s="6" t="s">
        <v>49</v>
      </c>
      <c r="E499" s="6" t="n">
        <v>33</v>
      </c>
      <c r="F499" s="6" t="s">
        <v>47</v>
      </c>
      <c r="G499" s="6" t="n">
        <v>1</v>
      </c>
      <c r="H499" s="8" t="n">
        <v>50</v>
      </c>
      <c r="I499" s="8" t="n">
        <f aca="false">G499*H499</f>
        <v>50</v>
      </c>
    </row>
    <row r="500" customFormat="false" ht="15" hidden="false" customHeight="false" outlineLevel="0" collapsed="false">
      <c r="A500" s="6" t="n">
        <v>480</v>
      </c>
      <c r="B500" s="7" t="n">
        <v>45106</v>
      </c>
      <c r="C500" s="6" t="s">
        <v>546</v>
      </c>
      <c r="D500" s="6" t="s">
        <v>49</v>
      </c>
      <c r="E500" s="6" t="n">
        <v>42</v>
      </c>
      <c r="F500" s="6" t="s">
        <v>45</v>
      </c>
      <c r="G500" s="6" t="n">
        <v>4</v>
      </c>
      <c r="H500" s="8" t="n">
        <v>500</v>
      </c>
      <c r="I500" s="8" t="n">
        <f aca="false">G500*H500</f>
        <v>2000</v>
      </c>
    </row>
    <row r="501" customFormat="false" ht="15" hidden="false" customHeight="false" outlineLevel="0" collapsed="false">
      <c r="A501" s="6" t="n">
        <v>492</v>
      </c>
      <c r="B501" s="7" t="n">
        <v>45106</v>
      </c>
      <c r="C501" s="6" t="s">
        <v>547</v>
      </c>
      <c r="D501" s="6" t="s">
        <v>44</v>
      </c>
      <c r="E501" s="6" t="n">
        <v>61</v>
      </c>
      <c r="F501" s="6" t="s">
        <v>45</v>
      </c>
      <c r="G501" s="6" t="n">
        <v>4</v>
      </c>
      <c r="H501" s="8" t="n">
        <v>25</v>
      </c>
      <c r="I501" s="8" t="n">
        <f aca="false">G501*H501</f>
        <v>100</v>
      </c>
    </row>
    <row r="502" customFormat="false" ht="15" hidden="false" customHeight="false" outlineLevel="0" collapsed="false">
      <c r="A502" s="6" t="n">
        <v>878</v>
      </c>
      <c r="B502" s="7" t="n">
        <v>45107</v>
      </c>
      <c r="C502" s="6" t="s">
        <v>548</v>
      </c>
      <c r="D502" s="6" t="s">
        <v>49</v>
      </c>
      <c r="E502" s="6" t="n">
        <v>20</v>
      </c>
      <c r="F502" s="6" t="s">
        <v>47</v>
      </c>
      <c r="G502" s="6" t="n">
        <v>1</v>
      </c>
      <c r="H502" s="8" t="n">
        <v>30</v>
      </c>
      <c r="I502" s="8" t="n">
        <f aca="false">G502*H502</f>
        <v>30</v>
      </c>
    </row>
    <row r="503" customFormat="false" ht="15" hidden="false" customHeight="false" outlineLevel="0" collapsed="false">
      <c r="A503" s="6" t="n">
        <v>684</v>
      </c>
      <c r="B503" s="7" t="n">
        <v>45107</v>
      </c>
      <c r="C503" s="6" t="s">
        <v>549</v>
      </c>
      <c r="D503" s="6" t="s">
        <v>49</v>
      </c>
      <c r="E503" s="6" t="n">
        <v>28</v>
      </c>
      <c r="F503" s="6" t="s">
        <v>47</v>
      </c>
      <c r="G503" s="6" t="n">
        <v>2</v>
      </c>
      <c r="H503" s="8" t="n">
        <v>500</v>
      </c>
      <c r="I503" s="8" t="n">
        <f aca="false">G503*H503</f>
        <v>1000</v>
      </c>
    </row>
    <row r="504" customFormat="false" ht="15" hidden="false" customHeight="false" outlineLevel="0" collapsed="false">
      <c r="A504" s="6" t="n">
        <v>837</v>
      </c>
      <c r="B504" s="7" t="n">
        <v>45108</v>
      </c>
      <c r="C504" s="6" t="s">
        <v>550</v>
      </c>
      <c r="D504" s="6" t="s">
        <v>44</v>
      </c>
      <c r="E504" s="6" t="n">
        <v>18</v>
      </c>
      <c r="F504" s="6" t="s">
        <v>45</v>
      </c>
      <c r="G504" s="6" t="n">
        <v>3</v>
      </c>
      <c r="H504" s="8" t="n">
        <v>30</v>
      </c>
      <c r="I504" s="8" t="n">
        <f aca="false">G504*H504</f>
        <v>90</v>
      </c>
    </row>
    <row r="505" customFormat="false" ht="15" hidden="false" customHeight="false" outlineLevel="0" collapsed="false">
      <c r="A505" s="6" t="n">
        <v>260</v>
      </c>
      <c r="B505" s="7" t="n">
        <v>45108</v>
      </c>
      <c r="C505" s="6" t="s">
        <v>551</v>
      </c>
      <c r="D505" s="6" t="s">
        <v>44</v>
      </c>
      <c r="E505" s="6" t="n">
        <v>28</v>
      </c>
      <c r="F505" s="6" t="s">
        <v>45</v>
      </c>
      <c r="G505" s="6" t="n">
        <v>2</v>
      </c>
      <c r="H505" s="8" t="n">
        <v>30</v>
      </c>
      <c r="I505" s="8" t="n">
        <f aca="false">G505*H505</f>
        <v>60</v>
      </c>
    </row>
    <row r="506" customFormat="false" ht="15" hidden="false" customHeight="false" outlineLevel="0" collapsed="false">
      <c r="A506" s="6" t="n">
        <v>455</v>
      </c>
      <c r="B506" s="7" t="n">
        <v>45108</v>
      </c>
      <c r="C506" s="6" t="s">
        <v>552</v>
      </c>
      <c r="D506" s="6" t="s">
        <v>44</v>
      </c>
      <c r="E506" s="6" t="n">
        <v>31</v>
      </c>
      <c r="F506" s="6" t="s">
        <v>51</v>
      </c>
      <c r="G506" s="6" t="n">
        <v>4</v>
      </c>
      <c r="H506" s="8" t="n">
        <v>25</v>
      </c>
      <c r="I506" s="8" t="n">
        <f aca="false">G506*H506</f>
        <v>100</v>
      </c>
    </row>
    <row r="507" customFormat="false" ht="15" hidden="false" customHeight="false" outlineLevel="0" collapsed="false">
      <c r="A507" s="6" t="n">
        <v>78</v>
      </c>
      <c r="B507" s="7" t="n">
        <v>45108</v>
      </c>
      <c r="C507" s="6" t="s">
        <v>553</v>
      </c>
      <c r="D507" s="6" t="s">
        <v>49</v>
      </c>
      <c r="E507" s="6" t="n">
        <v>47</v>
      </c>
      <c r="F507" s="6" t="s">
        <v>47</v>
      </c>
      <c r="G507" s="6" t="n">
        <v>3</v>
      </c>
      <c r="H507" s="8" t="n">
        <v>500</v>
      </c>
      <c r="I507" s="8" t="n">
        <f aca="false">G507*H507</f>
        <v>1500</v>
      </c>
    </row>
    <row r="508" customFormat="false" ht="15" hidden="false" customHeight="false" outlineLevel="0" collapsed="false">
      <c r="A508" s="6" t="n">
        <v>45</v>
      </c>
      <c r="B508" s="7" t="n">
        <v>45110</v>
      </c>
      <c r="C508" s="6" t="s">
        <v>554</v>
      </c>
      <c r="D508" s="6" t="s">
        <v>49</v>
      </c>
      <c r="E508" s="6" t="n">
        <v>55</v>
      </c>
      <c r="F508" s="6" t="s">
        <v>51</v>
      </c>
      <c r="G508" s="6" t="n">
        <v>1</v>
      </c>
      <c r="H508" s="8" t="n">
        <v>30</v>
      </c>
      <c r="I508" s="8" t="n">
        <f aca="false">G508*H508</f>
        <v>30</v>
      </c>
    </row>
    <row r="509" customFormat="false" ht="15" hidden="false" customHeight="false" outlineLevel="0" collapsed="false">
      <c r="A509" s="6" t="n">
        <v>449</v>
      </c>
      <c r="B509" s="7" t="n">
        <v>45110</v>
      </c>
      <c r="C509" s="6" t="s">
        <v>555</v>
      </c>
      <c r="D509" s="6" t="s">
        <v>44</v>
      </c>
      <c r="E509" s="6" t="n">
        <v>25</v>
      </c>
      <c r="F509" s="6" t="s">
        <v>51</v>
      </c>
      <c r="G509" s="6" t="n">
        <v>4</v>
      </c>
      <c r="H509" s="8" t="n">
        <v>50</v>
      </c>
      <c r="I509" s="8" t="n">
        <f aca="false">G509*H509</f>
        <v>200</v>
      </c>
    </row>
    <row r="510" customFormat="false" ht="15" hidden="false" customHeight="false" outlineLevel="0" collapsed="false">
      <c r="A510" s="6" t="n">
        <v>904</v>
      </c>
      <c r="B510" s="7" t="n">
        <v>45111</v>
      </c>
      <c r="C510" s="6" t="s">
        <v>556</v>
      </c>
      <c r="D510" s="6" t="s">
        <v>44</v>
      </c>
      <c r="E510" s="6" t="n">
        <v>28</v>
      </c>
      <c r="F510" s="6" t="s">
        <v>47</v>
      </c>
      <c r="G510" s="6" t="n">
        <v>1</v>
      </c>
      <c r="H510" s="8" t="n">
        <v>500</v>
      </c>
      <c r="I510" s="8" t="n">
        <f aca="false">G510*H510</f>
        <v>500</v>
      </c>
    </row>
    <row r="511" customFormat="false" ht="15" hidden="false" customHeight="false" outlineLevel="0" collapsed="false">
      <c r="A511" s="6" t="n">
        <v>59</v>
      </c>
      <c r="B511" s="7" t="n">
        <v>45112</v>
      </c>
      <c r="C511" s="6" t="s">
        <v>557</v>
      </c>
      <c r="D511" s="6" t="s">
        <v>44</v>
      </c>
      <c r="E511" s="6" t="n">
        <v>62</v>
      </c>
      <c r="F511" s="6" t="s">
        <v>47</v>
      </c>
      <c r="G511" s="6" t="n">
        <v>1</v>
      </c>
      <c r="H511" s="8" t="n">
        <v>50</v>
      </c>
      <c r="I511" s="8" t="n">
        <f aca="false">G511*H511</f>
        <v>50</v>
      </c>
    </row>
    <row r="512" customFormat="false" ht="15" hidden="false" customHeight="false" outlineLevel="0" collapsed="false">
      <c r="A512" s="6" t="n">
        <v>186</v>
      </c>
      <c r="B512" s="7" t="n">
        <v>45112</v>
      </c>
      <c r="C512" s="6" t="s">
        <v>558</v>
      </c>
      <c r="D512" s="6" t="s">
        <v>44</v>
      </c>
      <c r="E512" s="6" t="n">
        <v>20</v>
      </c>
      <c r="F512" s="6" t="s">
        <v>47</v>
      </c>
      <c r="G512" s="6" t="n">
        <v>4</v>
      </c>
      <c r="H512" s="8" t="n">
        <v>50</v>
      </c>
      <c r="I512" s="8" t="n">
        <f aca="false">G512*H512</f>
        <v>200</v>
      </c>
    </row>
    <row r="513" customFormat="false" ht="15" hidden="false" customHeight="false" outlineLevel="0" collapsed="false">
      <c r="A513" s="6" t="n">
        <v>802</v>
      </c>
      <c r="B513" s="7" t="n">
        <v>45112</v>
      </c>
      <c r="C513" s="6" t="s">
        <v>559</v>
      </c>
      <c r="D513" s="6" t="s">
        <v>49</v>
      </c>
      <c r="E513" s="6" t="n">
        <v>46</v>
      </c>
      <c r="F513" s="6" t="s">
        <v>45</v>
      </c>
      <c r="G513" s="6" t="n">
        <v>1</v>
      </c>
      <c r="H513" s="8" t="n">
        <v>30</v>
      </c>
      <c r="I513" s="8" t="n">
        <f aca="false">G513*H513</f>
        <v>30</v>
      </c>
    </row>
    <row r="514" customFormat="false" ht="15" hidden="false" customHeight="false" outlineLevel="0" collapsed="false">
      <c r="A514" s="6" t="n">
        <v>128</v>
      </c>
      <c r="B514" s="7" t="n">
        <v>45112</v>
      </c>
      <c r="C514" s="6" t="s">
        <v>560</v>
      </c>
      <c r="D514" s="6" t="s">
        <v>44</v>
      </c>
      <c r="E514" s="6" t="n">
        <v>25</v>
      </c>
      <c r="F514" s="6" t="s">
        <v>45</v>
      </c>
      <c r="G514" s="6" t="n">
        <v>1</v>
      </c>
      <c r="H514" s="8" t="n">
        <v>500</v>
      </c>
      <c r="I514" s="8" t="n">
        <f aca="false">G514*H514</f>
        <v>500</v>
      </c>
    </row>
    <row r="515" customFormat="false" ht="15" hidden="false" customHeight="false" outlineLevel="0" collapsed="false">
      <c r="A515" s="6" t="n">
        <v>75</v>
      </c>
      <c r="B515" s="7" t="n">
        <v>45113</v>
      </c>
      <c r="C515" s="6" t="s">
        <v>561</v>
      </c>
      <c r="D515" s="6" t="s">
        <v>44</v>
      </c>
      <c r="E515" s="6" t="n">
        <v>61</v>
      </c>
      <c r="F515" s="6" t="s">
        <v>45</v>
      </c>
      <c r="G515" s="6" t="n">
        <v>4</v>
      </c>
      <c r="H515" s="8" t="n">
        <v>50</v>
      </c>
      <c r="I515" s="8" t="n">
        <f aca="false">G515*H515</f>
        <v>200</v>
      </c>
    </row>
    <row r="516" customFormat="false" ht="15" hidden="false" customHeight="false" outlineLevel="0" collapsed="false">
      <c r="A516" s="6" t="n">
        <v>528</v>
      </c>
      <c r="B516" s="7" t="n">
        <v>45113</v>
      </c>
      <c r="C516" s="6" t="s">
        <v>562</v>
      </c>
      <c r="D516" s="6" t="s">
        <v>49</v>
      </c>
      <c r="E516" s="6" t="n">
        <v>36</v>
      </c>
      <c r="F516" s="6" t="s">
        <v>47</v>
      </c>
      <c r="G516" s="6" t="n">
        <v>2</v>
      </c>
      <c r="H516" s="8" t="n">
        <v>30</v>
      </c>
      <c r="I516" s="8" t="n">
        <f aca="false">G516*H516</f>
        <v>60</v>
      </c>
    </row>
    <row r="517" customFormat="false" ht="15" hidden="false" customHeight="false" outlineLevel="0" collapsed="false">
      <c r="A517" s="6" t="n">
        <v>447</v>
      </c>
      <c r="B517" s="7" t="n">
        <v>45113</v>
      </c>
      <c r="C517" s="6" t="s">
        <v>563</v>
      </c>
      <c r="D517" s="6" t="s">
        <v>44</v>
      </c>
      <c r="E517" s="6" t="n">
        <v>22</v>
      </c>
      <c r="F517" s="6" t="s">
        <v>45</v>
      </c>
      <c r="G517" s="6" t="n">
        <v>4</v>
      </c>
      <c r="H517" s="8" t="n">
        <v>500</v>
      </c>
      <c r="I517" s="8" t="n">
        <f aca="false">G517*H517</f>
        <v>2000</v>
      </c>
    </row>
    <row r="518" customFormat="false" ht="15" hidden="false" customHeight="false" outlineLevel="0" collapsed="false">
      <c r="A518" s="6" t="n">
        <v>759</v>
      </c>
      <c r="B518" s="7" t="n">
        <v>45115</v>
      </c>
      <c r="C518" s="6" t="s">
        <v>564</v>
      </c>
      <c r="D518" s="6" t="s">
        <v>44</v>
      </c>
      <c r="E518" s="6" t="n">
        <v>49</v>
      </c>
      <c r="F518" s="6" t="s">
        <v>51</v>
      </c>
      <c r="G518" s="6" t="n">
        <v>2</v>
      </c>
      <c r="H518" s="8" t="n">
        <v>50</v>
      </c>
      <c r="I518" s="8" t="n">
        <f aca="false">G518*H518</f>
        <v>100</v>
      </c>
    </row>
    <row r="519" customFormat="false" ht="15" hidden="false" customHeight="false" outlineLevel="0" collapsed="false">
      <c r="A519" s="6" t="n">
        <v>870</v>
      </c>
      <c r="B519" s="7" t="n">
        <v>45115</v>
      </c>
      <c r="C519" s="6" t="s">
        <v>565</v>
      </c>
      <c r="D519" s="6" t="s">
        <v>49</v>
      </c>
      <c r="E519" s="6" t="n">
        <v>46</v>
      </c>
      <c r="F519" s="6" t="s">
        <v>51</v>
      </c>
      <c r="G519" s="6" t="n">
        <v>4</v>
      </c>
      <c r="H519" s="8" t="n">
        <v>30</v>
      </c>
      <c r="I519" s="8" t="n">
        <f aca="false">G519*H519</f>
        <v>120</v>
      </c>
    </row>
    <row r="520" customFormat="false" ht="15" hidden="false" customHeight="false" outlineLevel="0" collapsed="false">
      <c r="A520" s="6" t="n">
        <v>77</v>
      </c>
      <c r="B520" s="7" t="n">
        <v>45116</v>
      </c>
      <c r="C520" s="6" t="s">
        <v>566</v>
      </c>
      <c r="D520" s="6" t="s">
        <v>49</v>
      </c>
      <c r="E520" s="6" t="n">
        <v>47</v>
      </c>
      <c r="F520" s="6" t="s">
        <v>47</v>
      </c>
      <c r="G520" s="6" t="n">
        <v>2</v>
      </c>
      <c r="H520" s="8" t="n">
        <v>50</v>
      </c>
      <c r="I520" s="8" t="n">
        <f aca="false">G520*H520</f>
        <v>100</v>
      </c>
    </row>
    <row r="521" customFormat="false" ht="15" hidden="false" customHeight="false" outlineLevel="0" collapsed="false">
      <c r="A521" s="6" t="n">
        <v>792</v>
      </c>
      <c r="B521" s="7" t="n">
        <v>45116</v>
      </c>
      <c r="C521" s="6" t="s">
        <v>567</v>
      </c>
      <c r="D521" s="6" t="s">
        <v>49</v>
      </c>
      <c r="E521" s="6" t="n">
        <v>20</v>
      </c>
      <c r="F521" s="6" t="s">
        <v>45</v>
      </c>
      <c r="G521" s="6" t="n">
        <v>1</v>
      </c>
      <c r="H521" s="8" t="n">
        <v>50</v>
      </c>
      <c r="I521" s="8" t="n">
        <f aca="false">G521*H521</f>
        <v>50</v>
      </c>
    </row>
    <row r="522" customFormat="false" ht="15" hidden="false" customHeight="false" outlineLevel="0" collapsed="false">
      <c r="A522" s="6" t="n">
        <v>381</v>
      </c>
      <c r="B522" s="7" t="n">
        <v>45116</v>
      </c>
      <c r="C522" s="6" t="s">
        <v>568</v>
      </c>
      <c r="D522" s="6" t="s">
        <v>49</v>
      </c>
      <c r="E522" s="6" t="n">
        <v>44</v>
      </c>
      <c r="F522" s="6" t="s">
        <v>47</v>
      </c>
      <c r="G522" s="6" t="n">
        <v>4</v>
      </c>
      <c r="H522" s="8" t="n">
        <v>25</v>
      </c>
      <c r="I522" s="8" t="n">
        <f aca="false">G522*H522</f>
        <v>100</v>
      </c>
    </row>
    <row r="523" customFormat="false" ht="15" hidden="false" customHeight="false" outlineLevel="0" collapsed="false">
      <c r="A523" s="6" t="n">
        <v>439</v>
      </c>
      <c r="B523" s="7" t="n">
        <v>45116</v>
      </c>
      <c r="C523" s="6" t="s">
        <v>569</v>
      </c>
      <c r="D523" s="6" t="s">
        <v>44</v>
      </c>
      <c r="E523" s="6" t="n">
        <v>50</v>
      </c>
      <c r="F523" s="6" t="s">
        <v>47</v>
      </c>
      <c r="G523" s="6" t="n">
        <v>3</v>
      </c>
      <c r="H523" s="8" t="n">
        <v>25</v>
      </c>
      <c r="I523" s="8" t="n">
        <f aca="false">G523*H523</f>
        <v>75</v>
      </c>
    </row>
    <row r="524" customFormat="false" ht="15" hidden="false" customHeight="false" outlineLevel="0" collapsed="false">
      <c r="A524" s="6" t="n">
        <v>176</v>
      </c>
      <c r="B524" s="7" t="n">
        <v>45118</v>
      </c>
      <c r="C524" s="6" t="s">
        <v>570</v>
      </c>
      <c r="D524" s="6" t="s">
        <v>49</v>
      </c>
      <c r="E524" s="6" t="n">
        <v>43</v>
      </c>
      <c r="F524" s="6" t="s">
        <v>45</v>
      </c>
      <c r="G524" s="6" t="n">
        <v>2</v>
      </c>
      <c r="H524" s="8" t="n">
        <v>50</v>
      </c>
      <c r="I524" s="8" t="n">
        <f aca="false">G524*H524</f>
        <v>100</v>
      </c>
    </row>
    <row r="525" customFormat="false" ht="15" hidden="false" customHeight="false" outlineLevel="0" collapsed="false">
      <c r="A525" s="6" t="n">
        <v>216</v>
      </c>
      <c r="B525" s="7" t="n">
        <v>45118</v>
      </c>
      <c r="C525" s="6" t="s">
        <v>571</v>
      </c>
      <c r="D525" s="6" t="s">
        <v>44</v>
      </c>
      <c r="E525" s="6" t="n">
        <v>62</v>
      </c>
      <c r="F525" s="6" t="s">
        <v>51</v>
      </c>
      <c r="G525" s="6" t="n">
        <v>2</v>
      </c>
      <c r="H525" s="8" t="n">
        <v>50</v>
      </c>
      <c r="I525" s="8" t="n">
        <f aca="false">G525*H525</f>
        <v>100</v>
      </c>
    </row>
    <row r="526" customFormat="false" ht="15" hidden="false" customHeight="false" outlineLevel="0" collapsed="false">
      <c r="A526" s="6" t="n">
        <v>772</v>
      </c>
      <c r="B526" s="7" t="n">
        <v>45119</v>
      </c>
      <c r="C526" s="6" t="s">
        <v>572</v>
      </c>
      <c r="D526" s="6" t="s">
        <v>44</v>
      </c>
      <c r="E526" s="6" t="n">
        <v>26</v>
      </c>
      <c r="F526" s="6" t="s">
        <v>51</v>
      </c>
      <c r="G526" s="6" t="n">
        <v>1</v>
      </c>
      <c r="H526" s="8" t="n">
        <v>30</v>
      </c>
      <c r="I526" s="8" t="n">
        <f aca="false">G526*H526</f>
        <v>30</v>
      </c>
    </row>
    <row r="527" customFormat="false" ht="15" hidden="false" customHeight="false" outlineLevel="0" collapsed="false">
      <c r="A527" s="6" t="n">
        <v>53</v>
      </c>
      <c r="B527" s="7" t="n">
        <v>45120</v>
      </c>
      <c r="C527" s="6" t="s">
        <v>573</v>
      </c>
      <c r="D527" s="6" t="s">
        <v>44</v>
      </c>
      <c r="E527" s="6" t="n">
        <v>34</v>
      </c>
      <c r="F527" s="6" t="s">
        <v>51</v>
      </c>
      <c r="G527" s="6" t="n">
        <v>2</v>
      </c>
      <c r="H527" s="8" t="n">
        <v>50</v>
      </c>
      <c r="I527" s="8" t="n">
        <f aca="false">G527*H527</f>
        <v>100</v>
      </c>
    </row>
    <row r="528" customFormat="false" ht="15" hidden="false" customHeight="false" outlineLevel="0" collapsed="false">
      <c r="A528" s="6" t="n">
        <v>71</v>
      </c>
      <c r="B528" s="7" t="n">
        <v>45121</v>
      </c>
      <c r="C528" s="6" t="s">
        <v>574</v>
      </c>
      <c r="D528" s="6" t="s">
        <v>49</v>
      </c>
      <c r="E528" s="6" t="n">
        <v>51</v>
      </c>
      <c r="F528" s="6" t="s">
        <v>45</v>
      </c>
      <c r="G528" s="6" t="n">
        <v>4</v>
      </c>
      <c r="H528" s="8" t="n">
        <v>25</v>
      </c>
      <c r="I528" s="8" t="n">
        <f aca="false">G528*H528</f>
        <v>100</v>
      </c>
    </row>
    <row r="529" customFormat="false" ht="15" hidden="false" customHeight="false" outlineLevel="0" collapsed="false">
      <c r="A529" s="6" t="n">
        <v>681</v>
      </c>
      <c r="B529" s="7" t="n">
        <v>45121</v>
      </c>
      <c r="C529" s="6" t="s">
        <v>575</v>
      </c>
      <c r="D529" s="6" t="s">
        <v>49</v>
      </c>
      <c r="E529" s="6" t="n">
        <v>43</v>
      </c>
      <c r="F529" s="6" t="s">
        <v>51</v>
      </c>
      <c r="G529" s="6" t="n">
        <v>2</v>
      </c>
      <c r="H529" s="8" t="n">
        <v>30</v>
      </c>
      <c r="I529" s="8" t="n">
        <f aca="false">G529*H529</f>
        <v>60</v>
      </c>
    </row>
    <row r="530" customFormat="false" ht="15" hidden="false" customHeight="false" outlineLevel="0" collapsed="false">
      <c r="A530" s="6" t="n">
        <v>551</v>
      </c>
      <c r="B530" s="7" t="n">
        <v>45121</v>
      </c>
      <c r="C530" s="6" t="s">
        <v>576</v>
      </c>
      <c r="D530" s="6" t="s">
        <v>44</v>
      </c>
      <c r="E530" s="6" t="n">
        <v>45</v>
      </c>
      <c r="F530" s="6" t="s">
        <v>51</v>
      </c>
      <c r="G530" s="6" t="n">
        <v>3</v>
      </c>
      <c r="H530" s="8" t="n">
        <v>300</v>
      </c>
      <c r="I530" s="8" t="n">
        <f aca="false">G530*H530</f>
        <v>900</v>
      </c>
    </row>
    <row r="531" customFormat="false" ht="15" hidden="false" customHeight="false" outlineLevel="0" collapsed="false">
      <c r="A531" s="6" t="n">
        <v>302</v>
      </c>
      <c r="B531" s="7" t="n">
        <v>45121</v>
      </c>
      <c r="C531" s="6" t="s">
        <v>577</v>
      </c>
      <c r="D531" s="6" t="s">
        <v>44</v>
      </c>
      <c r="E531" s="6" t="n">
        <v>57</v>
      </c>
      <c r="F531" s="6" t="s">
        <v>45</v>
      </c>
      <c r="G531" s="6" t="n">
        <v>2</v>
      </c>
      <c r="H531" s="8" t="n">
        <v>300</v>
      </c>
      <c r="I531" s="8" t="n">
        <f aca="false">G531*H531</f>
        <v>600</v>
      </c>
    </row>
    <row r="532" customFormat="false" ht="15" hidden="false" customHeight="false" outlineLevel="0" collapsed="false">
      <c r="A532" s="6" t="n">
        <v>93</v>
      </c>
      <c r="B532" s="7" t="n">
        <v>45121</v>
      </c>
      <c r="C532" s="6" t="s">
        <v>578</v>
      </c>
      <c r="D532" s="6" t="s">
        <v>49</v>
      </c>
      <c r="E532" s="6" t="n">
        <v>35</v>
      </c>
      <c r="F532" s="6" t="s">
        <v>45</v>
      </c>
      <c r="G532" s="6" t="n">
        <v>4</v>
      </c>
      <c r="H532" s="8" t="n">
        <v>500</v>
      </c>
      <c r="I532" s="8" t="n">
        <f aca="false">G532*H532</f>
        <v>2000</v>
      </c>
    </row>
    <row r="533" customFormat="false" ht="15" hidden="false" customHeight="false" outlineLevel="0" collapsed="false">
      <c r="A533" s="6" t="n">
        <v>43</v>
      </c>
      <c r="B533" s="7" t="n">
        <v>45121</v>
      </c>
      <c r="C533" s="6" t="s">
        <v>579</v>
      </c>
      <c r="D533" s="6" t="s">
        <v>49</v>
      </c>
      <c r="E533" s="6" t="n">
        <v>48</v>
      </c>
      <c r="F533" s="6" t="s">
        <v>47</v>
      </c>
      <c r="G533" s="6" t="n">
        <v>1</v>
      </c>
      <c r="H533" s="8" t="n">
        <v>300</v>
      </c>
      <c r="I533" s="8" t="n">
        <f aca="false">G533*H533</f>
        <v>300</v>
      </c>
    </row>
    <row r="534" customFormat="false" ht="15" hidden="false" customHeight="false" outlineLevel="0" collapsed="false">
      <c r="A534" s="6" t="n">
        <v>829</v>
      </c>
      <c r="B534" s="7" t="n">
        <v>45121</v>
      </c>
      <c r="C534" s="6" t="s">
        <v>580</v>
      </c>
      <c r="D534" s="6" t="s">
        <v>44</v>
      </c>
      <c r="E534" s="6" t="n">
        <v>61</v>
      </c>
      <c r="F534" s="6" t="s">
        <v>45</v>
      </c>
      <c r="G534" s="6" t="n">
        <v>3</v>
      </c>
      <c r="H534" s="8" t="n">
        <v>30</v>
      </c>
      <c r="I534" s="8" t="n">
        <f aca="false">G534*H534</f>
        <v>90</v>
      </c>
    </row>
    <row r="535" customFormat="false" ht="15" hidden="false" customHeight="false" outlineLevel="0" collapsed="false">
      <c r="A535" s="6" t="n">
        <v>722</v>
      </c>
      <c r="B535" s="7" t="n">
        <v>45121</v>
      </c>
      <c r="C535" s="6" t="s">
        <v>581</v>
      </c>
      <c r="D535" s="6" t="s">
        <v>44</v>
      </c>
      <c r="E535" s="6" t="n">
        <v>20</v>
      </c>
      <c r="F535" s="6" t="s">
        <v>45</v>
      </c>
      <c r="G535" s="6" t="n">
        <v>3</v>
      </c>
      <c r="H535" s="8" t="n">
        <v>300</v>
      </c>
      <c r="I535" s="8" t="n">
        <f aca="false">G535*H535</f>
        <v>900</v>
      </c>
    </row>
    <row r="536" customFormat="false" ht="15" hidden="false" customHeight="false" outlineLevel="0" collapsed="false">
      <c r="A536" s="6" t="n">
        <v>728</v>
      </c>
      <c r="B536" s="7" t="n">
        <v>45121</v>
      </c>
      <c r="C536" s="6" t="s">
        <v>582</v>
      </c>
      <c r="D536" s="6" t="s">
        <v>44</v>
      </c>
      <c r="E536" s="6" t="n">
        <v>51</v>
      </c>
      <c r="F536" s="6" t="s">
        <v>51</v>
      </c>
      <c r="G536" s="6" t="n">
        <v>3</v>
      </c>
      <c r="H536" s="8" t="n">
        <v>50</v>
      </c>
      <c r="I536" s="8" t="n">
        <f aca="false">G536*H536</f>
        <v>150</v>
      </c>
    </row>
    <row r="537" customFormat="false" ht="15" hidden="false" customHeight="false" outlineLevel="0" collapsed="false">
      <c r="A537" s="6" t="n">
        <v>955</v>
      </c>
      <c r="B537" s="7" t="n">
        <v>45121</v>
      </c>
      <c r="C537" s="6" t="s">
        <v>583</v>
      </c>
      <c r="D537" s="6" t="s">
        <v>44</v>
      </c>
      <c r="E537" s="6" t="n">
        <v>58</v>
      </c>
      <c r="F537" s="6" t="s">
        <v>47</v>
      </c>
      <c r="G537" s="6" t="n">
        <v>1</v>
      </c>
      <c r="H537" s="8" t="n">
        <v>25</v>
      </c>
      <c r="I537" s="8" t="n">
        <f aca="false">G537*H537</f>
        <v>25</v>
      </c>
    </row>
    <row r="538" customFormat="false" ht="15" hidden="false" customHeight="false" outlineLevel="0" collapsed="false">
      <c r="A538" s="6" t="n">
        <v>474</v>
      </c>
      <c r="B538" s="7" t="n">
        <v>45122</v>
      </c>
      <c r="C538" s="6" t="s">
        <v>584</v>
      </c>
      <c r="D538" s="6" t="s">
        <v>49</v>
      </c>
      <c r="E538" s="6" t="n">
        <v>26</v>
      </c>
      <c r="F538" s="6" t="s">
        <v>47</v>
      </c>
      <c r="G538" s="6" t="n">
        <v>3</v>
      </c>
      <c r="H538" s="8" t="n">
        <v>500</v>
      </c>
      <c r="I538" s="8" t="n">
        <f aca="false">G538*H538</f>
        <v>1500</v>
      </c>
    </row>
    <row r="539" customFormat="false" ht="15" hidden="false" customHeight="false" outlineLevel="0" collapsed="false">
      <c r="A539" s="6" t="n">
        <v>144</v>
      </c>
      <c r="B539" s="7" t="n">
        <v>45122</v>
      </c>
      <c r="C539" s="6" t="s">
        <v>585</v>
      </c>
      <c r="D539" s="6" t="s">
        <v>49</v>
      </c>
      <c r="E539" s="6" t="n">
        <v>59</v>
      </c>
      <c r="F539" s="6" t="s">
        <v>45</v>
      </c>
      <c r="G539" s="6" t="n">
        <v>3</v>
      </c>
      <c r="H539" s="8" t="n">
        <v>500</v>
      </c>
      <c r="I539" s="8" t="n">
        <f aca="false">G539*H539</f>
        <v>1500</v>
      </c>
    </row>
    <row r="540" customFormat="false" ht="15" hidden="false" customHeight="false" outlineLevel="0" collapsed="false">
      <c r="A540" s="6" t="n">
        <v>603</v>
      </c>
      <c r="B540" s="7" t="n">
        <v>45123</v>
      </c>
      <c r="C540" s="6" t="s">
        <v>586</v>
      </c>
      <c r="D540" s="6" t="s">
        <v>49</v>
      </c>
      <c r="E540" s="6" t="n">
        <v>40</v>
      </c>
      <c r="F540" s="6" t="s">
        <v>47</v>
      </c>
      <c r="G540" s="6" t="n">
        <v>3</v>
      </c>
      <c r="H540" s="8" t="n">
        <v>30</v>
      </c>
      <c r="I540" s="8" t="n">
        <f aca="false">G540*H540</f>
        <v>90</v>
      </c>
    </row>
    <row r="541" customFormat="false" ht="15" hidden="false" customHeight="false" outlineLevel="0" collapsed="false">
      <c r="A541" s="6" t="n">
        <v>661</v>
      </c>
      <c r="B541" s="7" t="n">
        <v>45123</v>
      </c>
      <c r="C541" s="6" t="s">
        <v>587</v>
      </c>
      <c r="D541" s="6" t="s">
        <v>49</v>
      </c>
      <c r="E541" s="6" t="n">
        <v>44</v>
      </c>
      <c r="F541" s="6" t="s">
        <v>47</v>
      </c>
      <c r="G541" s="6" t="n">
        <v>4</v>
      </c>
      <c r="H541" s="8" t="n">
        <v>25</v>
      </c>
      <c r="I541" s="8" t="n">
        <f aca="false">G541*H541</f>
        <v>100</v>
      </c>
    </row>
    <row r="542" customFormat="false" ht="15" hidden="false" customHeight="false" outlineLevel="0" collapsed="false">
      <c r="A542" s="6" t="n">
        <v>143</v>
      </c>
      <c r="B542" s="7" t="n">
        <v>45124</v>
      </c>
      <c r="C542" s="6" t="s">
        <v>588</v>
      </c>
      <c r="D542" s="6" t="s">
        <v>49</v>
      </c>
      <c r="E542" s="6" t="n">
        <v>45</v>
      </c>
      <c r="F542" s="6" t="s">
        <v>47</v>
      </c>
      <c r="G542" s="6" t="n">
        <v>1</v>
      </c>
      <c r="H542" s="8" t="n">
        <v>50</v>
      </c>
      <c r="I542" s="8" t="n">
        <f aca="false">G542*H542</f>
        <v>50</v>
      </c>
    </row>
    <row r="543" customFormat="false" ht="15" hidden="false" customHeight="false" outlineLevel="0" collapsed="false">
      <c r="A543" s="6" t="n">
        <v>515</v>
      </c>
      <c r="B543" s="7" t="n">
        <v>45124</v>
      </c>
      <c r="C543" s="6" t="s">
        <v>589</v>
      </c>
      <c r="D543" s="6" t="s">
        <v>49</v>
      </c>
      <c r="E543" s="6" t="n">
        <v>49</v>
      </c>
      <c r="F543" s="6" t="s">
        <v>47</v>
      </c>
      <c r="G543" s="6" t="n">
        <v>3</v>
      </c>
      <c r="H543" s="8" t="n">
        <v>300</v>
      </c>
      <c r="I543" s="8" t="n">
        <f aca="false">G543*H543</f>
        <v>900</v>
      </c>
    </row>
    <row r="544" customFormat="false" ht="15" hidden="false" customHeight="false" outlineLevel="0" collapsed="false">
      <c r="A544" s="6" t="n">
        <v>686</v>
      </c>
      <c r="B544" s="7" t="n">
        <v>45126</v>
      </c>
      <c r="C544" s="6" t="s">
        <v>590</v>
      </c>
      <c r="D544" s="6" t="s">
        <v>49</v>
      </c>
      <c r="E544" s="6" t="n">
        <v>28</v>
      </c>
      <c r="F544" s="6" t="s">
        <v>51</v>
      </c>
      <c r="G544" s="6" t="n">
        <v>4</v>
      </c>
      <c r="H544" s="8" t="n">
        <v>50</v>
      </c>
      <c r="I544" s="8" t="n">
        <f aca="false">G544*H544</f>
        <v>200</v>
      </c>
    </row>
    <row r="545" customFormat="false" ht="15" hidden="false" customHeight="false" outlineLevel="0" collapsed="false">
      <c r="A545" s="6" t="n">
        <v>304</v>
      </c>
      <c r="B545" s="7" t="n">
        <v>45126</v>
      </c>
      <c r="C545" s="6" t="s">
        <v>591</v>
      </c>
      <c r="D545" s="6" t="s">
        <v>49</v>
      </c>
      <c r="E545" s="6" t="n">
        <v>37</v>
      </c>
      <c r="F545" s="6" t="s">
        <v>51</v>
      </c>
      <c r="G545" s="6" t="n">
        <v>2</v>
      </c>
      <c r="H545" s="8" t="n">
        <v>30</v>
      </c>
      <c r="I545" s="8" t="n">
        <f aca="false">G545*H545</f>
        <v>60</v>
      </c>
    </row>
    <row r="546" customFormat="false" ht="15" hidden="false" customHeight="false" outlineLevel="0" collapsed="false">
      <c r="A546" s="6" t="n">
        <v>676</v>
      </c>
      <c r="B546" s="7" t="n">
        <v>45126</v>
      </c>
      <c r="C546" s="6" t="s">
        <v>592</v>
      </c>
      <c r="D546" s="6" t="s">
        <v>44</v>
      </c>
      <c r="E546" s="6" t="n">
        <v>63</v>
      </c>
      <c r="F546" s="6" t="s">
        <v>51</v>
      </c>
      <c r="G546" s="6" t="n">
        <v>3</v>
      </c>
      <c r="H546" s="8" t="n">
        <v>500</v>
      </c>
      <c r="I546" s="8" t="n">
        <f aca="false">G546*H546</f>
        <v>1500</v>
      </c>
    </row>
    <row r="547" customFormat="false" ht="15" hidden="false" customHeight="false" outlineLevel="0" collapsed="false">
      <c r="A547" s="6" t="n">
        <v>698</v>
      </c>
      <c r="B547" s="7" t="n">
        <v>45126</v>
      </c>
      <c r="C547" s="6" t="s">
        <v>593</v>
      </c>
      <c r="D547" s="6" t="s">
        <v>49</v>
      </c>
      <c r="E547" s="6" t="n">
        <v>64</v>
      </c>
      <c r="F547" s="6" t="s">
        <v>51</v>
      </c>
      <c r="G547" s="6" t="n">
        <v>1</v>
      </c>
      <c r="H547" s="8" t="n">
        <v>300</v>
      </c>
      <c r="I547" s="8" t="n">
        <f aca="false">G547*H547</f>
        <v>300</v>
      </c>
    </row>
    <row r="548" customFormat="false" ht="15" hidden="false" customHeight="false" outlineLevel="0" collapsed="false">
      <c r="A548" s="6" t="n">
        <v>709</v>
      </c>
      <c r="B548" s="7" t="n">
        <v>45128</v>
      </c>
      <c r="C548" s="6" t="s">
        <v>594</v>
      </c>
      <c r="D548" s="6" t="s">
        <v>49</v>
      </c>
      <c r="E548" s="6" t="n">
        <v>19</v>
      </c>
      <c r="F548" s="6" t="s">
        <v>51</v>
      </c>
      <c r="G548" s="6" t="n">
        <v>2</v>
      </c>
      <c r="H548" s="8" t="n">
        <v>500</v>
      </c>
      <c r="I548" s="8" t="n">
        <f aca="false">G548*H548</f>
        <v>1000</v>
      </c>
    </row>
    <row r="549" customFormat="false" ht="15" hidden="false" customHeight="false" outlineLevel="0" collapsed="false">
      <c r="A549" s="6" t="n">
        <v>114</v>
      </c>
      <c r="B549" s="7" t="n">
        <v>45129</v>
      </c>
      <c r="C549" s="6" t="s">
        <v>595</v>
      </c>
      <c r="D549" s="6" t="s">
        <v>49</v>
      </c>
      <c r="E549" s="6" t="n">
        <v>22</v>
      </c>
      <c r="F549" s="6" t="s">
        <v>45</v>
      </c>
      <c r="G549" s="6" t="n">
        <v>4</v>
      </c>
      <c r="H549" s="8" t="n">
        <v>25</v>
      </c>
      <c r="I549" s="8" t="n">
        <f aca="false">G549*H549</f>
        <v>100</v>
      </c>
    </row>
    <row r="550" customFormat="false" ht="15" hidden="false" customHeight="false" outlineLevel="0" collapsed="false">
      <c r="A550" s="6" t="n">
        <v>359</v>
      </c>
      <c r="B550" s="7" t="n">
        <v>45129</v>
      </c>
      <c r="C550" s="6" t="s">
        <v>596</v>
      </c>
      <c r="D550" s="6" t="s">
        <v>44</v>
      </c>
      <c r="E550" s="6" t="n">
        <v>50</v>
      </c>
      <c r="F550" s="6" t="s">
        <v>47</v>
      </c>
      <c r="G550" s="6" t="n">
        <v>1</v>
      </c>
      <c r="H550" s="8" t="n">
        <v>50</v>
      </c>
      <c r="I550" s="8" t="n">
        <f aca="false">G550*H550</f>
        <v>50</v>
      </c>
    </row>
    <row r="551" customFormat="false" ht="15" hidden="false" customHeight="false" outlineLevel="0" collapsed="false">
      <c r="A551" s="6" t="n">
        <v>773</v>
      </c>
      <c r="B551" s="7" t="n">
        <v>45130</v>
      </c>
      <c r="C551" s="6" t="s">
        <v>597</v>
      </c>
      <c r="D551" s="6" t="s">
        <v>44</v>
      </c>
      <c r="E551" s="6" t="n">
        <v>25</v>
      </c>
      <c r="F551" s="6" t="s">
        <v>51</v>
      </c>
      <c r="G551" s="6" t="n">
        <v>4</v>
      </c>
      <c r="H551" s="8" t="n">
        <v>500</v>
      </c>
      <c r="I551" s="8" t="n">
        <f aca="false">G551*H551</f>
        <v>2000</v>
      </c>
    </row>
    <row r="552" customFormat="false" ht="15" hidden="false" customHeight="false" outlineLevel="0" collapsed="false">
      <c r="A552" s="6" t="n">
        <v>495</v>
      </c>
      <c r="B552" s="7" t="n">
        <v>45131</v>
      </c>
      <c r="C552" s="6" t="s">
        <v>598</v>
      </c>
      <c r="D552" s="6" t="s">
        <v>44</v>
      </c>
      <c r="E552" s="6" t="n">
        <v>24</v>
      </c>
      <c r="F552" s="6" t="s">
        <v>45</v>
      </c>
      <c r="G552" s="6" t="n">
        <v>2</v>
      </c>
      <c r="H552" s="8" t="n">
        <v>30</v>
      </c>
      <c r="I552" s="8" t="n">
        <f aca="false">G552*H552</f>
        <v>60</v>
      </c>
    </row>
    <row r="553" customFormat="false" ht="15" hidden="false" customHeight="false" outlineLevel="0" collapsed="false">
      <c r="A553" s="6" t="n">
        <v>487</v>
      </c>
      <c r="B553" s="7" t="n">
        <v>45131</v>
      </c>
      <c r="C553" s="6" t="s">
        <v>599</v>
      </c>
      <c r="D553" s="6" t="s">
        <v>44</v>
      </c>
      <c r="E553" s="6" t="n">
        <v>44</v>
      </c>
      <c r="F553" s="6" t="s">
        <v>47</v>
      </c>
      <c r="G553" s="6" t="n">
        <v>4</v>
      </c>
      <c r="H553" s="8" t="n">
        <v>500</v>
      </c>
      <c r="I553" s="8" t="n">
        <f aca="false">G553*H553</f>
        <v>2000</v>
      </c>
    </row>
    <row r="554" customFormat="false" ht="15" hidden="false" customHeight="false" outlineLevel="0" collapsed="false">
      <c r="A554" s="6" t="n">
        <v>213</v>
      </c>
      <c r="B554" s="7" t="n">
        <v>45131</v>
      </c>
      <c r="C554" s="6" t="s">
        <v>600</v>
      </c>
      <c r="D554" s="6" t="s">
        <v>44</v>
      </c>
      <c r="E554" s="6" t="n">
        <v>27</v>
      </c>
      <c r="F554" s="6" t="s">
        <v>45</v>
      </c>
      <c r="G554" s="6" t="n">
        <v>3</v>
      </c>
      <c r="H554" s="8" t="n">
        <v>500</v>
      </c>
      <c r="I554" s="8" t="n">
        <f aca="false">G554*H554</f>
        <v>1500</v>
      </c>
    </row>
    <row r="555" customFormat="false" ht="15" hidden="false" customHeight="false" outlineLevel="0" collapsed="false">
      <c r="A555" s="6" t="n">
        <v>605</v>
      </c>
      <c r="B555" s="7" t="n">
        <v>45131</v>
      </c>
      <c r="C555" s="6" t="s">
        <v>601</v>
      </c>
      <c r="D555" s="6" t="s">
        <v>44</v>
      </c>
      <c r="E555" s="6" t="n">
        <v>37</v>
      </c>
      <c r="F555" s="6" t="s">
        <v>51</v>
      </c>
      <c r="G555" s="6" t="n">
        <v>2</v>
      </c>
      <c r="H555" s="8" t="n">
        <v>500</v>
      </c>
      <c r="I555" s="8" t="n">
        <f aca="false">G555*H555</f>
        <v>1000</v>
      </c>
    </row>
    <row r="556" customFormat="false" ht="15" hidden="false" customHeight="false" outlineLevel="0" collapsed="false">
      <c r="A556" s="6" t="n">
        <v>127</v>
      </c>
      <c r="B556" s="7" t="n">
        <v>45131</v>
      </c>
      <c r="C556" s="6" t="s">
        <v>602</v>
      </c>
      <c r="D556" s="6" t="s">
        <v>49</v>
      </c>
      <c r="E556" s="6" t="n">
        <v>33</v>
      </c>
      <c r="F556" s="6" t="s">
        <v>47</v>
      </c>
      <c r="G556" s="6" t="n">
        <v>2</v>
      </c>
      <c r="H556" s="8" t="n">
        <v>25</v>
      </c>
      <c r="I556" s="8" t="n">
        <f aca="false">G556*H556</f>
        <v>50</v>
      </c>
    </row>
    <row r="557" customFormat="false" ht="15" hidden="false" customHeight="false" outlineLevel="0" collapsed="false">
      <c r="A557" s="6" t="n">
        <v>299</v>
      </c>
      <c r="B557" s="7" t="n">
        <v>45132</v>
      </c>
      <c r="C557" s="6" t="s">
        <v>603</v>
      </c>
      <c r="D557" s="6" t="s">
        <v>44</v>
      </c>
      <c r="E557" s="6" t="n">
        <v>61</v>
      </c>
      <c r="F557" s="6" t="s">
        <v>51</v>
      </c>
      <c r="G557" s="6" t="n">
        <v>2</v>
      </c>
      <c r="H557" s="8" t="n">
        <v>500</v>
      </c>
      <c r="I557" s="8" t="n">
        <f aca="false">G557*H557</f>
        <v>1000</v>
      </c>
    </row>
    <row r="558" customFormat="false" ht="15" hidden="false" customHeight="false" outlineLevel="0" collapsed="false">
      <c r="A558" s="6" t="n">
        <v>934</v>
      </c>
      <c r="B558" s="7" t="n">
        <v>45132</v>
      </c>
      <c r="C558" s="6" t="s">
        <v>604</v>
      </c>
      <c r="D558" s="6" t="s">
        <v>44</v>
      </c>
      <c r="E558" s="6" t="n">
        <v>30</v>
      </c>
      <c r="F558" s="6" t="s">
        <v>45</v>
      </c>
      <c r="G558" s="6" t="n">
        <v>1</v>
      </c>
      <c r="H558" s="8" t="n">
        <v>500</v>
      </c>
      <c r="I558" s="8" t="n">
        <f aca="false">G558*H558</f>
        <v>500</v>
      </c>
    </row>
    <row r="559" customFormat="false" ht="15" hidden="false" customHeight="false" outlineLevel="0" collapsed="false">
      <c r="A559" s="6" t="n">
        <v>105</v>
      </c>
      <c r="B559" s="7" t="n">
        <v>45132</v>
      </c>
      <c r="C559" s="6" t="s">
        <v>605</v>
      </c>
      <c r="D559" s="6" t="s">
        <v>49</v>
      </c>
      <c r="E559" s="6" t="n">
        <v>22</v>
      </c>
      <c r="F559" s="6" t="s">
        <v>51</v>
      </c>
      <c r="G559" s="6" t="n">
        <v>1</v>
      </c>
      <c r="H559" s="8" t="n">
        <v>500</v>
      </c>
      <c r="I559" s="8" t="n">
        <f aca="false">G559*H559</f>
        <v>500</v>
      </c>
    </row>
    <row r="560" customFormat="false" ht="15" hidden="false" customHeight="false" outlineLevel="0" collapsed="false">
      <c r="A560" s="6" t="n">
        <v>270</v>
      </c>
      <c r="B560" s="7" t="n">
        <v>45133</v>
      </c>
      <c r="C560" s="6" t="s">
        <v>606</v>
      </c>
      <c r="D560" s="6" t="s">
        <v>44</v>
      </c>
      <c r="E560" s="6" t="n">
        <v>43</v>
      </c>
      <c r="F560" s="6" t="s">
        <v>51</v>
      </c>
      <c r="G560" s="6" t="n">
        <v>1</v>
      </c>
      <c r="H560" s="8" t="n">
        <v>300</v>
      </c>
      <c r="I560" s="8" t="n">
        <f aca="false">G560*H560</f>
        <v>300</v>
      </c>
    </row>
    <row r="561" customFormat="false" ht="15" hidden="false" customHeight="false" outlineLevel="0" collapsed="false">
      <c r="A561" s="6" t="n">
        <v>338</v>
      </c>
      <c r="B561" s="7" t="n">
        <v>45133</v>
      </c>
      <c r="C561" s="6" t="s">
        <v>607</v>
      </c>
      <c r="D561" s="6" t="s">
        <v>44</v>
      </c>
      <c r="E561" s="6" t="n">
        <v>54</v>
      </c>
      <c r="F561" s="6" t="s">
        <v>45</v>
      </c>
      <c r="G561" s="6" t="n">
        <v>2</v>
      </c>
      <c r="H561" s="8" t="n">
        <v>50</v>
      </c>
      <c r="I561" s="8" t="n">
        <f aca="false">G561*H561</f>
        <v>100</v>
      </c>
    </row>
    <row r="562" customFormat="false" ht="15" hidden="false" customHeight="false" outlineLevel="0" collapsed="false">
      <c r="A562" s="6" t="n">
        <v>543</v>
      </c>
      <c r="B562" s="7" t="n">
        <v>45133</v>
      </c>
      <c r="C562" s="6" t="s">
        <v>608</v>
      </c>
      <c r="D562" s="6" t="s">
        <v>44</v>
      </c>
      <c r="E562" s="6" t="n">
        <v>49</v>
      </c>
      <c r="F562" s="6" t="s">
        <v>45</v>
      </c>
      <c r="G562" s="6" t="n">
        <v>2</v>
      </c>
      <c r="H562" s="8" t="n">
        <v>300</v>
      </c>
      <c r="I562" s="8" t="n">
        <f aca="false">G562*H562</f>
        <v>600</v>
      </c>
    </row>
    <row r="563" customFormat="false" ht="15" hidden="false" customHeight="false" outlineLevel="0" collapsed="false">
      <c r="A563" s="6" t="n">
        <v>557</v>
      </c>
      <c r="B563" s="7" t="n">
        <v>45134</v>
      </c>
      <c r="C563" s="6" t="s">
        <v>609</v>
      </c>
      <c r="D563" s="6" t="s">
        <v>49</v>
      </c>
      <c r="E563" s="6" t="n">
        <v>20</v>
      </c>
      <c r="F563" s="6" t="s">
        <v>45</v>
      </c>
      <c r="G563" s="6" t="n">
        <v>3</v>
      </c>
      <c r="H563" s="8" t="n">
        <v>30</v>
      </c>
      <c r="I563" s="8" t="n">
        <f aca="false">G563*H563</f>
        <v>90</v>
      </c>
    </row>
    <row r="564" customFormat="false" ht="15" hidden="false" customHeight="false" outlineLevel="0" collapsed="false">
      <c r="A564" s="6" t="n">
        <v>864</v>
      </c>
      <c r="B564" s="7" t="n">
        <v>45134</v>
      </c>
      <c r="C564" s="6" t="s">
        <v>610</v>
      </c>
      <c r="D564" s="6" t="s">
        <v>49</v>
      </c>
      <c r="E564" s="6" t="n">
        <v>51</v>
      </c>
      <c r="F564" s="6" t="s">
        <v>51</v>
      </c>
      <c r="G564" s="6" t="n">
        <v>1</v>
      </c>
      <c r="H564" s="8" t="n">
        <v>500</v>
      </c>
      <c r="I564" s="8" t="n">
        <f aca="false">G564*H564</f>
        <v>500</v>
      </c>
    </row>
    <row r="565" customFormat="false" ht="15" hidden="false" customHeight="false" outlineLevel="0" collapsed="false">
      <c r="A565" s="6" t="n">
        <v>702</v>
      </c>
      <c r="B565" s="7" t="n">
        <v>45134</v>
      </c>
      <c r="C565" s="6" t="s">
        <v>611</v>
      </c>
      <c r="D565" s="6" t="s">
        <v>49</v>
      </c>
      <c r="E565" s="6" t="n">
        <v>60</v>
      </c>
      <c r="F565" s="6" t="s">
        <v>47</v>
      </c>
      <c r="G565" s="6" t="n">
        <v>2</v>
      </c>
      <c r="H565" s="8" t="n">
        <v>300</v>
      </c>
      <c r="I565" s="8" t="n">
        <f aca="false">G565*H565</f>
        <v>600</v>
      </c>
    </row>
    <row r="566" customFormat="false" ht="15" hidden="false" customHeight="false" outlineLevel="0" collapsed="false">
      <c r="A566" s="6" t="n">
        <v>668</v>
      </c>
      <c r="B566" s="7" t="n">
        <v>45135</v>
      </c>
      <c r="C566" s="6" t="s">
        <v>612</v>
      </c>
      <c r="D566" s="6" t="s">
        <v>49</v>
      </c>
      <c r="E566" s="6" t="n">
        <v>62</v>
      </c>
      <c r="F566" s="6" t="s">
        <v>51</v>
      </c>
      <c r="G566" s="6" t="n">
        <v>3</v>
      </c>
      <c r="H566" s="8" t="n">
        <v>50</v>
      </c>
      <c r="I566" s="8" t="n">
        <f aca="false">G566*H566</f>
        <v>150</v>
      </c>
    </row>
    <row r="567" customFormat="false" ht="15" hidden="false" customHeight="false" outlineLevel="0" collapsed="false">
      <c r="A567" s="6" t="n">
        <v>850</v>
      </c>
      <c r="B567" s="7" t="n">
        <v>45135</v>
      </c>
      <c r="C567" s="6" t="s">
        <v>613</v>
      </c>
      <c r="D567" s="6" t="s">
        <v>49</v>
      </c>
      <c r="E567" s="6" t="n">
        <v>26</v>
      </c>
      <c r="F567" s="6" t="s">
        <v>45</v>
      </c>
      <c r="G567" s="6" t="n">
        <v>2</v>
      </c>
      <c r="H567" s="8" t="n">
        <v>500</v>
      </c>
      <c r="I567" s="8" t="n">
        <f aca="false">G567*H567</f>
        <v>1000</v>
      </c>
    </row>
    <row r="568" customFormat="false" ht="15" hidden="false" customHeight="false" outlineLevel="0" collapsed="false">
      <c r="A568" s="6" t="n">
        <v>457</v>
      </c>
      <c r="B568" s="7" t="n">
        <v>45135</v>
      </c>
      <c r="C568" s="6" t="s">
        <v>614</v>
      </c>
      <c r="D568" s="6" t="s">
        <v>49</v>
      </c>
      <c r="E568" s="6" t="n">
        <v>58</v>
      </c>
      <c r="F568" s="6" t="s">
        <v>45</v>
      </c>
      <c r="G568" s="6" t="n">
        <v>3</v>
      </c>
      <c r="H568" s="8" t="n">
        <v>300</v>
      </c>
      <c r="I568" s="8" t="n">
        <f aca="false">G568*H568</f>
        <v>900</v>
      </c>
    </row>
    <row r="569" customFormat="false" ht="15" hidden="false" customHeight="false" outlineLevel="0" collapsed="false">
      <c r="A569" s="6" t="n">
        <v>254</v>
      </c>
      <c r="B569" s="7" t="n">
        <v>45135</v>
      </c>
      <c r="C569" s="6" t="s">
        <v>615</v>
      </c>
      <c r="D569" s="6" t="s">
        <v>44</v>
      </c>
      <c r="E569" s="6" t="n">
        <v>41</v>
      </c>
      <c r="F569" s="6" t="s">
        <v>51</v>
      </c>
      <c r="G569" s="6" t="n">
        <v>1</v>
      </c>
      <c r="H569" s="8" t="n">
        <v>500</v>
      </c>
      <c r="I569" s="8" t="n">
        <f aca="false">G569*H569</f>
        <v>500</v>
      </c>
    </row>
    <row r="570" customFormat="false" ht="15" hidden="false" customHeight="false" outlineLevel="0" collapsed="false">
      <c r="A570" s="6" t="n">
        <v>295</v>
      </c>
      <c r="B570" s="7" t="n">
        <v>45135</v>
      </c>
      <c r="C570" s="6" t="s">
        <v>616</v>
      </c>
      <c r="D570" s="6" t="s">
        <v>49</v>
      </c>
      <c r="E570" s="6" t="n">
        <v>27</v>
      </c>
      <c r="F570" s="6" t="s">
        <v>45</v>
      </c>
      <c r="G570" s="6" t="n">
        <v>3</v>
      </c>
      <c r="H570" s="8" t="n">
        <v>300</v>
      </c>
      <c r="I570" s="8" t="n">
        <f aca="false">G570*H570</f>
        <v>900</v>
      </c>
    </row>
    <row r="571" customFormat="false" ht="15" hidden="false" customHeight="false" outlineLevel="0" collapsed="false">
      <c r="A571" s="6" t="n">
        <v>980</v>
      </c>
      <c r="B571" s="7" t="n">
        <v>45136</v>
      </c>
      <c r="C571" s="6" t="s">
        <v>617</v>
      </c>
      <c r="D571" s="6" t="s">
        <v>49</v>
      </c>
      <c r="E571" s="6" t="n">
        <v>31</v>
      </c>
      <c r="F571" s="6" t="s">
        <v>51</v>
      </c>
      <c r="G571" s="6" t="n">
        <v>3</v>
      </c>
      <c r="H571" s="8" t="n">
        <v>25</v>
      </c>
      <c r="I571" s="8" t="n">
        <f aca="false">G571*H571</f>
        <v>75</v>
      </c>
    </row>
    <row r="572" customFormat="false" ht="15" hidden="false" customHeight="false" outlineLevel="0" collapsed="false">
      <c r="A572" s="6" t="n">
        <v>541</v>
      </c>
      <c r="B572" s="7" t="n">
        <v>45136</v>
      </c>
      <c r="C572" s="6" t="s">
        <v>618</v>
      </c>
      <c r="D572" s="6" t="s">
        <v>44</v>
      </c>
      <c r="E572" s="6" t="n">
        <v>56</v>
      </c>
      <c r="F572" s="6" t="s">
        <v>45</v>
      </c>
      <c r="G572" s="6" t="n">
        <v>1</v>
      </c>
      <c r="H572" s="8" t="n">
        <v>500</v>
      </c>
      <c r="I572" s="8" t="n">
        <f aca="false">G572*H572</f>
        <v>500</v>
      </c>
    </row>
    <row r="573" customFormat="false" ht="15" hidden="false" customHeight="false" outlineLevel="0" collapsed="false">
      <c r="A573" s="6" t="n">
        <v>467</v>
      </c>
      <c r="B573" s="7" t="n">
        <v>45137</v>
      </c>
      <c r="C573" s="6" t="s">
        <v>619</v>
      </c>
      <c r="D573" s="6" t="s">
        <v>49</v>
      </c>
      <c r="E573" s="6" t="n">
        <v>53</v>
      </c>
      <c r="F573" s="6" t="s">
        <v>51</v>
      </c>
      <c r="G573" s="6" t="n">
        <v>3</v>
      </c>
      <c r="H573" s="8" t="n">
        <v>50</v>
      </c>
      <c r="I573" s="8" t="n">
        <f aca="false">G573*H573</f>
        <v>150</v>
      </c>
    </row>
    <row r="574" customFormat="false" ht="15" hidden="false" customHeight="false" outlineLevel="0" collapsed="false">
      <c r="A574" s="6" t="n">
        <v>262</v>
      </c>
      <c r="B574" s="7" t="n">
        <v>45137</v>
      </c>
      <c r="C574" s="6" t="s">
        <v>620</v>
      </c>
      <c r="D574" s="6" t="s">
        <v>49</v>
      </c>
      <c r="E574" s="6" t="n">
        <v>32</v>
      </c>
      <c r="F574" s="6" t="s">
        <v>45</v>
      </c>
      <c r="G574" s="6" t="n">
        <v>4</v>
      </c>
      <c r="H574" s="8" t="n">
        <v>30</v>
      </c>
      <c r="I574" s="8" t="n">
        <f aca="false">G574*H574</f>
        <v>120</v>
      </c>
    </row>
    <row r="575" customFormat="false" ht="15" hidden="false" customHeight="false" outlineLevel="0" collapsed="false">
      <c r="A575" s="6" t="n">
        <v>463</v>
      </c>
      <c r="B575" s="7" t="n">
        <v>45138</v>
      </c>
      <c r="C575" s="6" t="s">
        <v>621</v>
      </c>
      <c r="D575" s="6" t="s">
        <v>49</v>
      </c>
      <c r="E575" s="6" t="n">
        <v>54</v>
      </c>
      <c r="F575" s="6" t="s">
        <v>45</v>
      </c>
      <c r="G575" s="6" t="n">
        <v>3</v>
      </c>
      <c r="H575" s="8" t="n">
        <v>500</v>
      </c>
      <c r="I575" s="8" t="n">
        <f aca="false">G575*H575</f>
        <v>1500</v>
      </c>
    </row>
    <row r="576" customFormat="false" ht="15" hidden="false" customHeight="false" outlineLevel="0" collapsed="false">
      <c r="A576" s="6" t="n">
        <v>598</v>
      </c>
      <c r="B576" s="7" t="n">
        <v>45139</v>
      </c>
      <c r="C576" s="6" t="s">
        <v>622</v>
      </c>
      <c r="D576" s="6" t="s">
        <v>44</v>
      </c>
      <c r="E576" s="6" t="n">
        <v>37</v>
      </c>
      <c r="F576" s="6" t="s">
        <v>45</v>
      </c>
      <c r="G576" s="6" t="n">
        <v>4</v>
      </c>
      <c r="H576" s="8" t="n">
        <v>30</v>
      </c>
      <c r="I576" s="8" t="n">
        <f aca="false">G576*H576</f>
        <v>120</v>
      </c>
    </row>
    <row r="577" customFormat="false" ht="15" hidden="false" customHeight="false" outlineLevel="0" collapsed="false">
      <c r="A577" s="6" t="n">
        <v>672</v>
      </c>
      <c r="B577" s="7" t="n">
        <v>45139</v>
      </c>
      <c r="C577" s="6" t="s">
        <v>623</v>
      </c>
      <c r="D577" s="6" t="s">
        <v>49</v>
      </c>
      <c r="E577" s="6" t="n">
        <v>34</v>
      </c>
      <c r="F577" s="6" t="s">
        <v>45</v>
      </c>
      <c r="G577" s="6" t="n">
        <v>2</v>
      </c>
      <c r="H577" s="8" t="n">
        <v>50</v>
      </c>
      <c r="I577" s="8" t="n">
        <f aca="false">G577*H577</f>
        <v>100</v>
      </c>
    </row>
    <row r="578" customFormat="false" ht="15" hidden="false" customHeight="false" outlineLevel="0" collapsed="false">
      <c r="A578" s="6" t="n">
        <v>667</v>
      </c>
      <c r="B578" s="7" t="n">
        <v>45139</v>
      </c>
      <c r="C578" s="6" t="s">
        <v>624</v>
      </c>
      <c r="D578" s="6" t="s">
        <v>49</v>
      </c>
      <c r="E578" s="6" t="n">
        <v>29</v>
      </c>
      <c r="F578" s="6" t="s">
        <v>51</v>
      </c>
      <c r="G578" s="6" t="n">
        <v>1</v>
      </c>
      <c r="H578" s="8" t="n">
        <v>500</v>
      </c>
      <c r="I578" s="8" t="n">
        <f aca="false">G578*H578</f>
        <v>500</v>
      </c>
    </row>
    <row r="579" customFormat="false" ht="15" hidden="false" customHeight="false" outlineLevel="0" collapsed="false">
      <c r="A579" s="6" t="n">
        <v>949</v>
      </c>
      <c r="B579" s="7" t="n">
        <v>45140</v>
      </c>
      <c r="C579" s="6" t="s">
        <v>625</v>
      </c>
      <c r="D579" s="6" t="s">
        <v>49</v>
      </c>
      <c r="E579" s="6" t="n">
        <v>41</v>
      </c>
      <c r="F579" s="6" t="s">
        <v>51</v>
      </c>
      <c r="G579" s="6" t="n">
        <v>2</v>
      </c>
      <c r="H579" s="8" t="n">
        <v>25</v>
      </c>
      <c r="I579" s="8" t="n">
        <f aca="false">G579*H579</f>
        <v>50</v>
      </c>
    </row>
    <row r="580" customFormat="false" ht="15" hidden="false" customHeight="false" outlineLevel="0" collapsed="false">
      <c r="A580" s="6" t="n">
        <v>687</v>
      </c>
      <c r="B580" s="7" t="n">
        <v>45141</v>
      </c>
      <c r="C580" s="6" t="s">
        <v>626</v>
      </c>
      <c r="D580" s="6" t="s">
        <v>49</v>
      </c>
      <c r="E580" s="6" t="n">
        <v>53</v>
      </c>
      <c r="F580" s="6" t="s">
        <v>51</v>
      </c>
      <c r="G580" s="6" t="n">
        <v>1</v>
      </c>
      <c r="H580" s="8" t="n">
        <v>300</v>
      </c>
      <c r="I580" s="8" t="n">
        <f aca="false">G580*H580</f>
        <v>300</v>
      </c>
    </row>
    <row r="581" customFormat="false" ht="15" hidden="false" customHeight="false" outlineLevel="0" collapsed="false">
      <c r="A581" s="6" t="n">
        <v>27</v>
      </c>
      <c r="B581" s="7" t="n">
        <v>45141</v>
      </c>
      <c r="C581" s="6" t="s">
        <v>627</v>
      </c>
      <c r="D581" s="6" t="s">
        <v>49</v>
      </c>
      <c r="E581" s="6" t="n">
        <v>38</v>
      </c>
      <c r="F581" s="6" t="s">
        <v>45</v>
      </c>
      <c r="G581" s="6" t="n">
        <v>2</v>
      </c>
      <c r="H581" s="8" t="n">
        <v>25</v>
      </c>
      <c r="I581" s="8" t="n">
        <f aca="false">G581*H581</f>
        <v>50</v>
      </c>
    </row>
    <row r="582" customFormat="false" ht="15" hidden="false" customHeight="false" outlineLevel="0" collapsed="false">
      <c r="A582" s="6" t="n">
        <v>347</v>
      </c>
      <c r="B582" s="7" t="n">
        <v>45141</v>
      </c>
      <c r="C582" s="6" t="s">
        <v>628</v>
      </c>
      <c r="D582" s="6" t="s">
        <v>44</v>
      </c>
      <c r="E582" s="6" t="n">
        <v>42</v>
      </c>
      <c r="F582" s="6" t="s">
        <v>51</v>
      </c>
      <c r="G582" s="6" t="n">
        <v>1</v>
      </c>
      <c r="H582" s="8" t="n">
        <v>25</v>
      </c>
      <c r="I582" s="8" t="n">
        <f aca="false">G582*H582</f>
        <v>25</v>
      </c>
    </row>
    <row r="583" customFormat="false" ht="15" hidden="false" customHeight="false" outlineLevel="0" collapsed="false">
      <c r="A583" s="6" t="n">
        <v>730</v>
      </c>
      <c r="B583" s="7" t="n">
        <v>45142</v>
      </c>
      <c r="C583" s="6" t="s">
        <v>629</v>
      </c>
      <c r="D583" s="6" t="s">
        <v>49</v>
      </c>
      <c r="E583" s="6" t="n">
        <v>36</v>
      </c>
      <c r="F583" s="6" t="s">
        <v>47</v>
      </c>
      <c r="G583" s="6" t="n">
        <v>2</v>
      </c>
      <c r="H583" s="8" t="n">
        <v>25</v>
      </c>
      <c r="I583" s="8" t="n">
        <f aca="false">G583*H583</f>
        <v>50</v>
      </c>
    </row>
    <row r="584" customFormat="false" ht="15" hidden="false" customHeight="false" outlineLevel="0" collapsed="false">
      <c r="A584" s="6" t="n">
        <v>798</v>
      </c>
      <c r="B584" s="7" t="n">
        <v>45142</v>
      </c>
      <c r="C584" s="6" t="s">
        <v>630</v>
      </c>
      <c r="D584" s="6" t="s">
        <v>44</v>
      </c>
      <c r="E584" s="6" t="n">
        <v>61</v>
      </c>
      <c r="F584" s="6" t="s">
        <v>47</v>
      </c>
      <c r="G584" s="6" t="n">
        <v>1</v>
      </c>
      <c r="H584" s="8" t="n">
        <v>50</v>
      </c>
      <c r="I584" s="8" t="n">
        <f aca="false">G584*H584</f>
        <v>50</v>
      </c>
    </row>
    <row r="585" customFormat="false" ht="15" hidden="false" customHeight="false" outlineLevel="0" collapsed="false">
      <c r="A585" s="6" t="n">
        <v>675</v>
      </c>
      <c r="B585" s="7" t="n">
        <v>45142</v>
      </c>
      <c r="C585" s="6" t="s">
        <v>631</v>
      </c>
      <c r="D585" s="6" t="s">
        <v>49</v>
      </c>
      <c r="E585" s="6" t="n">
        <v>45</v>
      </c>
      <c r="F585" s="6" t="s">
        <v>47</v>
      </c>
      <c r="G585" s="6" t="n">
        <v>2</v>
      </c>
      <c r="H585" s="8" t="n">
        <v>30</v>
      </c>
      <c r="I585" s="8" t="n">
        <f aca="false">G585*H585</f>
        <v>60</v>
      </c>
    </row>
    <row r="586" customFormat="false" ht="15" hidden="false" customHeight="false" outlineLevel="0" collapsed="false">
      <c r="A586" s="6" t="n">
        <v>549</v>
      </c>
      <c r="B586" s="7" t="n">
        <v>45142</v>
      </c>
      <c r="C586" s="6" t="s">
        <v>632</v>
      </c>
      <c r="D586" s="6" t="s">
        <v>49</v>
      </c>
      <c r="E586" s="6" t="n">
        <v>50</v>
      </c>
      <c r="F586" s="6" t="s">
        <v>45</v>
      </c>
      <c r="G586" s="6" t="n">
        <v>2</v>
      </c>
      <c r="H586" s="8" t="n">
        <v>50</v>
      </c>
      <c r="I586" s="8" t="n">
        <f aca="false">G586*H586</f>
        <v>100</v>
      </c>
    </row>
    <row r="587" customFormat="false" ht="15" hidden="false" customHeight="false" outlineLevel="0" collapsed="false">
      <c r="A587" s="6" t="n">
        <v>206</v>
      </c>
      <c r="B587" s="7" t="n">
        <v>45143</v>
      </c>
      <c r="C587" s="6" t="s">
        <v>633</v>
      </c>
      <c r="D587" s="6" t="s">
        <v>44</v>
      </c>
      <c r="E587" s="6" t="n">
        <v>61</v>
      </c>
      <c r="F587" s="6" t="s">
        <v>47</v>
      </c>
      <c r="G587" s="6" t="n">
        <v>1</v>
      </c>
      <c r="H587" s="8" t="n">
        <v>25</v>
      </c>
      <c r="I587" s="8" t="n">
        <f aca="false">G587*H587</f>
        <v>25</v>
      </c>
    </row>
    <row r="588" customFormat="false" ht="15" hidden="false" customHeight="false" outlineLevel="0" collapsed="false">
      <c r="A588" s="6" t="n">
        <v>35</v>
      </c>
      <c r="B588" s="7" t="n">
        <v>45143</v>
      </c>
      <c r="C588" s="6" t="s">
        <v>634</v>
      </c>
      <c r="D588" s="6" t="s">
        <v>49</v>
      </c>
      <c r="E588" s="6" t="n">
        <v>58</v>
      </c>
      <c r="F588" s="6" t="s">
        <v>45</v>
      </c>
      <c r="G588" s="6" t="n">
        <v>3</v>
      </c>
      <c r="H588" s="8" t="n">
        <v>300</v>
      </c>
      <c r="I588" s="8" t="n">
        <f aca="false">G588*H588</f>
        <v>900</v>
      </c>
    </row>
    <row r="589" customFormat="false" ht="15" hidden="false" customHeight="false" outlineLevel="0" collapsed="false">
      <c r="A589" s="6" t="n">
        <v>279</v>
      </c>
      <c r="B589" s="7" t="n">
        <v>45143</v>
      </c>
      <c r="C589" s="6" t="s">
        <v>635</v>
      </c>
      <c r="D589" s="6" t="s">
        <v>44</v>
      </c>
      <c r="E589" s="6" t="n">
        <v>50</v>
      </c>
      <c r="F589" s="6" t="s">
        <v>47</v>
      </c>
      <c r="G589" s="6" t="n">
        <v>1</v>
      </c>
      <c r="H589" s="8" t="n">
        <v>500</v>
      </c>
      <c r="I589" s="8" t="n">
        <f aca="false">G589*H589</f>
        <v>500</v>
      </c>
    </row>
    <row r="590" customFormat="false" ht="15" hidden="false" customHeight="false" outlineLevel="0" collapsed="false">
      <c r="A590" s="6" t="n">
        <v>140</v>
      </c>
      <c r="B590" s="7" t="n">
        <v>45143</v>
      </c>
      <c r="C590" s="6" t="s">
        <v>636</v>
      </c>
      <c r="D590" s="6" t="s">
        <v>44</v>
      </c>
      <c r="E590" s="6" t="n">
        <v>38</v>
      </c>
      <c r="F590" s="6" t="s">
        <v>51</v>
      </c>
      <c r="G590" s="6" t="n">
        <v>1</v>
      </c>
      <c r="H590" s="8" t="n">
        <v>30</v>
      </c>
      <c r="I590" s="8" t="n">
        <f aca="false">G590*H590</f>
        <v>30</v>
      </c>
    </row>
    <row r="591" customFormat="false" ht="15" hidden="false" customHeight="false" outlineLevel="0" collapsed="false">
      <c r="A591" s="6" t="n">
        <v>261</v>
      </c>
      <c r="B591" s="7" t="n">
        <v>45143</v>
      </c>
      <c r="C591" s="6" t="s">
        <v>637</v>
      </c>
      <c r="D591" s="6" t="s">
        <v>44</v>
      </c>
      <c r="E591" s="6" t="n">
        <v>21</v>
      </c>
      <c r="F591" s="6" t="s">
        <v>47</v>
      </c>
      <c r="G591" s="6" t="n">
        <v>2</v>
      </c>
      <c r="H591" s="8" t="n">
        <v>25</v>
      </c>
      <c r="I591" s="8" t="n">
        <f aca="false">G591*H591</f>
        <v>50</v>
      </c>
    </row>
    <row r="592" customFormat="false" ht="15" hidden="false" customHeight="false" outlineLevel="0" collapsed="false">
      <c r="A592" s="6" t="n">
        <v>308</v>
      </c>
      <c r="B592" s="7" t="n">
        <v>45143</v>
      </c>
      <c r="C592" s="6" t="s">
        <v>638</v>
      </c>
      <c r="D592" s="6" t="s">
        <v>49</v>
      </c>
      <c r="E592" s="6" t="n">
        <v>34</v>
      </c>
      <c r="F592" s="6" t="s">
        <v>45</v>
      </c>
      <c r="G592" s="6" t="n">
        <v>4</v>
      </c>
      <c r="H592" s="8" t="n">
        <v>300</v>
      </c>
      <c r="I592" s="8" t="n">
        <f aca="false">G592*H592</f>
        <v>1200</v>
      </c>
    </row>
    <row r="593" customFormat="false" ht="15" hidden="false" customHeight="false" outlineLevel="0" collapsed="false">
      <c r="A593" s="6" t="n">
        <v>13</v>
      </c>
      <c r="B593" s="7" t="n">
        <v>45143</v>
      </c>
      <c r="C593" s="6" t="s">
        <v>639</v>
      </c>
      <c r="D593" s="6" t="s">
        <v>44</v>
      </c>
      <c r="E593" s="6" t="n">
        <v>22</v>
      </c>
      <c r="F593" s="6" t="s">
        <v>51</v>
      </c>
      <c r="G593" s="6" t="n">
        <v>3</v>
      </c>
      <c r="H593" s="8" t="n">
        <v>500</v>
      </c>
      <c r="I593" s="8" t="n">
        <f aca="false">G593*H593</f>
        <v>1500</v>
      </c>
    </row>
    <row r="594" customFormat="false" ht="15" hidden="false" customHeight="false" outlineLevel="0" collapsed="false">
      <c r="A594" s="6" t="n">
        <v>418</v>
      </c>
      <c r="B594" s="7" t="n">
        <v>45143</v>
      </c>
      <c r="C594" s="6" t="s">
        <v>640</v>
      </c>
      <c r="D594" s="6" t="s">
        <v>49</v>
      </c>
      <c r="E594" s="6" t="n">
        <v>60</v>
      </c>
      <c r="F594" s="6" t="s">
        <v>51</v>
      </c>
      <c r="G594" s="6" t="n">
        <v>2</v>
      </c>
      <c r="H594" s="8" t="n">
        <v>500</v>
      </c>
      <c r="I594" s="8" t="n">
        <f aca="false">G594*H594</f>
        <v>1000</v>
      </c>
    </row>
    <row r="595" customFormat="false" ht="15" hidden="false" customHeight="false" outlineLevel="0" collapsed="false">
      <c r="A595" s="6" t="n">
        <v>875</v>
      </c>
      <c r="B595" s="7" t="n">
        <v>45144</v>
      </c>
      <c r="C595" s="6" t="s">
        <v>641</v>
      </c>
      <c r="D595" s="6" t="s">
        <v>49</v>
      </c>
      <c r="E595" s="6" t="n">
        <v>51</v>
      </c>
      <c r="F595" s="6" t="s">
        <v>51</v>
      </c>
      <c r="G595" s="6" t="n">
        <v>4</v>
      </c>
      <c r="H595" s="8" t="n">
        <v>500</v>
      </c>
      <c r="I595" s="8" t="n">
        <f aca="false">G595*H595</f>
        <v>2000</v>
      </c>
    </row>
    <row r="596" customFormat="false" ht="15" hidden="false" customHeight="false" outlineLevel="0" collapsed="false">
      <c r="A596" s="6" t="n">
        <v>612</v>
      </c>
      <c r="B596" s="7" t="n">
        <v>45144</v>
      </c>
      <c r="C596" s="6" t="s">
        <v>642</v>
      </c>
      <c r="D596" s="6" t="s">
        <v>49</v>
      </c>
      <c r="E596" s="6" t="n">
        <v>61</v>
      </c>
      <c r="F596" s="6" t="s">
        <v>51</v>
      </c>
      <c r="G596" s="6" t="n">
        <v>1</v>
      </c>
      <c r="H596" s="8" t="n">
        <v>500</v>
      </c>
      <c r="I596" s="8" t="n">
        <f aca="false">G596*H596</f>
        <v>500</v>
      </c>
    </row>
    <row r="597" customFormat="false" ht="15" hidden="false" customHeight="false" outlineLevel="0" collapsed="false">
      <c r="A597" s="6" t="n">
        <v>430</v>
      </c>
      <c r="B597" s="7" t="n">
        <v>45145</v>
      </c>
      <c r="C597" s="6" t="s">
        <v>643</v>
      </c>
      <c r="D597" s="6" t="s">
        <v>49</v>
      </c>
      <c r="E597" s="6" t="n">
        <v>43</v>
      </c>
      <c r="F597" s="6" t="s">
        <v>51</v>
      </c>
      <c r="G597" s="6" t="n">
        <v>3</v>
      </c>
      <c r="H597" s="8" t="n">
        <v>300</v>
      </c>
      <c r="I597" s="8" t="n">
        <f aca="false">G597*H597</f>
        <v>900</v>
      </c>
    </row>
    <row r="598" customFormat="false" ht="15" hidden="false" customHeight="false" outlineLevel="0" collapsed="false">
      <c r="A598" s="6" t="n">
        <v>633</v>
      </c>
      <c r="B598" s="7" t="n">
        <v>45145</v>
      </c>
      <c r="C598" s="6" t="s">
        <v>644</v>
      </c>
      <c r="D598" s="6" t="s">
        <v>44</v>
      </c>
      <c r="E598" s="6" t="n">
        <v>39</v>
      </c>
      <c r="F598" s="6" t="s">
        <v>45</v>
      </c>
      <c r="G598" s="6" t="n">
        <v>4</v>
      </c>
      <c r="H598" s="8" t="n">
        <v>30</v>
      </c>
      <c r="I598" s="8" t="n">
        <f aca="false">G598*H598</f>
        <v>120</v>
      </c>
    </row>
    <row r="599" customFormat="false" ht="15" hidden="false" customHeight="false" outlineLevel="0" collapsed="false">
      <c r="A599" s="6" t="n">
        <v>790</v>
      </c>
      <c r="B599" s="7" t="n">
        <v>45146</v>
      </c>
      <c r="C599" s="6" t="s">
        <v>645</v>
      </c>
      <c r="D599" s="6" t="s">
        <v>44</v>
      </c>
      <c r="E599" s="6" t="n">
        <v>62</v>
      </c>
      <c r="F599" s="6" t="s">
        <v>47</v>
      </c>
      <c r="G599" s="6" t="n">
        <v>1</v>
      </c>
      <c r="H599" s="8" t="n">
        <v>25</v>
      </c>
      <c r="I599" s="8" t="n">
        <f aca="false">G599*H599</f>
        <v>25</v>
      </c>
    </row>
    <row r="600" customFormat="false" ht="15" hidden="false" customHeight="false" outlineLevel="0" collapsed="false">
      <c r="A600" s="6" t="n">
        <v>716</v>
      </c>
      <c r="B600" s="7" t="n">
        <v>45146</v>
      </c>
      <c r="C600" s="6" t="s">
        <v>646</v>
      </c>
      <c r="D600" s="6" t="s">
        <v>49</v>
      </c>
      <c r="E600" s="6" t="n">
        <v>60</v>
      </c>
      <c r="F600" s="6" t="s">
        <v>47</v>
      </c>
      <c r="G600" s="6" t="n">
        <v>4</v>
      </c>
      <c r="H600" s="8" t="n">
        <v>300</v>
      </c>
      <c r="I600" s="8" t="n">
        <f aca="false">G600*H600</f>
        <v>1200</v>
      </c>
    </row>
    <row r="601" customFormat="false" ht="15" hidden="false" customHeight="false" outlineLevel="0" collapsed="false">
      <c r="A601" s="6" t="n">
        <v>960</v>
      </c>
      <c r="B601" s="7" t="n">
        <v>45146</v>
      </c>
      <c r="C601" s="6" t="s">
        <v>647</v>
      </c>
      <c r="D601" s="6" t="s">
        <v>44</v>
      </c>
      <c r="E601" s="6" t="n">
        <v>59</v>
      </c>
      <c r="F601" s="6" t="s">
        <v>47</v>
      </c>
      <c r="G601" s="6" t="n">
        <v>2</v>
      </c>
      <c r="H601" s="8" t="n">
        <v>30</v>
      </c>
      <c r="I601" s="8" t="n">
        <f aca="false">G601*H601</f>
        <v>60</v>
      </c>
    </row>
    <row r="602" customFormat="false" ht="15" hidden="false" customHeight="false" outlineLevel="0" collapsed="false">
      <c r="A602" s="6" t="n">
        <v>125</v>
      </c>
      <c r="B602" s="7" t="n">
        <v>45146</v>
      </c>
      <c r="C602" s="6" t="s">
        <v>648</v>
      </c>
      <c r="D602" s="6" t="s">
        <v>44</v>
      </c>
      <c r="E602" s="6" t="n">
        <v>48</v>
      </c>
      <c r="F602" s="6" t="s">
        <v>47</v>
      </c>
      <c r="G602" s="6" t="n">
        <v>2</v>
      </c>
      <c r="H602" s="8" t="n">
        <v>50</v>
      </c>
      <c r="I602" s="8" t="n">
        <f aca="false">G602*H602</f>
        <v>100</v>
      </c>
    </row>
    <row r="603" customFormat="false" ht="15" hidden="false" customHeight="false" outlineLevel="0" collapsed="false">
      <c r="A603" s="6" t="n">
        <v>259</v>
      </c>
      <c r="B603" s="7" t="n">
        <v>45147</v>
      </c>
      <c r="C603" s="6" t="s">
        <v>649</v>
      </c>
      <c r="D603" s="6" t="s">
        <v>49</v>
      </c>
      <c r="E603" s="6" t="n">
        <v>45</v>
      </c>
      <c r="F603" s="6" t="s">
        <v>47</v>
      </c>
      <c r="G603" s="6" t="n">
        <v>4</v>
      </c>
      <c r="H603" s="8" t="n">
        <v>50</v>
      </c>
      <c r="I603" s="8" t="n">
        <f aca="false">G603*H603</f>
        <v>200</v>
      </c>
    </row>
    <row r="604" customFormat="false" ht="15" hidden="false" customHeight="false" outlineLevel="0" collapsed="false">
      <c r="A604" s="6" t="n">
        <v>443</v>
      </c>
      <c r="B604" s="7" t="n">
        <v>45147</v>
      </c>
      <c r="C604" s="6" t="s">
        <v>650</v>
      </c>
      <c r="D604" s="6" t="s">
        <v>44</v>
      </c>
      <c r="E604" s="6" t="n">
        <v>29</v>
      </c>
      <c r="F604" s="6" t="s">
        <v>47</v>
      </c>
      <c r="G604" s="6" t="n">
        <v>2</v>
      </c>
      <c r="H604" s="8" t="n">
        <v>300</v>
      </c>
      <c r="I604" s="8" t="n">
        <f aca="false">G604*H604</f>
        <v>600</v>
      </c>
    </row>
    <row r="605" customFormat="false" ht="15" hidden="false" customHeight="false" outlineLevel="0" collapsed="false">
      <c r="A605" s="6" t="n">
        <v>563</v>
      </c>
      <c r="B605" s="7" t="n">
        <v>45147</v>
      </c>
      <c r="C605" s="6" t="s">
        <v>651</v>
      </c>
      <c r="D605" s="6" t="s">
        <v>44</v>
      </c>
      <c r="E605" s="6" t="n">
        <v>20</v>
      </c>
      <c r="F605" s="6" t="s">
        <v>47</v>
      </c>
      <c r="G605" s="6" t="n">
        <v>2</v>
      </c>
      <c r="H605" s="8" t="n">
        <v>30</v>
      </c>
      <c r="I605" s="8" t="n">
        <f aca="false">G605*H605</f>
        <v>60</v>
      </c>
    </row>
    <row r="606" customFormat="false" ht="15" hidden="false" customHeight="false" outlineLevel="0" collapsed="false">
      <c r="A606" s="6" t="n">
        <v>529</v>
      </c>
      <c r="B606" s="7" t="n">
        <v>45147</v>
      </c>
      <c r="C606" s="6" t="s">
        <v>652</v>
      </c>
      <c r="D606" s="6" t="s">
        <v>49</v>
      </c>
      <c r="E606" s="6" t="n">
        <v>35</v>
      </c>
      <c r="F606" s="6" t="s">
        <v>47</v>
      </c>
      <c r="G606" s="6" t="n">
        <v>3</v>
      </c>
      <c r="H606" s="8" t="n">
        <v>50</v>
      </c>
      <c r="I606" s="8" t="n">
        <f aca="false">G606*H606</f>
        <v>150</v>
      </c>
    </row>
    <row r="607" customFormat="false" ht="15" hidden="false" customHeight="false" outlineLevel="0" collapsed="false">
      <c r="A607" s="6" t="n">
        <v>801</v>
      </c>
      <c r="B607" s="7" t="n">
        <v>45148</v>
      </c>
      <c r="C607" s="6" t="s">
        <v>653</v>
      </c>
      <c r="D607" s="6" t="s">
        <v>44</v>
      </c>
      <c r="E607" s="6" t="n">
        <v>21</v>
      </c>
      <c r="F607" s="6" t="s">
        <v>47</v>
      </c>
      <c r="G607" s="6" t="n">
        <v>4</v>
      </c>
      <c r="H607" s="8" t="n">
        <v>50</v>
      </c>
      <c r="I607" s="8" t="n">
        <f aca="false">G607*H607</f>
        <v>200</v>
      </c>
    </row>
    <row r="608" customFormat="false" ht="15" hidden="false" customHeight="false" outlineLevel="0" collapsed="false">
      <c r="A608" s="6" t="n">
        <v>160</v>
      </c>
      <c r="B608" s="7" t="n">
        <v>45149</v>
      </c>
      <c r="C608" s="6" t="s">
        <v>654</v>
      </c>
      <c r="D608" s="6" t="s">
        <v>49</v>
      </c>
      <c r="E608" s="6" t="n">
        <v>43</v>
      </c>
      <c r="F608" s="6" t="s">
        <v>47</v>
      </c>
      <c r="G608" s="6" t="n">
        <v>2</v>
      </c>
      <c r="H608" s="8" t="n">
        <v>50</v>
      </c>
      <c r="I608" s="8" t="n">
        <f aca="false">G608*H608</f>
        <v>100</v>
      </c>
    </row>
    <row r="609" customFormat="false" ht="15" hidden="false" customHeight="false" outlineLevel="0" collapsed="false">
      <c r="A609" s="6" t="n">
        <v>508</v>
      </c>
      <c r="B609" s="7" t="n">
        <v>45149</v>
      </c>
      <c r="C609" s="6" t="s">
        <v>655</v>
      </c>
      <c r="D609" s="6" t="s">
        <v>44</v>
      </c>
      <c r="E609" s="6" t="n">
        <v>58</v>
      </c>
      <c r="F609" s="6" t="s">
        <v>45</v>
      </c>
      <c r="G609" s="6" t="n">
        <v>2</v>
      </c>
      <c r="H609" s="8" t="n">
        <v>300</v>
      </c>
      <c r="I609" s="8" t="n">
        <f aca="false">G609*H609</f>
        <v>600</v>
      </c>
    </row>
    <row r="610" customFormat="false" ht="15" hidden="false" customHeight="false" outlineLevel="0" collapsed="false">
      <c r="A610" s="6" t="n">
        <v>807</v>
      </c>
      <c r="B610" s="7" t="n">
        <v>45149</v>
      </c>
      <c r="C610" s="6" t="s">
        <v>656</v>
      </c>
      <c r="D610" s="6" t="s">
        <v>49</v>
      </c>
      <c r="E610" s="6" t="n">
        <v>50</v>
      </c>
      <c r="F610" s="6" t="s">
        <v>51</v>
      </c>
      <c r="G610" s="6" t="n">
        <v>4</v>
      </c>
      <c r="H610" s="8" t="n">
        <v>50</v>
      </c>
      <c r="I610" s="8" t="n">
        <f aca="false">G610*H610</f>
        <v>200</v>
      </c>
    </row>
    <row r="611" customFormat="false" ht="15" hidden="false" customHeight="false" outlineLevel="0" collapsed="false">
      <c r="A611" s="6" t="n">
        <v>511</v>
      </c>
      <c r="B611" s="7" t="n">
        <v>45150</v>
      </c>
      <c r="C611" s="6" t="s">
        <v>657</v>
      </c>
      <c r="D611" s="6" t="s">
        <v>44</v>
      </c>
      <c r="E611" s="6" t="n">
        <v>45</v>
      </c>
      <c r="F611" s="6" t="s">
        <v>45</v>
      </c>
      <c r="G611" s="6" t="n">
        <v>2</v>
      </c>
      <c r="H611" s="8" t="n">
        <v>50</v>
      </c>
      <c r="I611" s="8" t="n">
        <f aca="false">G611*H611</f>
        <v>100</v>
      </c>
    </row>
    <row r="612" customFormat="false" ht="15" hidden="false" customHeight="false" outlineLevel="0" collapsed="false">
      <c r="A612" s="6" t="n">
        <v>816</v>
      </c>
      <c r="B612" s="7" t="n">
        <v>45150</v>
      </c>
      <c r="C612" s="6" t="s">
        <v>658</v>
      </c>
      <c r="D612" s="6" t="s">
        <v>44</v>
      </c>
      <c r="E612" s="6" t="n">
        <v>47</v>
      </c>
      <c r="F612" s="6" t="s">
        <v>45</v>
      </c>
      <c r="G612" s="6" t="n">
        <v>2</v>
      </c>
      <c r="H612" s="8" t="n">
        <v>500</v>
      </c>
      <c r="I612" s="8" t="n">
        <f aca="false">G612*H612</f>
        <v>1000</v>
      </c>
    </row>
    <row r="613" customFormat="false" ht="15" hidden="false" customHeight="false" outlineLevel="0" collapsed="false">
      <c r="A613" s="6" t="n">
        <v>695</v>
      </c>
      <c r="B613" s="7" t="n">
        <v>45150</v>
      </c>
      <c r="C613" s="6" t="s">
        <v>659</v>
      </c>
      <c r="D613" s="6" t="s">
        <v>49</v>
      </c>
      <c r="E613" s="6" t="n">
        <v>22</v>
      </c>
      <c r="F613" s="6" t="s">
        <v>51</v>
      </c>
      <c r="G613" s="6" t="n">
        <v>3</v>
      </c>
      <c r="H613" s="8" t="n">
        <v>50</v>
      </c>
      <c r="I613" s="8" t="n">
        <f aca="false">G613*H613</f>
        <v>150</v>
      </c>
    </row>
    <row r="614" customFormat="false" ht="15" hidden="false" customHeight="false" outlineLevel="0" collapsed="false">
      <c r="A614" s="6" t="n">
        <v>521</v>
      </c>
      <c r="B614" s="7" t="n">
        <v>45150</v>
      </c>
      <c r="C614" s="6" t="s">
        <v>660</v>
      </c>
      <c r="D614" s="6" t="s">
        <v>49</v>
      </c>
      <c r="E614" s="6" t="n">
        <v>47</v>
      </c>
      <c r="F614" s="6" t="s">
        <v>47</v>
      </c>
      <c r="G614" s="6" t="n">
        <v>4</v>
      </c>
      <c r="H614" s="8" t="n">
        <v>30</v>
      </c>
      <c r="I614" s="8" t="n">
        <f aca="false">G614*H614</f>
        <v>120</v>
      </c>
    </row>
    <row r="615" customFormat="false" ht="15" hidden="false" customHeight="false" outlineLevel="0" collapsed="false">
      <c r="A615" s="6" t="n">
        <v>217</v>
      </c>
      <c r="B615" s="7" t="n">
        <v>45151</v>
      </c>
      <c r="C615" s="6" t="s">
        <v>661</v>
      </c>
      <c r="D615" s="6" t="s">
        <v>49</v>
      </c>
      <c r="E615" s="6" t="n">
        <v>35</v>
      </c>
      <c r="F615" s="6" t="s">
        <v>51</v>
      </c>
      <c r="G615" s="6" t="n">
        <v>4</v>
      </c>
      <c r="H615" s="8" t="n">
        <v>50</v>
      </c>
      <c r="I615" s="8" t="n">
        <f aca="false">G615*H615</f>
        <v>200</v>
      </c>
    </row>
    <row r="616" customFormat="false" ht="15" hidden="false" customHeight="false" outlineLevel="0" collapsed="false">
      <c r="A616" s="6" t="n">
        <v>384</v>
      </c>
      <c r="B616" s="7" t="n">
        <v>45151</v>
      </c>
      <c r="C616" s="6" t="s">
        <v>662</v>
      </c>
      <c r="D616" s="6" t="s">
        <v>44</v>
      </c>
      <c r="E616" s="6" t="n">
        <v>55</v>
      </c>
      <c r="F616" s="6" t="s">
        <v>47</v>
      </c>
      <c r="G616" s="6" t="n">
        <v>1</v>
      </c>
      <c r="H616" s="8" t="n">
        <v>500</v>
      </c>
      <c r="I616" s="8" t="n">
        <f aca="false">G616*H616</f>
        <v>500</v>
      </c>
    </row>
    <row r="617" customFormat="false" ht="15" hidden="false" customHeight="false" outlineLevel="0" collapsed="false">
      <c r="A617" s="6" t="n">
        <v>926</v>
      </c>
      <c r="B617" s="7" t="n">
        <v>45152</v>
      </c>
      <c r="C617" s="6" t="s">
        <v>663</v>
      </c>
      <c r="D617" s="6" t="s">
        <v>44</v>
      </c>
      <c r="E617" s="6" t="n">
        <v>22</v>
      </c>
      <c r="F617" s="6" t="s">
        <v>51</v>
      </c>
      <c r="G617" s="6" t="n">
        <v>1</v>
      </c>
      <c r="H617" s="8" t="n">
        <v>30</v>
      </c>
      <c r="I617" s="8" t="n">
        <f aca="false">G617*H617</f>
        <v>30</v>
      </c>
    </row>
    <row r="618" customFormat="false" ht="15" hidden="false" customHeight="false" outlineLevel="0" collapsed="false">
      <c r="A618" s="6" t="n">
        <v>648</v>
      </c>
      <c r="B618" s="7" t="n">
        <v>45152</v>
      </c>
      <c r="C618" s="6" t="s">
        <v>664</v>
      </c>
      <c r="D618" s="6" t="s">
        <v>44</v>
      </c>
      <c r="E618" s="6" t="n">
        <v>53</v>
      </c>
      <c r="F618" s="6" t="s">
        <v>45</v>
      </c>
      <c r="G618" s="6" t="n">
        <v>4</v>
      </c>
      <c r="H618" s="8" t="n">
        <v>300</v>
      </c>
      <c r="I618" s="8" t="n">
        <f aca="false">G618*H618</f>
        <v>1200</v>
      </c>
    </row>
    <row r="619" customFormat="false" ht="15" hidden="false" customHeight="false" outlineLevel="0" collapsed="false">
      <c r="A619" s="6" t="n">
        <v>630</v>
      </c>
      <c r="B619" s="7" t="n">
        <v>45153</v>
      </c>
      <c r="C619" s="6" t="s">
        <v>665</v>
      </c>
      <c r="D619" s="6" t="s">
        <v>44</v>
      </c>
      <c r="E619" s="6" t="n">
        <v>42</v>
      </c>
      <c r="F619" s="6" t="s">
        <v>47</v>
      </c>
      <c r="G619" s="6" t="n">
        <v>2</v>
      </c>
      <c r="H619" s="8" t="n">
        <v>50</v>
      </c>
      <c r="I619" s="8" t="n">
        <f aca="false">G619*H619</f>
        <v>100</v>
      </c>
    </row>
    <row r="620" customFormat="false" ht="15" hidden="false" customHeight="false" outlineLevel="0" collapsed="false">
      <c r="A620" s="6" t="n">
        <v>427</v>
      </c>
      <c r="B620" s="7" t="n">
        <v>45153</v>
      </c>
      <c r="C620" s="6" t="s">
        <v>666</v>
      </c>
      <c r="D620" s="6" t="s">
        <v>44</v>
      </c>
      <c r="E620" s="6" t="n">
        <v>25</v>
      </c>
      <c r="F620" s="6" t="s">
        <v>51</v>
      </c>
      <c r="G620" s="6" t="n">
        <v>1</v>
      </c>
      <c r="H620" s="8" t="n">
        <v>25</v>
      </c>
      <c r="I620" s="8" t="n">
        <f aca="false">G620*H620</f>
        <v>25</v>
      </c>
    </row>
    <row r="621" customFormat="false" ht="15" hidden="false" customHeight="false" outlineLevel="0" collapsed="false">
      <c r="A621" s="6" t="n">
        <v>957</v>
      </c>
      <c r="B621" s="7" t="n">
        <v>45153</v>
      </c>
      <c r="C621" s="6" t="s">
        <v>667</v>
      </c>
      <c r="D621" s="6" t="s">
        <v>49</v>
      </c>
      <c r="E621" s="6" t="n">
        <v>60</v>
      </c>
      <c r="F621" s="6" t="s">
        <v>51</v>
      </c>
      <c r="G621" s="6" t="n">
        <v>4</v>
      </c>
      <c r="H621" s="8" t="n">
        <v>30</v>
      </c>
      <c r="I621" s="8" t="n">
        <f aca="false">G621*H621</f>
        <v>120</v>
      </c>
    </row>
    <row r="622" customFormat="false" ht="15" hidden="false" customHeight="false" outlineLevel="0" collapsed="false">
      <c r="A622" s="6" t="n">
        <v>570</v>
      </c>
      <c r="B622" s="7" t="n">
        <v>45153</v>
      </c>
      <c r="C622" s="6" t="s">
        <v>668</v>
      </c>
      <c r="D622" s="6" t="s">
        <v>44</v>
      </c>
      <c r="E622" s="6" t="n">
        <v>49</v>
      </c>
      <c r="F622" s="6" t="s">
        <v>47</v>
      </c>
      <c r="G622" s="6" t="n">
        <v>1</v>
      </c>
      <c r="H622" s="8" t="n">
        <v>500</v>
      </c>
      <c r="I622" s="8" t="n">
        <f aca="false">G622*H622</f>
        <v>500</v>
      </c>
    </row>
    <row r="623" customFormat="false" ht="15" hidden="false" customHeight="false" outlineLevel="0" collapsed="false">
      <c r="A623" s="6" t="n">
        <v>569</v>
      </c>
      <c r="B623" s="7" t="n">
        <v>45153</v>
      </c>
      <c r="C623" s="6" t="s">
        <v>669</v>
      </c>
      <c r="D623" s="6" t="s">
        <v>44</v>
      </c>
      <c r="E623" s="6" t="n">
        <v>52</v>
      </c>
      <c r="F623" s="6" t="s">
        <v>51</v>
      </c>
      <c r="G623" s="6" t="n">
        <v>4</v>
      </c>
      <c r="H623" s="8" t="n">
        <v>50</v>
      </c>
      <c r="I623" s="8" t="n">
        <f aca="false">G623*H623</f>
        <v>200</v>
      </c>
    </row>
    <row r="624" customFormat="false" ht="15" hidden="false" customHeight="false" outlineLevel="0" collapsed="false">
      <c r="A624" s="6" t="n">
        <v>285</v>
      </c>
      <c r="B624" s="7" t="n">
        <v>45153</v>
      </c>
      <c r="C624" s="6" t="s">
        <v>670</v>
      </c>
      <c r="D624" s="6" t="s">
        <v>49</v>
      </c>
      <c r="E624" s="6" t="n">
        <v>31</v>
      </c>
      <c r="F624" s="6" t="s">
        <v>51</v>
      </c>
      <c r="G624" s="6" t="n">
        <v>1</v>
      </c>
      <c r="H624" s="8" t="n">
        <v>25</v>
      </c>
      <c r="I624" s="8" t="n">
        <f aca="false">G624*H624</f>
        <v>25</v>
      </c>
    </row>
    <row r="625" customFormat="false" ht="15" hidden="false" customHeight="false" outlineLevel="0" collapsed="false">
      <c r="A625" s="6" t="n">
        <v>635</v>
      </c>
      <c r="B625" s="7" t="n">
        <v>45155</v>
      </c>
      <c r="C625" s="6" t="s">
        <v>671</v>
      </c>
      <c r="D625" s="6" t="s">
        <v>49</v>
      </c>
      <c r="E625" s="6" t="n">
        <v>63</v>
      </c>
      <c r="F625" s="6" t="s">
        <v>51</v>
      </c>
      <c r="G625" s="6" t="n">
        <v>3</v>
      </c>
      <c r="H625" s="8" t="n">
        <v>300</v>
      </c>
      <c r="I625" s="8" t="n">
        <f aca="false">G625*H625</f>
        <v>900</v>
      </c>
    </row>
    <row r="626" customFormat="false" ht="15" hidden="false" customHeight="false" outlineLevel="0" collapsed="false">
      <c r="A626" s="6" t="n">
        <v>277</v>
      </c>
      <c r="B626" s="7" t="n">
        <v>45156</v>
      </c>
      <c r="C626" s="6" t="s">
        <v>672</v>
      </c>
      <c r="D626" s="6" t="s">
        <v>44</v>
      </c>
      <c r="E626" s="6" t="n">
        <v>36</v>
      </c>
      <c r="F626" s="6" t="s">
        <v>47</v>
      </c>
      <c r="G626" s="6" t="n">
        <v>4</v>
      </c>
      <c r="H626" s="8" t="n">
        <v>25</v>
      </c>
      <c r="I626" s="8" t="n">
        <f aca="false">G626*H626</f>
        <v>100</v>
      </c>
    </row>
    <row r="627" customFormat="false" ht="15" hidden="false" customHeight="false" outlineLevel="0" collapsed="false">
      <c r="A627" s="6" t="n">
        <v>29</v>
      </c>
      <c r="B627" s="7" t="n">
        <v>45156</v>
      </c>
      <c r="C627" s="6" t="s">
        <v>673</v>
      </c>
      <c r="D627" s="6" t="s">
        <v>49</v>
      </c>
      <c r="E627" s="6" t="n">
        <v>42</v>
      </c>
      <c r="F627" s="6" t="s">
        <v>51</v>
      </c>
      <c r="G627" s="6" t="n">
        <v>1</v>
      </c>
      <c r="H627" s="8" t="n">
        <v>30</v>
      </c>
      <c r="I627" s="8" t="n">
        <f aca="false">G627*H627</f>
        <v>30</v>
      </c>
    </row>
    <row r="628" customFormat="false" ht="15" hidden="false" customHeight="false" outlineLevel="0" collapsed="false">
      <c r="A628" s="6" t="n">
        <v>859</v>
      </c>
      <c r="B628" s="7" t="n">
        <v>45156</v>
      </c>
      <c r="C628" s="6" t="s">
        <v>674</v>
      </c>
      <c r="D628" s="6" t="s">
        <v>49</v>
      </c>
      <c r="E628" s="6" t="n">
        <v>56</v>
      </c>
      <c r="F628" s="6" t="s">
        <v>51</v>
      </c>
      <c r="G628" s="6" t="n">
        <v>3</v>
      </c>
      <c r="H628" s="8" t="n">
        <v>500</v>
      </c>
      <c r="I628" s="8" t="n">
        <f aca="false">G628*H628</f>
        <v>1500</v>
      </c>
    </row>
    <row r="629" customFormat="false" ht="15" hidden="false" customHeight="false" outlineLevel="0" collapsed="false">
      <c r="A629" s="6" t="n">
        <v>956</v>
      </c>
      <c r="B629" s="7" t="n">
        <v>45157</v>
      </c>
      <c r="C629" s="6" t="s">
        <v>675</v>
      </c>
      <c r="D629" s="6" t="s">
        <v>44</v>
      </c>
      <c r="E629" s="6" t="n">
        <v>30</v>
      </c>
      <c r="F629" s="6" t="s">
        <v>47</v>
      </c>
      <c r="G629" s="6" t="n">
        <v>3</v>
      </c>
      <c r="H629" s="8" t="n">
        <v>500</v>
      </c>
      <c r="I629" s="8" t="n">
        <f aca="false">G629*H629</f>
        <v>1500</v>
      </c>
    </row>
    <row r="630" customFormat="false" ht="15" hidden="false" customHeight="false" outlineLevel="0" collapsed="false">
      <c r="A630" s="6" t="n">
        <v>823</v>
      </c>
      <c r="B630" s="7" t="n">
        <v>45157</v>
      </c>
      <c r="C630" s="6" t="s">
        <v>676</v>
      </c>
      <c r="D630" s="6" t="s">
        <v>49</v>
      </c>
      <c r="E630" s="6" t="n">
        <v>56</v>
      </c>
      <c r="F630" s="6" t="s">
        <v>51</v>
      </c>
      <c r="G630" s="6" t="n">
        <v>2</v>
      </c>
      <c r="H630" s="8" t="n">
        <v>50</v>
      </c>
      <c r="I630" s="8" t="n">
        <f aca="false">G630*H630</f>
        <v>100</v>
      </c>
    </row>
    <row r="631" customFormat="false" ht="15" hidden="false" customHeight="false" outlineLevel="0" collapsed="false">
      <c r="A631" s="6" t="n">
        <v>981</v>
      </c>
      <c r="B631" s="7" t="n">
        <v>45157</v>
      </c>
      <c r="C631" s="6" t="s">
        <v>677</v>
      </c>
      <c r="D631" s="6" t="s">
        <v>49</v>
      </c>
      <c r="E631" s="6" t="n">
        <v>30</v>
      </c>
      <c r="F631" s="6" t="s">
        <v>51</v>
      </c>
      <c r="G631" s="6" t="n">
        <v>2</v>
      </c>
      <c r="H631" s="8" t="n">
        <v>30</v>
      </c>
      <c r="I631" s="8" t="n">
        <f aca="false">G631*H631</f>
        <v>60</v>
      </c>
    </row>
    <row r="632" customFormat="false" ht="15" hidden="false" customHeight="false" outlineLevel="0" collapsed="false">
      <c r="A632" s="6" t="n">
        <v>638</v>
      </c>
      <c r="B632" s="7" t="n">
        <v>45157</v>
      </c>
      <c r="C632" s="6" t="s">
        <v>678</v>
      </c>
      <c r="D632" s="6" t="s">
        <v>44</v>
      </c>
      <c r="E632" s="6" t="n">
        <v>46</v>
      </c>
      <c r="F632" s="6" t="s">
        <v>51</v>
      </c>
      <c r="G632" s="6" t="n">
        <v>1</v>
      </c>
      <c r="H632" s="8" t="n">
        <v>500</v>
      </c>
      <c r="I632" s="8" t="n">
        <f aca="false">G632*H632</f>
        <v>500</v>
      </c>
    </row>
    <row r="633" customFormat="false" ht="15" hidden="false" customHeight="false" outlineLevel="0" collapsed="false">
      <c r="A633" s="6" t="n">
        <v>219</v>
      </c>
      <c r="B633" s="7" t="n">
        <v>45158</v>
      </c>
      <c r="C633" s="6" t="s">
        <v>679</v>
      </c>
      <c r="D633" s="6" t="s">
        <v>49</v>
      </c>
      <c r="E633" s="6" t="n">
        <v>53</v>
      </c>
      <c r="F633" s="6" t="s">
        <v>51</v>
      </c>
      <c r="G633" s="6" t="n">
        <v>3</v>
      </c>
      <c r="H633" s="8" t="n">
        <v>30</v>
      </c>
      <c r="I633" s="8" t="n">
        <f aca="false">G633*H633</f>
        <v>90</v>
      </c>
    </row>
    <row r="634" customFormat="false" ht="15" hidden="false" customHeight="false" outlineLevel="0" collapsed="false">
      <c r="A634" s="6" t="n">
        <v>725</v>
      </c>
      <c r="B634" s="7" t="n">
        <v>45159</v>
      </c>
      <c r="C634" s="6" t="s">
        <v>680</v>
      </c>
      <c r="D634" s="6" t="s">
        <v>44</v>
      </c>
      <c r="E634" s="6" t="n">
        <v>61</v>
      </c>
      <c r="F634" s="6" t="s">
        <v>51</v>
      </c>
      <c r="G634" s="6" t="n">
        <v>1</v>
      </c>
      <c r="H634" s="8" t="n">
        <v>300</v>
      </c>
      <c r="I634" s="8" t="n">
        <f aca="false">G634*H634</f>
        <v>300</v>
      </c>
    </row>
    <row r="635" customFormat="false" ht="15" hidden="false" customHeight="false" outlineLevel="0" collapsed="false">
      <c r="A635" s="6" t="n">
        <v>992</v>
      </c>
      <c r="B635" s="7" t="n">
        <v>45159</v>
      </c>
      <c r="C635" s="6" t="s">
        <v>681</v>
      </c>
      <c r="D635" s="6" t="s">
        <v>49</v>
      </c>
      <c r="E635" s="6" t="n">
        <v>57</v>
      </c>
      <c r="F635" s="6" t="s">
        <v>51</v>
      </c>
      <c r="G635" s="6" t="n">
        <v>2</v>
      </c>
      <c r="H635" s="8" t="n">
        <v>30</v>
      </c>
      <c r="I635" s="8" t="n">
        <f aca="false">G635*H635</f>
        <v>60</v>
      </c>
    </row>
    <row r="636" customFormat="false" ht="15" hidden="false" customHeight="false" outlineLevel="0" collapsed="false">
      <c r="A636" s="6" t="n">
        <v>306</v>
      </c>
      <c r="B636" s="7" t="n">
        <v>45159</v>
      </c>
      <c r="C636" s="6" t="s">
        <v>682</v>
      </c>
      <c r="D636" s="6" t="s">
        <v>44</v>
      </c>
      <c r="E636" s="6" t="n">
        <v>54</v>
      </c>
      <c r="F636" s="6" t="s">
        <v>51</v>
      </c>
      <c r="G636" s="6" t="n">
        <v>1</v>
      </c>
      <c r="H636" s="8" t="n">
        <v>50</v>
      </c>
      <c r="I636" s="8" t="n">
        <f aca="false">G636*H636</f>
        <v>50</v>
      </c>
    </row>
    <row r="637" customFormat="false" ht="15" hidden="false" customHeight="false" outlineLevel="0" collapsed="false">
      <c r="A637" s="6" t="n">
        <v>880</v>
      </c>
      <c r="B637" s="7" t="n">
        <v>45159</v>
      </c>
      <c r="C637" s="6" t="s">
        <v>683</v>
      </c>
      <c r="D637" s="6" t="s">
        <v>44</v>
      </c>
      <c r="E637" s="6" t="n">
        <v>22</v>
      </c>
      <c r="F637" s="6" t="s">
        <v>45</v>
      </c>
      <c r="G637" s="6" t="n">
        <v>2</v>
      </c>
      <c r="H637" s="8" t="n">
        <v>500</v>
      </c>
      <c r="I637" s="8" t="n">
        <f aca="false">G637*H637</f>
        <v>1000</v>
      </c>
    </row>
    <row r="638" customFormat="false" ht="15" hidden="false" customHeight="false" outlineLevel="0" collapsed="false">
      <c r="A638" s="6" t="n">
        <v>162</v>
      </c>
      <c r="B638" s="7" t="n">
        <v>45159</v>
      </c>
      <c r="C638" s="6" t="s">
        <v>684</v>
      </c>
      <c r="D638" s="6" t="s">
        <v>44</v>
      </c>
      <c r="E638" s="6" t="n">
        <v>39</v>
      </c>
      <c r="F638" s="6" t="s">
        <v>47</v>
      </c>
      <c r="G638" s="6" t="n">
        <v>2</v>
      </c>
      <c r="H638" s="8" t="n">
        <v>30</v>
      </c>
      <c r="I638" s="8" t="n">
        <f aca="false">G638*H638</f>
        <v>60</v>
      </c>
    </row>
    <row r="639" customFormat="false" ht="15" hidden="false" customHeight="false" outlineLevel="0" collapsed="false">
      <c r="A639" s="6" t="n">
        <v>73</v>
      </c>
      <c r="B639" s="7" t="n">
        <v>45159</v>
      </c>
      <c r="C639" s="6" t="s">
        <v>685</v>
      </c>
      <c r="D639" s="6" t="s">
        <v>44</v>
      </c>
      <c r="E639" s="6" t="n">
        <v>29</v>
      </c>
      <c r="F639" s="6" t="s">
        <v>51</v>
      </c>
      <c r="G639" s="6" t="n">
        <v>3</v>
      </c>
      <c r="H639" s="8" t="n">
        <v>30</v>
      </c>
      <c r="I639" s="8" t="n">
        <f aca="false">G639*H639</f>
        <v>90</v>
      </c>
    </row>
    <row r="640" customFormat="false" ht="15" hidden="false" customHeight="false" outlineLevel="0" collapsed="false">
      <c r="A640" s="6" t="n">
        <v>597</v>
      </c>
      <c r="B640" s="7" t="n">
        <v>45160</v>
      </c>
      <c r="C640" s="6" t="s">
        <v>686</v>
      </c>
      <c r="D640" s="6" t="s">
        <v>44</v>
      </c>
      <c r="E640" s="6" t="n">
        <v>22</v>
      </c>
      <c r="F640" s="6" t="s">
        <v>45</v>
      </c>
      <c r="G640" s="6" t="n">
        <v>4</v>
      </c>
      <c r="H640" s="8" t="n">
        <v>300</v>
      </c>
      <c r="I640" s="8" t="n">
        <f aca="false">G640*H640</f>
        <v>1200</v>
      </c>
    </row>
    <row r="641" customFormat="false" ht="15" hidden="false" customHeight="false" outlineLevel="0" collapsed="false">
      <c r="A641" s="6" t="n">
        <v>622</v>
      </c>
      <c r="B641" s="7" t="n">
        <v>45160</v>
      </c>
      <c r="C641" s="6" t="s">
        <v>687</v>
      </c>
      <c r="D641" s="6" t="s">
        <v>49</v>
      </c>
      <c r="E641" s="6" t="n">
        <v>49</v>
      </c>
      <c r="F641" s="6" t="s">
        <v>45</v>
      </c>
      <c r="G641" s="6" t="n">
        <v>3</v>
      </c>
      <c r="H641" s="8" t="n">
        <v>25</v>
      </c>
      <c r="I641" s="8" t="n">
        <f aca="false">G641*H641</f>
        <v>75</v>
      </c>
    </row>
    <row r="642" customFormat="false" ht="15" hidden="false" customHeight="false" outlineLevel="0" collapsed="false">
      <c r="A642" s="6" t="n">
        <v>364</v>
      </c>
      <c r="B642" s="7" t="n">
        <v>45161</v>
      </c>
      <c r="C642" s="6" t="s">
        <v>688</v>
      </c>
      <c r="D642" s="6" t="s">
        <v>49</v>
      </c>
      <c r="E642" s="6" t="n">
        <v>19</v>
      </c>
      <c r="F642" s="6" t="s">
        <v>45</v>
      </c>
      <c r="G642" s="6" t="n">
        <v>1</v>
      </c>
      <c r="H642" s="8" t="n">
        <v>500</v>
      </c>
      <c r="I642" s="8" t="n">
        <f aca="false">G642*H642</f>
        <v>500</v>
      </c>
    </row>
    <row r="643" customFormat="false" ht="15" hidden="false" customHeight="false" outlineLevel="0" collapsed="false">
      <c r="A643" s="6" t="n">
        <v>116</v>
      </c>
      <c r="B643" s="7" t="n">
        <v>45161</v>
      </c>
      <c r="C643" s="6" t="s">
        <v>689</v>
      </c>
      <c r="D643" s="6" t="s">
        <v>49</v>
      </c>
      <c r="E643" s="6" t="n">
        <v>23</v>
      </c>
      <c r="F643" s="6" t="s">
        <v>47</v>
      </c>
      <c r="G643" s="6" t="n">
        <v>1</v>
      </c>
      <c r="H643" s="8" t="n">
        <v>30</v>
      </c>
      <c r="I643" s="8" t="n">
        <f aca="false">G643*H643</f>
        <v>30</v>
      </c>
    </row>
    <row r="644" customFormat="false" ht="15" hidden="false" customHeight="false" outlineLevel="0" collapsed="false">
      <c r="A644" s="6" t="n">
        <v>368</v>
      </c>
      <c r="B644" s="7" t="n">
        <v>45161</v>
      </c>
      <c r="C644" s="6" t="s">
        <v>690</v>
      </c>
      <c r="D644" s="6" t="s">
        <v>49</v>
      </c>
      <c r="E644" s="6" t="n">
        <v>56</v>
      </c>
      <c r="F644" s="6" t="s">
        <v>47</v>
      </c>
      <c r="G644" s="6" t="n">
        <v>4</v>
      </c>
      <c r="H644" s="8" t="n">
        <v>300</v>
      </c>
      <c r="I644" s="8" t="n">
        <f aca="false">G644*H644</f>
        <v>1200</v>
      </c>
    </row>
    <row r="645" customFormat="false" ht="15" hidden="false" customHeight="false" outlineLevel="0" collapsed="false">
      <c r="A645" s="6" t="n">
        <v>479</v>
      </c>
      <c r="B645" s="7" t="n">
        <v>45162</v>
      </c>
      <c r="C645" s="6" t="s">
        <v>691</v>
      </c>
      <c r="D645" s="6" t="s">
        <v>44</v>
      </c>
      <c r="E645" s="6" t="n">
        <v>52</v>
      </c>
      <c r="F645" s="6" t="s">
        <v>51</v>
      </c>
      <c r="G645" s="6" t="n">
        <v>4</v>
      </c>
      <c r="H645" s="8" t="n">
        <v>300</v>
      </c>
      <c r="I645" s="8" t="n">
        <f aca="false">G645*H645</f>
        <v>1200</v>
      </c>
    </row>
    <row r="646" customFormat="false" ht="15" hidden="false" customHeight="false" outlineLevel="0" collapsed="false">
      <c r="A646" s="6" t="n">
        <v>804</v>
      </c>
      <c r="B646" s="7" t="n">
        <v>45162</v>
      </c>
      <c r="C646" s="6" t="s">
        <v>692</v>
      </c>
      <c r="D646" s="6" t="s">
        <v>44</v>
      </c>
      <c r="E646" s="6" t="n">
        <v>42</v>
      </c>
      <c r="F646" s="6" t="s">
        <v>51</v>
      </c>
      <c r="G646" s="6" t="n">
        <v>1</v>
      </c>
      <c r="H646" s="8" t="n">
        <v>30</v>
      </c>
      <c r="I646" s="8" t="n">
        <f aca="false">G646*H646</f>
        <v>30</v>
      </c>
    </row>
    <row r="647" customFormat="false" ht="15" hidden="false" customHeight="false" outlineLevel="0" collapsed="false">
      <c r="A647" s="6" t="n">
        <v>50</v>
      </c>
      <c r="B647" s="7" t="n">
        <v>45162</v>
      </c>
      <c r="C647" s="6" t="s">
        <v>693</v>
      </c>
      <c r="D647" s="6" t="s">
        <v>49</v>
      </c>
      <c r="E647" s="6" t="n">
        <v>27</v>
      </c>
      <c r="F647" s="6" t="s">
        <v>45</v>
      </c>
      <c r="G647" s="6" t="n">
        <v>3</v>
      </c>
      <c r="H647" s="8" t="n">
        <v>25</v>
      </c>
      <c r="I647" s="8" t="n">
        <f aca="false">G647*H647</f>
        <v>75</v>
      </c>
    </row>
    <row r="648" customFormat="false" ht="15" hidden="false" customHeight="false" outlineLevel="0" collapsed="false">
      <c r="A648" s="6" t="n">
        <v>718</v>
      </c>
      <c r="B648" s="7" t="n">
        <v>45163</v>
      </c>
      <c r="C648" s="6" t="s">
        <v>694</v>
      </c>
      <c r="D648" s="6" t="s">
        <v>49</v>
      </c>
      <c r="E648" s="6" t="n">
        <v>59</v>
      </c>
      <c r="F648" s="6" t="s">
        <v>45</v>
      </c>
      <c r="G648" s="6" t="n">
        <v>3</v>
      </c>
      <c r="H648" s="8" t="n">
        <v>25</v>
      </c>
      <c r="I648" s="8" t="n">
        <f aca="false">G648*H648</f>
        <v>75</v>
      </c>
    </row>
    <row r="649" customFormat="false" ht="15" hidden="false" customHeight="false" outlineLevel="0" collapsed="false">
      <c r="A649" s="6" t="n">
        <v>282</v>
      </c>
      <c r="B649" s="7" t="n">
        <v>45163</v>
      </c>
      <c r="C649" s="6" t="s">
        <v>695</v>
      </c>
      <c r="D649" s="6" t="s">
        <v>49</v>
      </c>
      <c r="E649" s="6" t="n">
        <v>64</v>
      </c>
      <c r="F649" s="6" t="s">
        <v>51</v>
      </c>
      <c r="G649" s="6" t="n">
        <v>4</v>
      </c>
      <c r="H649" s="8" t="n">
        <v>50</v>
      </c>
      <c r="I649" s="8" t="n">
        <f aca="false">G649*H649</f>
        <v>200</v>
      </c>
    </row>
    <row r="650" customFormat="false" ht="15" hidden="false" customHeight="false" outlineLevel="0" collapsed="false">
      <c r="A650" s="6" t="n">
        <v>92</v>
      </c>
      <c r="B650" s="7" t="n">
        <v>45163</v>
      </c>
      <c r="C650" s="6" t="s">
        <v>696</v>
      </c>
      <c r="D650" s="6" t="s">
        <v>49</v>
      </c>
      <c r="E650" s="6" t="n">
        <v>51</v>
      </c>
      <c r="F650" s="6" t="s">
        <v>51</v>
      </c>
      <c r="G650" s="6" t="n">
        <v>4</v>
      </c>
      <c r="H650" s="8" t="n">
        <v>30</v>
      </c>
      <c r="I650" s="8" t="n">
        <f aca="false">G650*H650</f>
        <v>120</v>
      </c>
    </row>
    <row r="651" customFormat="false" ht="15" hidden="false" customHeight="false" outlineLevel="0" collapsed="false">
      <c r="A651" s="6" t="n">
        <v>624</v>
      </c>
      <c r="B651" s="7" t="n">
        <v>45164</v>
      </c>
      <c r="C651" s="6" t="s">
        <v>697</v>
      </c>
      <c r="D651" s="6" t="s">
        <v>49</v>
      </c>
      <c r="E651" s="6" t="n">
        <v>34</v>
      </c>
      <c r="F651" s="6" t="s">
        <v>45</v>
      </c>
      <c r="G651" s="6" t="n">
        <v>3</v>
      </c>
      <c r="H651" s="8" t="n">
        <v>300</v>
      </c>
      <c r="I651" s="8" t="n">
        <f aca="false">G651*H651</f>
        <v>900</v>
      </c>
    </row>
    <row r="652" customFormat="false" ht="15" hidden="false" customHeight="false" outlineLevel="0" collapsed="false">
      <c r="A652" s="6" t="n">
        <v>825</v>
      </c>
      <c r="B652" s="7" t="n">
        <v>45164</v>
      </c>
      <c r="C652" s="6" t="s">
        <v>698</v>
      </c>
      <c r="D652" s="6" t="s">
        <v>49</v>
      </c>
      <c r="E652" s="6" t="n">
        <v>46</v>
      </c>
      <c r="F652" s="6" t="s">
        <v>45</v>
      </c>
      <c r="G652" s="6" t="n">
        <v>1</v>
      </c>
      <c r="H652" s="8" t="n">
        <v>25</v>
      </c>
      <c r="I652" s="8" t="n">
        <f aca="false">G652*H652</f>
        <v>25</v>
      </c>
    </row>
    <row r="653" customFormat="false" ht="15" hidden="false" customHeight="false" outlineLevel="0" collapsed="false">
      <c r="A653" s="6" t="n">
        <v>617</v>
      </c>
      <c r="B653" s="7" t="n">
        <v>45164</v>
      </c>
      <c r="C653" s="6" t="s">
        <v>699</v>
      </c>
      <c r="D653" s="6" t="s">
        <v>44</v>
      </c>
      <c r="E653" s="6" t="n">
        <v>34</v>
      </c>
      <c r="F653" s="6" t="s">
        <v>51</v>
      </c>
      <c r="G653" s="6" t="n">
        <v>1</v>
      </c>
      <c r="H653" s="8" t="n">
        <v>30</v>
      </c>
      <c r="I653" s="8" t="n">
        <f aca="false">G653*H653</f>
        <v>30</v>
      </c>
    </row>
    <row r="654" customFormat="false" ht="15" hidden="false" customHeight="false" outlineLevel="0" collapsed="false">
      <c r="A654" s="6" t="n">
        <v>671</v>
      </c>
      <c r="B654" s="7" t="n">
        <v>45165</v>
      </c>
      <c r="C654" s="6" t="s">
        <v>700</v>
      </c>
      <c r="D654" s="6" t="s">
        <v>44</v>
      </c>
      <c r="E654" s="6" t="n">
        <v>62</v>
      </c>
      <c r="F654" s="6" t="s">
        <v>51</v>
      </c>
      <c r="G654" s="6" t="n">
        <v>3</v>
      </c>
      <c r="H654" s="8" t="n">
        <v>50</v>
      </c>
      <c r="I654" s="8" t="n">
        <f aca="false">G654*H654</f>
        <v>150</v>
      </c>
    </row>
    <row r="655" customFormat="false" ht="15" hidden="false" customHeight="false" outlineLevel="0" collapsed="false">
      <c r="A655" s="6" t="n">
        <v>756</v>
      </c>
      <c r="B655" s="7" t="n">
        <v>45165</v>
      </c>
      <c r="C655" s="6" t="s">
        <v>701</v>
      </c>
      <c r="D655" s="6" t="s">
        <v>49</v>
      </c>
      <c r="E655" s="6" t="n">
        <v>62</v>
      </c>
      <c r="F655" s="6" t="s">
        <v>51</v>
      </c>
      <c r="G655" s="6" t="n">
        <v>4</v>
      </c>
      <c r="H655" s="8" t="n">
        <v>300</v>
      </c>
      <c r="I655" s="8" t="n">
        <f aca="false">G655*H655</f>
        <v>1200</v>
      </c>
    </row>
    <row r="656" customFormat="false" ht="15" hidden="false" customHeight="false" outlineLevel="0" collapsed="false">
      <c r="A656" s="6" t="n">
        <v>568</v>
      </c>
      <c r="B656" s="7" t="n">
        <v>45165</v>
      </c>
      <c r="C656" s="6" t="s">
        <v>702</v>
      </c>
      <c r="D656" s="6" t="s">
        <v>49</v>
      </c>
      <c r="E656" s="6" t="n">
        <v>51</v>
      </c>
      <c r="F656" s="6" t="s">
        <v>51</v>
      </c>
      <c r="G656" s="6" t="n">
        <v>1</v>
      </c>
      <c r="H656" s="8" t="n">
        <v>300</v>
      </c>
      <c r="I656" s="8" t="n">
        <f aca="false">G656*H656</f>
        <v>300</v>
      </c>
    </row>
    <row r="657" customFormat="false" ht="15" hidden="false" customHeight="false" outlineLevel="0" collapsed="false">
      <c r="A657" s="6" t="n">
        <v>815</v>
      </c>
      <c r="B657" s="7" t="n">
        <v>45165</v>
      </c>
      <c r="C657" s="6" t="s">
        <v>703</v>
      </c>
      <c r="D657" s="6" t="s">
        <v>49</v>
      </c>
      <c r="E657" s="6" t="n">
        <v>51</v>
      </c>
      <c r="F657" s="6" t="s">
        <v>47</v>
      </c>
      <c r="G657" s="6" t="n">
        <v>3</v>
      </c>
      <c r="H657" s="8" t="n">
        <v>25</v>
      </c>
      <c r="I657" s="8" t="n">
        <f aca="false">G657*H657</f>
        <v>75</v>
      </c>
    </row>
    <row r="658" customFormat="false" ht="15" hidden="false" customHeight="false" outlineLevel="0" collapsed="false">
      <c r="A658" s="6" t="n">
        <v>704</v>
      </c>
      <c r="B658" s="7" t="n">
        <v>45166</v>
      </c>
      <c r="C658" s="6" t="s">
        <v>704</v>
      </c>
      <c r="D658" s="6" t="s">
        <v>49</v>
      </c>
      <c r="E658" s="6" t="n">
        <v>62</v>
      </c>
      <c r="F658" s="6" t="s">
        <v>47</v>
      </c>
      <c r="G658" s="6" t="n">
        <v>3</v>
      </c>
      <c r="H658" s="8" t="n">
        <v>30</v>
      </c>
      <c r="I658" s="8" t="n">
        <f aca="false">G658*H658</f>
        <v>90</v>
      </c>
    </row>
    <row r="659" customFormat="false" ht="15" hidden="false" customHeight="false" outlineLevel="0" collapsed="false">
      <c r="A659" s="6" t="n">
        <v>146</v>
      </c>
      <c r="B659" s="7" t="n">
        <v>45166</v>
      </c>
      <c r="C659" s="6" t="s">
        <v>705</v>
      </c>
      <c r="D659" s="6" t="s">
        <v>44</v>
      </c>
      <c r="E659" s="6" t="n">
        <v>38</v>
      </c>
      <c r="F659" s="6" t="s">
        <v>47</v>
      </c>
      <c r="G659" s="6" t="n">
        <v>4</v>
      </c>
      <c r="H659" s="8" t="n">
        <v>50</v>
      </c>
      <c r="I659" s="8" t="n">
        <f aca="false">G659*H659</f>
        <v>200</v>
      </c>
    </row>
    <row r="660" customFormat="false" ht="15" hidden="false" customHeight="false" outlineLevel="0" collapsed="false">
      <c r="A660" s="6" t="n">
        <v>263</v>
      </c>
      <c r="B660" s="7" t="n">
        <v>45166</v>
      </c>
      <c r="C660" s="6" t="s">
        <v>706</v>
      </c>
      <c r="D660" s="6" t="s">
        <v>44</v>
      </c>
      <c r="E660" s="6" t="n">
        <v>23</v>
      </c>
      <c r="F660" s="6" t="s">
        <v>45</v>
      </c>
      <c r="G660" s="6" t="n">
        <v>2</v>
      </c>
      <c r="H660" s="8" t="n">
        <v>30</v>
      </c>
      <c r="I660" s="8" t="n">
        <f aca="false">G660*H660</f>
        <v>60</v>
      </c>
    </row>
    <row r="661" customFormat="false" ht="15" hidden="false" customHeight="false" outlineLevel="0" collapsed="false">
      <c r="A661" s="6" t="n">
        <v>733</v>
      </c>
      <c r="B661" s="7" t="n">
        <v>45167</v>
      </c>
      <c r="C661" s="6" t="s">
        <v>707</v>
      </c>
      <c r="D661" s="6" t="s">
        <v>44</v>
      </c>
      <c r="E661" s="6" t="n">
        <v>34</v>
      </c>
      <c r="F661" s="6" t="s">
        <v>45</v>
      </c>
      <c r="G661" s="6" t="n">
        <v>1</v>
      </c>
      <c r="H661" s="8" t="n">
        <v>30</v>
      </c>
      <c r="I661" s="8" t="n">
        <f aca="false">G661*H661</f>
        <v>30</v>
      </c>
    </row>
    <row r="662" customFormat="false" ht="15" hidden="false" customHeight="false" outlineLevel="0" collapsed="false">
      <c r="A662" s="6" t="n">
        <v>476</v>
      </c>
      <c r="B662" s="7" t="n">
        <v>45167</v>
      </c>
      <c r="C662" s="6" t="s">
        <v>708</v>
      </c>
      <c r="D662" s="6" t="s">
        <v>49</v>
      </c>
      <c r="E662" s="6" t="n">
        <v>27</v>
      </c>
      <c r="F662" s="6" t="s">
        <v>47</v>
      </c>
      <c r="G662" s="6" t="n">
        <v>4</v>
      </c>
      <c r="H662" s="8" t="n">
        <v>500</v>
      </c>
      <c r="I662" s="8" t="n">
        <f aca="false">G662*H662</f>
        <v>2000</v>
      </c>
    </row>
    <row r="663" customFormat="false" ht="15" hidden="false" customHeight="false" outlineLevel="0" collapsed="false">
      <c r="A663" s="6" t="n">
        <v>924</v>
      </c>
      <c r="B663" s="7" t="n">
        <v>45167</v>
      </c>
      <c r="C663" s="6" t="s">
        <v>709</v>
      </c>
      <c r="D663" s="6" t="s">
        <v>44</v>
      </c>
      <c r="E663" s="6" t="n">
        <v>55</v>
      </c>
      <c r="F663" s="6" t="s">
        <v>45</v>
      </c>
      <c r="G663" s="6" t="n">
        <v>2</v>
      </c>
      <c r="H663" s="8" t="n">
        <v>50</v>
      </c>
      <c r="I663" s="8" t="n">
        <f aca="false">G663*H663</f>
        <v>100</v>
      </c>
    </row>
    <row r="664" customFormat="false" ht="15" hidden="false" customHeight="false" outlineLevel="0" collapsed="false">
      <c r="A664" s="6" t="n">
        <v>984</v>
      </c>
      <c r="B664" s="7" t="n">
        <v>45167</v>
      </c>
      <c r="C664" s="6" t="s">
        <v>710</v>
      </c>
      <c r="D664" s="6" t="s">
        <v>44</v>
      </c>
      <c r="E664" s="6" t="n">
        <v>56</v>
      </c>
      <c r="F664" s="6" t="s">
        <v>47</v>
      </c>
      <c r="G664" s="6" t="n">
        <v>1</v>
      </c>
      <c r="H664" s="8" t="n">
        <v>500</v>
      </c>
      <c r="I664" s="8" t="n">
        <f aca="false">G664*H664</f>
        <v>500</v>
      </c>
    </row>
    <row r="665" customFormat="false" ht="15" hidden="false" customHeight="false" outlineLevel="0" collapsed="false">
      <c r="A665" s="6" t="n">
        <v>574</v>
      </c>
      <c r="B665" s="7" t="n">
        <v>45169</v>
      </c>
      <c r="C665" s="6" t="s">
        <v>711</v>
      </c>
      <c r="D665" s="6" t="s">
        <v>49</v>
      </c>
      <c r="E665" s="6" t="n">
        <v>63</v>
      </c>
      <c r="F665" s="6" t="s">
        <v>51</v>
      </c>
      <c r="G665" s="6" t="n">
        <v>2</v>
      </c>
      <c r="H665" s="8" t="n">
        <v>25</v>
      </c>
      <c r="I665" s="8" t="n">
        <f aca="false">G665*H665</f>
        <v>50</v>
      </c>
    </row>
    <row r="666" customFormat="false" ht="15" hidden="false" customHeight="false" outlineLevel="0" collapsed="false">
      <c r="A666" s="6" t="n">
        <v>251</v>
      </c>
      <c r="B666" s="7" t="n">
        <v>45169</v>
      </c>
      <c r="C666" s="6" t="s">
        <v>712</v>
      </c>
      <c r="D666" s="6" t="s">
        <v>49</v>
      </c>
      <c r="E666" s="6" t="n">
        <v>57</v>
      </c>
      <c r="F666" s="6" t="s">
        <v>45</v>
      </c>
      <c r="G666" s="6" t="n">
        <v>4</v>
      </c>
      <c r="H666" s="8" t="n">
        <v>50</v>
      </c>
      <c r="I666" s="8" t="n">
        <f aca="false">G666*H666</f>
        <v>200</v>
      </c>
    </row>
    <row r="667" customFormat="false" ht="15" hidden="false" customHeight="false" outlineLevel="0" collapsed="false">
      <c r="A667" s="6" t="n">
        <v>253</v>
      </c>
      <c r="B667" s="7" t="n">
        <v>45169</v>
      </c>
      <c r="C667" s="6" t="s">
        <v>713</v>
      </c>
      <c r="D667" s="6" t="s">
        <v>49</v>
      </c>
      <c r="E667" s="6" t="n">
        <v>53</v>
      </c>
      <c r="F667" s="6" t="s">
        <v>47</v>
      </c>
      <c r="G667" s="6" t="n">
        <v>4</v>
      </c>
      <c r="H667" s="8" t="n">
        <v>500</v>
      </c>
      <c r="I667" s="8" t="n">
        <f aca="false">G667*H667</f>
        <v>2000</v>
      </c>
    </row>
    <row r="668" customFormat="false" ht="15" hidden="false" customHeight="false" outlineLevel="0" collapsed="false">
      <c r="A668" s="6" t="n">
        <v>871</v>
      </c>
      <c r="B668" s="7" t="n">
        <v>45169</v>
      </c>
      <c r="C668" s="6" t="s">
        <v>714</v>
      </c>
      <c r="D668" s="6" t="s">
        <v>44</v>
      </c>
      <c r="E668" s="6" t="n">
        <v>62</v>
      </c>
      <c r="F668" s="6" t="s">
        <v>45</v>
      </c>
      <c r="G668" s="6" t="n">
        <v>2</v>
      </c>
      <c r="H668" s="8" t="n">
        <v>30</v>
      </c>
      <c r="I668" s="8" t="n">
        <f aca="false">G668*H668</f>
        <v>60</v>
      </c>
    </row>
    <row r="669" customFormat="false" ht="15" hidden="false" customHeight="false" outlineLevel="0" collapsed="false">
      <c r="A669" s="6" t="n">
        <v>751</v>
      </c>
      <c r="B669" s="7" t="n">
        <v>45169</v>
      </c>
      <c r="C669" s="6" t="s">
        <v>715</v>
      </c>
      <c r="D669" s="6" t="s">
        <v>49</v>
      </c>
      <c r="E669" s="6" t="n">
        <v>42</v>
      </c>
      <c r="F669" s="6" t="s">
        <v>47</v>
      </c>
      <c r="G669" s="6" t="n">
        <v>2</v>
      </c>
      <c r="H669" s="8" t="n">
        <v>25</v>
      </c>
      <c r="I669" s="8" t="n">
        <f aca="false">G669*H669</f>
        <v>50</v>
      </c>
    </row>
    <row r="670" customFormat="false" ht="15" hidden="false" customHeight="false" outlineLevel="0" collapsed="false">
      <c r="A670" s="6" t="n">
        <v>594</v>
      </c>
      <c r="B670" s="7" t="n">
        <v>45170</v>
      </c>
      <c r="C670" s="6" t="s">
        <v>716</v>
      </c>
      <c r="D670" s="6" t="s">
        <v>49</v>
      </c>
      <c r="E670" s="6" t="n">
        <v>19</v>
      </c>
      <c r="F670" s="6" t="s">
        <v>51</v>
      </c>
      <c r="G670" s="6" t="n">
        <v>2</v>
      </c>
      <c r="H670" s="8" t="n">
        <v>300</v>
      </c>
      <c r="I670" s="8" t="n">
        <f aca="false">G670*H670</f>
        <v>600</v>
      </c>
    </row>
    <row r="671" customFormat="false" ht="15" hidden="false" customHeight="false" outlineLevel="0" collapsed="false">
      <c r="A671" s="6" t="n">
        <v>637</v>
      </c>
      <c r="B671" s="7" t="n">
        <v>45170</v>
      </c>
      <c r="C671" s="6" t="s">
        <v>717</v>
      </c>
      <c r="D671" s="6" t="s">
        <v>44</v>
      </c>
      <c r="E671" s="6" t="n">
        <v>43</v>
      </c>
      <c r="F671" s="6" t="s">
        <v>47</v>
      </c>
      <c r="G671" s="6" t="n">
        <v>2</v>
      </c>
      <c r="H671" s="8" t="n">
        <v>300</v>
      </c>
      <c r="I671" s="8" t="n">
        <f aca="false">G671*H671</f>
        <v>600</v>
      </c>
    </row>
    <row r="672" customFormat="false" ht="15" hidden="false" customHeight="false" outlineLevel="0" collapsed="false">
      <c r="A672" s="6" t="n">
        <v>200</v>
      </c>
      <c r="B672" s="7" t="n">
        <v>45170</v>
      </c>
      <c r="C672" s="6" t="s">
        <v>718</v>
      </c>
      <c r="D672" s="6" t="s">
        <v>44</v>
      </c>
      <c r="E672" s="6" t="n">
        <v>27</v>
      </c>
      <c r="F672" s="6" t="s">
        <v>45</v>
      </c>
      <c r="G672" s="6" t="n">
        <v>3</v>
      </c>
      <c r="H672" s="8" t="n">
        <v>50</v>
      </c>
      <c r="I672" s="8" t="n">
        <f aca="false">G672*H672</f>
        <v>150</v>
      </c>
    </row>
    <row r="673" customFormat="false" ht="15" hidden="false" customHeight="false" outlineLevel="0" collapsed="false">
      <c r="A673" s="6" t="n">
        <v>855</v>
      </c>
      <c r="B673" s="7" t="n">
        <v>45170</v>
      </c>
      <c r="C673" s="6" t="s">
        <v>719</v>
      </c>
      <c r="D673" s="6" t="s">
        <v>44</v>
      </c>
      <c r="E673" s="6" t="n">
        <v>54</v>
      </c>
      <c r="F673" s="6" t="s">
        <v>45</v>
      </c>
      <c r="G673" s="6" t="n">
        <v>1</v>
      </c>
      <c r="H673" s="8" t="n">
        <v>25</v>
      </c>
      <c r="I673" s="8" t="n">
        <f aca="false">G673*H673</f>
        <v>25</v>
      </c>
    </row>
    <row r="674" customFormat="false" ht="15" hidden="false" customHeight="false" outlineLevel="0" collapsed="false">
      <c r="A674" s="6" t="n">
        <v>931</v>
      </c>
      <c r="B674" s="7" t="n">
        <v>45171</v>
      </c>
      <c r="C674" s="6" t="s">
        <v>720</v>
      </c>
      <c r="D674" s="6" t="s">
        <v>44</v>
      </c>
      <c r="E674" s="6" t="n">
        <v>30</v>
      </c>
      <c r="F674" s="6" t="s">
        <v>45</v>
      </c>
      <c r="G674" s="6" t="n">
        <v>4</v>
      </c>
      <c r="H674" s="8" t="n">
        <v>30</v>
      </c>
      <c r="I674" s="8" t="n">
        <f aca="false">G674*H674</f>
        <v>120</v>
      </c>
    </row>
    <row r="675" customFormat="false" ht="15" hidden="false" customHeight="false" outlineLevel="0" collapsed="false">
      <c r="A675" s="6" t="n">
        <v>325</v>
      </c>
      <c r="B675" s="7" t="n">
        <v>45171</v>
      </c>
      <c r="C675" s="6" t="s">
        <v>721</v>
      </c>
      <c r="D675" s="6" t="s">
        <v>49</v>
      </c>
      <c r="E675" s="6" t="n">
        <v>52</v>
      </c>
      <c r="F675" s="6" t="s">
        <v>51</v>
      </c>
      <c r="G675" s="6" t="n">
        <v>2</v>
      </c>
      <c r="H675" s="8" t="n">
        <v>25</v>
      </c>
      <c r="I675" s="8" t="n">
        <f aca="false">G675*H675</f>
        <v>50</v>
      </c>
    </row>
    <row r="676" customFormat="false" ht="15" hidden="false" customHeight="false" outlineLevel="0" collapsed="false">
      <c r="A676" s="6" t="n">
        <v>682</v>
      </c>
      <c r="B676" s="7" t="n">
        <v>45171</v>
      </c>
      <c r="C676" s="6" t="s">
        <v>722</v>
      </c>
      <c r="D676" s="6" t="s">
        <v>44</v>
      </c>
      <c r="E676" s="6" t="n">
        <v>46</v>
      </c>
      <c r="F676" s="6" t="s">
        <v>45</v>
      </c>
      <c r="G676" s="6" t="n">
        <v>4</v>
      </c>
      <c r="H676" s="8" t="n">
        <v>300</v>
      </c>
      <c r="I676" s="8" t="n">
        <f aca="false">G676*H676</f>
        <v>1200</v>
      </c>
    </row>
    <row r="677" customFormat="false" ht="15" hidden="false" customHeight="false" outlineLevel="0" collapsed="false">
      <c r="A677" s="6" t="n">
        <v>925</v>
      </c>
      <c r="B677" s="7" t="n">
        <v>45172</v>
      </c>
      <c r="C677" s="6" t="s">
        <v>723</v>
      </c>
      <c r="D677" s="6" t="s">
        <v>44</v>
      </c>
      <c r="E677" s="6" t="n">
        <v>25</v>
      </c>
      <c r="F677" s="6" t="s">
        <v>51</v>
      </c>
      <c r="G677" s="6" t="n">
        <v>1</v>
      </c>
      <c r="H677" s="8" t="n">
        <v>300</v>
      </c>
      <c r="I677" s="8" t="n">
        <f aca="false">G677*H677</f>
        <v>300</v>
      </c>
    </row>
    <row r="678" customFormat="false" ht="15" hidden="false" customHeight="false" outlineLevel="0" collapsed="false">
      <c r="A678" s="6" t="n">
        <v>297</v>
      </c>
      <c r="B678" s="7" t="n">
        <v>45173</v>
      </c>
      <c r="C678" s="6" t="s">
        <v>724</v>
      </c>
      <c r="D678" s="6" t="s">
        <v>49</v>
      </c>
      <c r="E678" s="6" t="n">
        <v>40</v>
      </c>
      <c r="F678" s="6" t="s">
        <v>51</v>
      </c>
      <c r="G678" s="6" t="n">
        <v>2</v>
      </c>
      <c r="H678" s="8" t="n">
        <v>500</v>
      </c>
      <c r="I678" s="8" t="n">
        <f aca="false">G678*H678</f>
        <v>1000</v>
      </c>
    </row>
    <row r="679" customFormat="false" ht="15" hidden="false" customHeight="false" outlineLevel="0" collapsed="false">
      <c r="A679" s="6" t="n">
        <v>894</v>
      </c>
      <c r="B679" s="7" t="n">
        <v>45174</v>
      </c>
      <c r="C679" s="6" t="s">
        <v>725</v>
      </c>
      <c r="D679" s="6" t="s">
        <v>44</v>
      </c>
      <c r="E679" s="6" t="n">
        <v>52</v>
      </c>
      <c r="F679" s="6" t="s">
        <v>51</v>
      </c>
      <c r="G679" s="6" t="n">
        <v>1</v>
      </c>
      <c r="H679" s="8" t="n">
        <v>30</v>
      </c>
      <c r="I679" s="8" t="n">
        <f aca="false">G679*H679</f>
        <v>30</v>
      </c>
    </row>
    <row r="680" customFormat="false" ht="15" hidden="false" customHeight="false" outlineLevel="0" collapsed="false">
      <c r="A680" s="6" t="n">
        <v>814</v>
      </c>
      <c r="B680" s="7" t="n">
        <v>45174</v>
      </c>
      <c r="C680" s="6" t="s">
        <v>726</v>
      </c>
      <c r="D680" s="6" t="s">
        <v>49</v>
      </c>
      <c r="E680" s="6" t="n">
        <v>59</v>
      </c>
      <c r="F680" s="6" t="s">
        <v>47</v>
      </c>
      <c r="G680" s="6" t="n">
        <v>1</v>
      </c>
      <c r="H680" s="8" t="n">
        <v>500</v>
      </c>
      <c r="I680" s="8" t="n">
        <f aca="false">G680*H680</f>
        <v>500</v>
      </c>
    </row>
    <row r="681" customFormat="false" ht="15" hidden="false" customHeight="false" outlineLevel="0" collapsed="false">
      <c r="A681" s="6" t="n">
        <v>644</v>
      </c>
      <c r="B681" s="7" t="n">
        <v>45175</v>
      </c>
      <c r="C681" s="6" t="s">
        <v>727</v>
      </c>
      <c r="D681" s="6" t="s">
        <v>44</v>
      </c>
      <c r="E681" s="6" t="n">
        <v>23</v>
      </c>
      <c r="F681" s="6" t="s">
        <v>45</v>
      </c>
      <c r="G681" s="6" t="n">
        <v>3</v>
      </c>
      <c r="H681" s="8" t="n">
        <v>25</v>
      </c>
      <c r="I681" s="8" t="n">
        <f aca="false">G681*H681</f>
        <v>75</v>
      </c>
    </row>
    <row r="682" customFormat="false" ht="15" hidden="false" customHeight="false" outlineLevel="0" collapsed="false">
      <c r="A682" s="6" t="n">
        <v>194</v>
      </c>
      <c r="B682" s="7" t="n">
        <v>45175</v>
      </c>
      <c r="C682" s="6" t="s">
        <v>728</v>
      </c>
      <c r="D682" s="6" t="s">
        <v>44</v>
      </c>
      <c r="E682" s="6" t="n">
        <v>55</v>
      </c>
      <c r="F682" s="6" t="s">
        <v>47</v>
      </c>
      <c r="G682" s="6" t="n">
        <v>4</v>
      </c>
      <c r="H682" s="8" t="n">
        <v>50</v>
      </c>
      <c r="I682" s="8" t="n">
        <f aca="false">G682*H682</f>
        <v>200</v>
      </c>
    </row>
    <row r="683" customFormat="false" ht="15" hidden="false" customHeight="false" outlineLevel="0" collapsed="false">
      <c r="A683" s="6" t="n">
        <v>696</v>
      </c>
      <c r="B683" s="7" t="n">
        <v>45175</v>
      </c>
      <c r="C683" s="6" t="s">
        <v>729</v>
      </c>
      <c r="D683" s="6" t="s">
        <v>49</v>
      </c>
      <c r="E683" s="6" t="n">
        <v>50</v>
      </c>
      <c r="F683" s="6" t="s">
        <v>47</v>
      </c>
      <c r="G683" s="6" t="n">
        <v>4</v>
      </c>
      <c r="H683" s="8" t="n">
        <v>50</v>
      </c>
      <c r="I683" s="8" t="n">
        <f aca="false">G683*H683</f>
        <v>200</v>
      </c>
    </row>
    <row r="684" customFormat="false" ht="15" hidden="false" customHeight="false" outlineLevel="0" collapsed="false">
      <c r="A684" s="6" t="n">
        <v>245</v>
      </c>
      <c r="B684" s="7" t="n">
        <v>45175</v>
      </c>
      <c r="C684" s="6" t="s">
        <v>730</v>
      </c>
      <c r="D684" s="6" t="s">
        <v>44</v>
      </c>
      <c r="E684" s="6" t="n">
        <v>47</v>
      </c>
      <c r="F684" s="6" t="s">
        <v>47</v>
      </c>
      <c r="G684" s="6" t="n">
        <v>3</v>
      </c>
      <c r="H684" s="8" t="n">
        <v>30</v>
      </c>
      <c r="I684" s="8" t="n">
        <f aca="false">G684*H684</f>
        <v>90</v>
      </c>
    </row>
    <row r="685" customFormat="false" ht="15" hidden="false" customHeight="false" outlineLevel="0" collapsed="false">
      <c r="A685" s="6" t="n">
        <v>296</v>
      </c>
      <c r="B685" s="7" t="n">
        <v>45175</v>
      </c>
      <c r="C685" s="6" t="s">
        <v>731</v>
      </c>
      <c r="D685" s="6" t="s">
        <v>49</v>
      </c>
      <c r="E685" s="6" t="n">
        <v>22</v>
      </c>
      <c r="F685" s="6" t="s">
        <v>47</v>
      </c>
      <c r="G685" s="6" t="n">
        <v>4</v>
      </c>
      <c r="H685" s="8" t="n">
        <v>300</v>
      </c>
      <c r="I685" s="8" t="n">
        <f aca="false">G685*H685</f>
        <v>1200</v>
      </c>
    </row>
    <row r="686" customFormat="false" ht="15" hidden="false" customHeight="false" outlineLevel="0" collapsed="false">
      <c r="A686" s="6" t="n">
        <v>312</v>
      </c>
      <c r="B686" s="7" t="n">
        <v>45176</v>
      </c>
      <c r="C686" s="6" t="s">
        <v>732</v>
      </c>
      <c r="D686" s="6" t="s">
        <v>44</v>
      </c>
      <c r="E686" s="6" t="n">
        <v>41</v>
      </c>
      <c r="F686" s="6" t="s">
        <v>47</v>
      </c>
      <c r="G686" s="6" t="n">
        <v>4</v>
      </c>
      <c r="H686" s="8" t="n">
        <v>30</v>
      </c>
      <c r="I686" s="8" t="n">
        <f aca="false">G686*H686</f>
        <v>120</v>
      </c>
    </row>
    <row r="687" customFormat="false" ht="15" hidden="false" customHeight="false" outlineLevel="0" collapsed="false">
      <c r="A687" s="6" t="n">
        <v>692</v>
      </c>
      <c r="B687" s="7" t="n">
        <v>45176</v>
      </c>
      <c r="C687" s="6" t="s">
        <v>733</v>
      </c>
      <c r="D687" s="6" t="s">
        <v>49</v>
      </c>
      <c r="E687" s="6" t="n">
        <v>64</v>
      </c>
      <c r="F687" s="6" t="s">
        <v>47</v>
      </c>
      <c r="G687" s="6" t="n">
        <v>2</v>
      </c>
      <c r="H687" s="8" t="n">
        <v>50</v>
      </c>
      <c r="I687" s="8" t="n">
        <f aca="false">G687*H687</f>
        <v>100</v>
      </c>
    </row>
    <row r="688" customFormat="false" ht="15" hidden="false" customHeight="false" outlineLevel="0" collapsed="false">
      <c r="A688" s="6" t="n">
        <v>835</v>
      </c>
      <c r="B688" s="7" t="n">
        <v>45176</v>
      </c>
      <c r="C688" s="6" t="s">
        <v>734</v>
      </c>
      <c r="D688" s="6" t="s">
        <v>44</v>
      </c>
      <c r="E688" s="6" t="n">
        <v>37</v>
      </c>
      <c r="F688" s="6" t="s">
        <v>47</v>
      </c>
      <c r="G688" s="6" t="n">
        <v>4</v>
      </c>
      <c r="H688" s="8" t="n">
        <v>50</v>
      </c>
      <c r="I688" s="8" t="n">
        <f aca="false">G688*H688</f>
        <v>200</v>
      </c>
    </row>
    <row r="689" customFormat="false" ht="15" hidden="false" customHeight="false" outlineLevel="0" collapsed="false">
      <c r="A689" s="6" t="n">
        <v>183</v>
      </c>
      <c r="B689" s="7" t="n">
        <v>45177</v>
      </c>
      <c r="C689" s="6" t="s">
        <v>735</v>
      </c>
      <c r="D689" s="6" t="s">
        <v>49</v>
      </c>
      <c r="E689" s="6" t="n">
        <v>43</v>
      </c>
      <c r="F689" s="6" t="s">
        <v>45</v>
      </c>
      <c r="G689" s="6" t="n">
        <v>3</v>
      </c>
      <c r="H689" s="8" t="n">
        <v>300</v>
      </c>
      <c r="I689" s="8" t="n">
        <f aca="false">G689*H689</f>
        <v>900</v>
      </c>
    </row>
    <row r="690" customFormat="false" ht="15" hidden="false" customHeight="false" outlineLevel="0" collapsed="false">
      <c r="A690" s="6" t="n">
        <v>851</v>
      </c>
      <c r="B690" s="7" t="n">
        <v>45177</v>
      </c>
      <c r="C690" s="6" t="s">
        <v>736</v>
      </c>
      <c r="D690" s="6" t="s">
        <v>44</v>
      </c>
      <c r="E690" s="6" t="n">
        <v>32</v>
      </c>
      <c r="F690" s="6" t="s">
        <v>51</v>
      </c>
      <c r="G690" s="6" t="n">
        <v>2</v>
      </c>
      <c r="H690" s="8" t="n">
        <v>25</v>
      </c>
      <c r="I690" s="8" t="n">
        <f aca="false">G690*H690</f>
        <v>50</v>
      </c>
    </row>
    <row r="691" customFormat="false" ht="15" hidden="false" customHeight="false" outlineLevel="0" collapsed="false">
      <c r="A691" s="6" t="n">
        <v>413</v>
      </c>
      <c r="B691" s="7" t="n">
        <v>45177</v>
      </c>
      <c r="C691" s="6" t="s">
        <v>737</v>
      </c>
      <c r="D691" s="6" t="s">
        <v>49</v>
      </c>
      <c r="E691" s="6" t="n">
        <v>44</v>
      </c>
      <c r="F691" s="6" t="s">
        <v>45</v>
      </c>
      <c r="G691" s="6" t="n">
        <v>3</v>
      </c>
      <c r="H691" s="8" t="n">
        <v>25</v>
      </c>
      <c r="I691" s="8" t="n">
        <f aca="false">G691*H691</f>
        <v>75</v>
      </c>
    </row>
    <row r="692" customFormat="false" ht="15" hidden="false" customHeight="false" outlineLevel="0" collapsed="false">
      <c r="A692" s="6" t="n">
        <v>799</v>
      </c>
      <c r="B692" s="7" t="n">
        <v>45177</v>
      </c>
      <c r="C692" s="6" t="s">
        <v>738</v>
      </c>
      <c r="D692" s="6" t="s">
        <v>44</v>
      </c>
      <c r="E692" s="6" t="n">
        <v>56</v>
      </c>
      <c r="F692" s="6" t="s">
        <v>51</v>
      </c>
      <c r="G692" s="6" t="n">
        <v>2</v>
      </c>
      <c r="H692" s="8" t="n">
        <v>50</v>
      </c>
      <c r="I692" s="8" t="n">
        <f aca="false">G692*H692</f>
        <v>100</v>
      </c>
    </row>
    <row r="693" customFormat="false" ht="15" hidden="false" customHeight="false" outlineLevel="0" collapsed="false">
      <c r="A693" s="6" t="n">
        <v>935</v>
      </c>
      <c r="B693" s="7" t="n">
        <v>45178</v>
      </c>
      <c r="C693" s="6" t="s">
        <v>739</v>
      </c>
      <c r="D693" s="6" t="s">
        <v>49</v>
      </c>
      <c r="E693" s="6" t="n">
        <v>34</v>
      </c>
      <c r="F693" s="6" t="s">
        <v>45</v>
      </c>
      <c r="G693" s="6" t="n">
        <v>1</v>
      </c>
      <c r="H693" s="8" t="n">
        <v>50</v>
      </c>
      <c r="I693" s="8" t="n">
        <f aca="false">G693*H693</f>
        <v>50</v>
      </c>
    </row>
    <row r="694" customFormat="false" ht="15" hidden="false" customHeight="false" outlineLevel="0" collapsed="false">
      <c r="A694" s="6" t="n">
        <v>858</v>
      </c>
      <c r="B694" s="7" t="n">
        <v>45178</v>
      </c>
      <c r="C694" s="6" t="s">
        <v>740</v>
      </c>
      <c r="D694" s="6" t="s">
        <v>44</v>
      </c>
      <c r="E694" s="6" t="n">
        <v>23</v>
      </c>
      <c r="F694" s="6" t="s">
        <v>51</v>
      </c>
      <c r="G694" s="6" t="n">
        <v>2</v>
      </c>
      <c r="H694" s="8" t="n">
        <v>50</v>
      </c>
      <c r="I694" s="8" t="n">
        <f aca="false">G694*H694</f>
        <v>100</v>
      </c>
    </row>
    <row r="695" customFormat="false" ht="15" hidden="false" customHeight="false" outlineLevel="0" collapsed="false">
      <c r="A695" s="6" t="n">
        <v>919</v>
      </c>
      <c r="B695" s="7" t="n">
        <v>45178</v>
      </c>
      <c r="C695" s="6" t="s">
        <v>741</v>
      </c>
      <c r="D695" s="6" t="s">
        <v>49</v>
      </c>
      <c r="E695" s="6" t="n">
        <v>22</v>
      </c>
      <c r="F695" s="6" t="s">
        <v>45</v>
      </c>
      <c r="G695" s="6" t="n">
        <v>2</v>
      </c>
      <c r="H695" s="8" t="n">
        <v>25</v>
      </c>
      <c r="I695" s="8" t="n">
        <f aca="false">G695*H695</f>
        <v>50</v>
      </c>
    </row>
    <row r="696" customFormat="false" ht="15" hidden="false" customHeight="false" outlineLevel="0" collapsed="false">
      <c r="A696" s="6" t="n">
        <v>132</v>
      </c>
      <c r="B696" s="7" t="n">
        <v>45179</v>
      </c>
      <c r="C696" s="6" t="s">
        <v>742</v>
      </c>
      <c r="D696" s="6" t="s">
        <v>44</v>
      </c>
      <c r="E696" s="6" t="n">
        <v>42</v>
      </c>
      <c r="F696" s="6" t="s">
        <v>51</v>
      </c>
      <c r="G696" s="6" t="n">
        <v>4</v>
      </c>
      <c r="H696" s="8" t="n">
        <v>50</v>
      </c>
      <c r="I696" s="8" t="n">
        <f aca="false">G696*H696</f>
        <v>200</v>
      </c>
    </row>
    <row r="697" customFormat="false" ht="15" hidden="false" customHeight="false" outlineLevel="0" collapsed="false">
      <c r="A697" s="6" t="n">
        <v>832</v>
      </c>
      <c r="B697" s="7" t="n">
        <v>45180</v>
      </c>
      <c r="C697" s="6" t="s">
        <v>743</v>
      </c>
      <c r="D697" s="6" t="s">
        <v>44</v>
      </c>
      <c r="E697" s="6" t="n">
        <v>47</v>
      </c>
      <c r="F697" s="6" t="s">
        <v>45</v>
      </c>
      <c r="G697" s="6" t="n">
        <v>4</v>
      </c>
      <c r="H697" s="8" t="n">
        <v>500</v>
      </c>
      <c r="I697" s="8" t="n">
        <f aca="false">G697*H697</f>
        <v>2000</v>
      </c>
    </row>
    <row r="698" customFormat="false" ht="15" hidden="false" customHeight="false" outlineLevel="0" collapsed="false">
      <c r="A698" s="6" t="n">
        <v>604</v>
      </c>
      <c r="B698" s="7" t="n">
        <v>45180</v>
      </c>
      <c r="C698" s="6" t="s">
        <v>744</v>
      </c>
      <c r="D698" s="6" t="s">
        <v>49</v>
      </c>
      <c r="E698" s="6" t="n">
        <v>29</v>
      </c>
      <c r="F698" s="6" t="s">
        <v>51</v>
      </c>
      <c r="G698" s="6" t="n">
        <v>4</v>
      </c>
      <c r="H698" s="8" t="n">
        <v>50</v>
      </c>
      <c r="I698" s="8" t="n">
        <f aca="false">G698*H698</f>
        <v>200</v>
      </c>
    </row>
    <row r="699" customFormat="false" ht="15" hidden="false" customHeight="false" outlineLevel="0" collapsed="false">
      <c r="A699" s="6" t="n">
        <v>113</v>
      </c>
      <c r="B699" s="7" t="n">
        <v>45182</v>
      </c>
      <c r="C699" s="6" t="s">
        <v>745</v>
      </c>
      <c r="D699" s="6" t="s">
        <v>49</v>
      </c>
      <c r="E699" s="6" t="n">
        <v>41</v>
      </c>
      <c r="F699" s="6" t="s">
        <v>51</v>
      </c>
      <c r="G699" s="6" t="n">
        <v>2</v>
      </c>
      <c r="H699" s="8" t="n">
        <v>25</v>
      </c>
      <c r="I699" s="8" t="n">
        <f aca="false">G699*H699</f>
        <v>50</v>
      </c>
    </row>
    <row r="700" customFormat="false" ht="15" hidden="false" customHeight="false" outlineLevel="0" collapsed="false">
      <c r="A700" s="6" t="n">
        <v>165</v>
      </c>
      <c r="B700" s="7" t="n">
        <v>45183</v>
      </c>
      <c r="C700" s="6" t="s">
        <v>746</v>
      </c>
      <c r="D700" s="6" t="s">
        <v>49</v>
      </c>
      <c r="E700" s="6" t="n">
        <v>60</v>
      </c>
      <c r="F700" s="6" t="s">
        <v>47</v>
      </c>
      <c r="G700" s="6" t="n">
        <v>4</v>
      </c>
      <c r="H700" s="8" t="n">
        <v>300</v>
      </c>
      <c r="I700" s="8" t="n">
        <f aca="false">G700*H700</f>
        <v>1200</v>
      </c>
    </row>
    <row r="701" customFormat="false" ht="15" hidden="false" customHeight="false" outlineLevel="0" collapsed="false">
      <c r="A701" s="6" t="n">
        <v>326</v>
      </c>
      <c r="B701" s="7" t="n">
        <v>45184</v>
      </c>
      <c r="C701" s="6" t="s">
        <v>747</v>
      </c>
      <c r="D701" s="6" t="s">
        <v>49</v>
      </c>
      <c r="E701" s="6" t="n">
        <v>18</v>
      </c>
      <c r="F701" s="6" t="s">
        <v>47</v>
      </c>
      <c r="G701" s="6" t="n">
        <v>3</v>
      </c>
      <c r="H701" s="8" t="n">
        <v>25</v>
      </c>
      <c r="I701" s="8" t="n">
        <f aca="false">G701*H701</f>
        <v>75</v>
      </c>
    </row>
    <row r="702" customFormat="false" ht="15" hidden="false" customHeight="false" outlineLevel="0" collapsed="false">
      <c r="A702" s="6" t="n">
        <v>632</v>
      </c>
      <c r="B702" s="7" t="n">
        <v>45185</v>
      </c>
      <c r="C702" s="6" t="s">
        <v>748</v>
      </c>
      <c r="D702" s="6" t="s">
        <v>49</v>
      </c>
      <c r="E702" s="6" t="n">
        <v>26</v>
      </c>
      <c r="F702" s="6" t="s">
        <v>51</v>
      </c>
      <c r="G702" s="6" t="n">
        <v>4</v>
      </c>
      <c r="H702" s="8" t="n">
        <v>25</v>
      </c>
      <c r="I702" s="8" t="n">
        <f aca="false">G702*H702</f>
        <v>100</v>
      </c>
    </row>
    <row r="703" customFormat="false" ht="15" hidden="false" customHeight="false" outlineLevel="0" collapsed="false">
      <c r="A703" s="6" t="n">
        <v>19</v>
      </c>
      <c r="B703" s="7" t="n">
        <v>45185</v>
      </c>
      <c r="C703" s="6" t="s">
        <v>749</v>
      </c>
      <c r="D703" s="6" t="s">
        <v>49</v>
      </c>
      <c r="E703" s="6" t="n">
        <v>62</v>
      </c>
      <c r="F703" s="6" t="s">
        <v>47</v>
      </c>
      <c r="G703" s="6" t="n">
        <v>2</v>
      </c>
      <c r="H703" s="8" t="n">
        <v>25</v>
      </c>
      <c r="I703" s="8" t="n">
        <f aca="false">G703*H703</f>
        <v>50</v>
      </c>
    </row>
    <row r="704" customFormat="false" ht="15" hidden="false" customHeight="false" outlineLevel="0" collapsed="false">
      <c r="A704" s="6" t="n">
        <v>412</v>
      </c>
      <c r="B704" s="7" t="n">
        <v>45185</v>
      </c>
      <c r="C704" s="6" t="s">
        <v>750</v>
      </c>
      <c r="D704" s="6" t="s">
        <v>49</v>
      </c>
      <c r="E704" s="6" t="n">
        <v>19</v>
      </c>
      <c r="F704" s="6" t="s">
        <v>51</v>
      </c>
      <c r="G704" s="6" t="n">
        <v>4</v>
      </c>
      <c r="H704" s="8" t="n">
        <v>500</v>
      </c>
      <c r="I704" s="8" t="n">
        <f aca="false">G704*H704</f>
        <v>2000</v>
      </c>
    </row>
    <row r="705" customFormat="false" ht="15" hidden="false" customHeight="false" outlineLevel="0" collapsed="false">
      <c r="A705" s="6" t="n">
        <v>172</v>
      </c>
      <c r="B705" s="7" t="n">
        <v>45186</v>
      </c>
      <c r="C705" s="6" t="s">
        <v>751</v>
      </c>
      <c r="D705" s="6" t="s">
        <v>44</v>
      </c>
      <c r="E705" s="6" t="n">
        <v>32</v>
      </c>
      <c r="F705" s="6" t="s">
        <v>45</v>
      </c>
      <c r="G705" s="6" t="n">
        <v>2</v>
      </c>
      <c r="H705" s="8" t="n">
        <v>25</v>
      </c>
      <c r="I705" s="8" t="n">
        <f aca="false">G705*H705</f>
        <v>50</v>
      </c>
    </row>
    <row r="706" customFormat="false" ht="15" hidden="false" customHeight="false" outlineLevel="0" collapsed="false">
      <c r="A706" s="6" t="n">
        <v>167</v>
      </c>
      <c r="B706" s="7" t="n">
        <v>45186</v>
      </c>
      <c r="C706" s="6" t="s">
        <v>752</v>
      </c>
      <c r="D706" s="6" t="s">
        <v>49</v>
      </c>
      <c r="E706" s="6" t="n">
        <v>43</v>
      </c>
      <c r="F706" s="6" t="s">
        <v>47</v>
      </c>
      <c r="G706" s="6" t="n">
        <v>3</v>
      </c>
      <c r="H706" s="8" t="n">
        <v>50</v>
      </c>
      <c r="I706" s="8" t="n">
        <f aca="false">G706*H706</f>
        <v>150</v>
      </c>
    </row>
    <row r="707" customFormat="false" ht="15" hidden="false" customHeight="false" outlineLevel="0" collapsed="false">
      <c r="A707" s="6" t="n">
        <v>375</v>
      </c>
      <c r="B707" s="7" t="n">
        <v>45186</v>
      </c>
      <c r="C707" s="6" t="s">
        <v>753</v>
      </c>
      <c r="D707" s="6" t="s">
        <v>44</v>
      </c>
      <c r="E707" s="6" t="n">
        <v>32</v>
      </c>
      <c r="F707" s="6" t="s">
        <v>47</v>
      </c>
      <c r="G707" s="6" t="n">
        <v>1</v>
      </c>
      <c r="H707" s="8" t="n">
        <v>50</v>
      </c>
      <c r="I707" s="8" t="n">
        <f aca="false">G707*H707</f>
        <v>50</v>
      </c>
    </row>
    <row r="708" customFormat="false" ht="15" hidden="false" customHeight="false" outlineLevel="0" collapsed="false">
      <c r="A708" s="6" t="n">
        <v>538</v>
      </c>
      <c r="B708" s="7" t="n">
        <v>45186</v>
      </c>
      <c r="C708" s="6" t="s">
        <v>754</v>
      </c>
      <c r="D708" s="6" t="s">
        <v>44</v>
      </c>
      <c r="E708" s="6" t="n">
        <v>18</v>
      </c>
      <c r="F708" s="6" t="s">
        <v>47</v>
      </c>
      <c r="G708" s="6" t="n">
        <v>3</v>
      </c>
      <c r="H708" s="8" t="n">
        <v>50</v>
      </c>
      <c r="I708" s="8" t="n">
        <f aca="false">G708*H708</f>
        <v>150</v>
      </c>
    </row>
    <row r="709" customFormat="false" ht="15" hidden="false" customHeight="false" outlineLevel="0" collapsed="false">
      <c r="A709" s="6" t="n">
        <v>794</v>
      </c>
      <c r="B709" s="7" t="n">
        <v>45186</v>
      </c>
      <c r="C709" s="6" t="s">
        <v>755</v>
      </c>
      <c r="D709" s="6" t="s">
        <v>49</v>
      </c>
      <c r="E709" s="6" t="n">
        <v>60</v>
      </c>
      <c r="F709" s="6" t="s">
        <v>45</v>
      </c>
      <c r="G709" s="6" t="n">
        <v>1</v>
      </c>
      <c r="H709" s="8" t="n">
        <v>300</v>
      </c>
      <c r="I709" s="8" t="n">
        <f aca="false">G709*H709</f>
        <v>300</v>
      </c>
    </row>
    <row r="710" customFormat="false" ht="15" hidden="false" customHeight="false" outlineLevel="0" collapsed="false">
      <c r="A710" s="6" t="n">
        <v>131</v>
      </c>
      <c r="B710" s="7" t="n">
        <v>45187</v>
      </c>
      <c r="C710" s="6" t="s">
        <v>756</v>
      </c>
      <c r="D710" s="6" t="s">
        <v>49</v>
      </c>
      <c r="E710" s="6" t="n">
        <v>21</v>
      </c>
      <c r="F710" s="6" t="s">
        <v>45</v>
      </c>
      <c r="G710" s="6" t="n">
        <v>2</v>
      </c>
      <c r="H710" s="8" t="n">
        <v>300</v>
      </c>
      <c r="I710" s="8" t="n">
        <f aca="false">G710*H710</f>
        <v>600</v>
      </c>
    </row>
    <row r="711" customFormat="false" ht="15" hidden="false" customHeight="false" outlineLevel="0" collapsed="false">
      <c r="A711" s="6" t="n">
        <v>494</v>
      </c>
      <c r="B711" s="7" t="n">
        <v>45187</v>
      </c>
      <c r="C711" s="6" t="s">
        <v>757</v>
      </c>
      <c r="D711" s="6" t="s">
        <v>49</v>
      </c>
      <c r="E711" s="6" t="n">
        <v>42</v>
      </c>
      <c r="F711" s="6" t="s">
        <v>45</v>
      </c>
      <c r="G711" s="6" t="n">
        <v>4</v>
      </c>
      <c r="H711" s="8" t="n">
        <v>50</v>
      </c>
      <c r="I711" s="8" t="n">
        <f aca="false">G711*H711</f>
        <v>200</v>
      </c>
    </row>
    <row r="712" customFormat="false" ht="15" hidden="false" customHeight="false" outlineLevel="0" collapsed="false">
      <c r="A712" s="6" t="n">
        <v>330</v>
      </c>
      <c r="B712" s="7" t="n">
        <v>45187</v>
      </c>
      <c r="C712" s="6" t="s">
        <v>758</v>
      </c>
      <c r="D712" s="6" t="s">
        <v>49</v>
      </c>
      <c r="E712" s="6" t="n">
        <v>25</v>
      </c>
      <c r="F712" s="6" t="s">
        <v>45</v>
      </c>
      <c r="G712" s="6" t="n">
        <v>4</v>
      </c>
      <c r="H712" s="8" t="n">
        <v>50</v>
      </c>
      <c r="I712" s="8" t="n">
        <f aca="false">G712*H712</f>
        <v>200</v>
      </c>
    </row>
    <row r="713" customFormat="false" ht="15" hidden="false" customHeight="false" outlineLevel="0" collapsed="false">
      <c r="A713" s="6" t="n">
        <v>513</v>
      </c>
      <c r="B713" s="7" t="n">
        <v>45188</v>
      </c>
      <c r="C713" s="6" t="s">
        <v>759</v>
      </c>
      <c r="D713" s="6" t="s">
        <v>44</v>
      </c>
      <c r="E713" s="6" t="n">
        <v>24</v>
      </c>
      <c r="F713" s="6" t="s">
        <v>51</v>
      </c>
      <c r="G713" s="6" t="n">
        <v>4</v>
      </c>
      <c r="H713" s="8" t="n">
        <v>25</v>
      </c>
      <c r="I713" s="8" t="n">
        <f aca="false">G713*H713</f>
        <v>100</v>
      </c>
    </row>
    <row r="714" customFormat="false" ht="15" hidden="false" customHeight="false" outlineLevel="0" collapsed="false">
      <c r="A714" s="6" t="n">
        <v>573</v>
      </c>
      <c r="B714" s="7" t="n">
        <v>45188</v>
      </c>
      <c r="C714" s="6" t="s">
        <v>760</v>
      </c>
      <c r="D714" s="6" t="s">
        <v>44</v>
      </c>
      <c r="E714" s="6" t="n">
        <v>49</v>
      </c>
      <c r="F714" s="6" t="s">
        <v>45</v>
      </c>
      <c r="G714" s="6" t="n">
        <v>2</v>
      </c>
      <c r="H714" s="8" t="n">
        <v>30</v>
      </c>
      <c r="I714" s="8" t="n">
        <f aca="false">G714*H714</f>
        <v>60</v>
      </c>
    </row>
    <row r="715" customFormat="false" ht="15" hidden="false" customHeight="false" outlineLevel="0" collapsed="false">
      <c r="A715" s="6" t="n">
        <v>241</v>
      </c>
      <c r="B715" s="7" t="n">
        <v>45190</v>
      </c>
      <c r="C715" s="6" t="s">
        <v>761</v>
      </c>
      <c r="D715" s="6" t="s">
        <v>49</v>
      </c>
      <c r="E715" s="6" t="n">
        <v>23</v>
      </c>
      <c r="F715" s="6" t="s">
        <v>51</v>
      </c>
      <c r="G715" s="6" t="n">
        <v>3</v>
      </c>
      <c r="H715" s="8" t="n">
        <v>25</v>
      </c>
      <c r="I715" s="8" t="n">
        <f aca="false">G715*H715</f>
        <v>75</v>
      </c>
    </row>
    <row r="716" customFormat="false" ht="15" hidden="false" customHeight="false" outlineLevel="0" collapsed="false">
      <c r="A716" s="6" t="n">
        <v>579</v>
      </c>
      <c r="B716" s="7" t="n">
        <v>45190</v>
      </c>
      <c r="C716" s="6" t="s">
        <v>762</v>
      </c>
      <c r="D716" s="6" t="s">
        <v>49</v>
      </c>
      <c r="E716" s="6" t="n">
        <v>38</v>
      </c>
      <c r="F716" s="6" t="s">
        <v>51</v>
      </c>
      <c r="G716" s="6" t="n">
        <v>1</v>
      </c>
      <c r="H716" s="8" t="n">
        <v>30</v>
      </c>
      <c r="I716" s="8" t="n">
        <f aca="false">G716*H716</f>
        <v>30</v>
      </c>
    </row>
    <row r="717" customFormat="false" ht="15" hidden="false" customHeight="false" outlineLevel="0" collapsed="false">
      <c r="A717" s="6" t="n">
        <v>846</v>
      </c>
      <c r="B717" s="7" t="n">
        <v>45191</v>
      </c>
      <c r="C717" s="6" t="s">
        <v>763</v>
      </c>
      <c r="D717" s="6" t="s">
        <v>44</v>
      </c>
      <c r="E717" s="6" t="n">
        <v>42</v>
      </c>
      <c r="F717" s="6" t="s">
        <v>45</v>
      </c>
      <c r="G717" s="6" t="n">
        <v>1</v>
      </c>
      <c r="H717" s="8" t="n">
        <v>50</v>
      </c>
      <c r="I717" s="8" t="n">
        <f aca="false">G717*H717</f>
        <v>50</v>
      </c>
    </row>
    <row r="718" customFormat="false" ht="15" hidden="false" customHeight="false" outlineLevel="0" collapsed="false">
      <c r="A718" s="6" t="n">
        <v>218</v>
      </c>
      <c r="B718" s="7" t="n">
        <v>45191</v>
      </c>
      <c r="C718" s="6" t="s">
        <v>764</v>
      </c>
      <c r="D718" s="6" t="s">
        <v>44</v>
      </c>
      <c r="E718" s="6" t="n">
        <v>64</v>
      </c>
      <c r="F718" s="6" t="s">
        <v>45</v>
      </c>
      <c r="G718" s="6" t="n">
        <v>3</v>
      </c>
      <c r="H718" s="8" t="n">
        <v>30</v>
      </c>
      <c r="I718" s="8" t="n">
        <f aca="false">G718*H718</f>
        <v>90</v>
      </c>
    </row>
    <row r="719" customFormat="false" ht="15" hidden="false" customHeight="false" outlineLevel="0" collapsed="false">
      <c r="A719" s="6" t="n">
        <v>616</v>
      </c>
      <c r="B719" s="7" t="n">
        <v>45192</v>
      </c>
      <c r="C719" s="6" t="s">
        <v>765</v>
      </c>
      <c r="D719" s="6" t="s">
        <v>44</v>
      </c>
      <c r="E719" s="6" t="n">
        <v>41</v>
      </c>
      <c r="F719" s="6" t="s">
        <v>47</v>
      </c>
      <c r="G719" s="6" t="n">
        <v>2</v>
      </c>
      <c r="H719" s="8" t="n">
        <v>50</v>
      </c>
      <c r="I719" s="8" t="n">
        <f aca="false">G719*H719</f>
        <v>100</v>
      </c>
    </row>
    <row r="720" customFormat="false" ht="15" hidden="false" customHeight="false" outlineLevel="0" collapsed="false">
      <c r="A720" s="6" t="n">
        <v>643</v>
      </c>
      <c r="B720" s="7" t="n">
        <v>45193</v>
      </c>
      <c r="C720" s="6" t="s">
        <v>766</v>
      </c>
      <c r="D720" s="6" t="s">
        <v>49</v>
      </c>
      <c r="E720" s="6" t="n">
        <v>28</v>
      </c>
      <c r="F720" s="6" t="s">
        <v>51</v>
      </c>
      <c r="G720" s="6" t="n">
        <v>3</v>
      </c>
      <c r="H720" s="8" t="n">
        <v>30</v>
      </c>
      <c r="I720" s="8" t="n">
        <f aca="false">G720*H720</f>
        <v>90</v>
      </c>
    </row>
    <row r="721" customFormat="false" ht="15" hidden="false" customHeight="false" outlineLevel="0" collapsed="false">
      <c r="A721" s="6" t="n">
        <v>523</v>
      </c>
      <c r="B721" s="7" t="n">
        <v>45193</v>
      </c>
      <c r="C721" s="6" t="s">
        <v>767</v>
      </c>
      <c r="D721" s="6" t="s">
        <v>49</v>
      </c>
      <c r="E721" s="6" t="n">
        <v>62</v>
      </c>
      <c r="F721" s="6" t="s">
        <v>51</v>
      </c>
      <c r="G721" s="6" t="n">
        <v>1</v>
      </c>
      <c r="H721" s="8" t="n">
        <v>300</v>
      </c>
      <c r="I721" s="8" t="n">
        <f aca="false">G721*H721</f>
        <v>300</v>
      </c>
    </row>
    <row r="722" customFormat="false" ht="15" hidden="false" customHeight="false" outlineLevel="0" collapsed="false">
      <c r="A722" s="6" t="n">
        <v>809</v>
      </c>
      <c r="B722" s="7" t="n">
        <v>45194</v>
      </c>
      <c r="C722" s="6" t="s">
        <v>768</v>
      </c>
      <c r="D722" s="6" t="s">
        <v>49</v>
      </c>
      <c r="E722" s="6" t="n">
        <v>62</v>
      </c>
      <c r="F722" s="6" t="s">
        <v>45</v>
      </c>
      <c r="G722" s="6" t="n">
        <v>2</v>
      </c>
      <c r="H722" s="8" t="n">
        <v>50</v>
      </c>
      <c r="I722" s="8" t="n">
        <f aca="false">G722*H722</f>
        <v>100</v>
      </c>
    </row>
    <row r="723" customFormat="false" ht="15" hidden="false" customHeight="false" outlineLevel="0" collapsed="false">
      <c r="A723" s="6" t="n">
        <v>954</v>
      </c>
      <c r="B723" s="7" t="n">
        <v>45194</v>
      </c>
      <c r="C723" s="6" t="s">
        <v>769</v>
      </c>
      <c r="D723" s="6" t="s">
        <v>49</v>
      </c>
      <c r="E723" s="6" t="n">
        <v>50</v>
      </c>
      <c r="F723" s="6" t="s">
        <v>51</v>
      </c>
      <c r="G723" s="6" t="n">
        <v>3</v>
      </c>
      <c r="H723" s="8" t="n">
        <v>300</v>
      </c>
      <c r="I723" s="8" t="n">
        <f aca="false">G723*H723</f>
        <v>900</v>
      </c>
    </row>
    <row r="724" customFormat="false" ht="15" hidden="false" customHeight="false" outlineLevel="0" collapsed="false">
      <c r="A724" s="6" t="n">
        <v>351</v>
      </c>
      <c r="B724" s="7" t="n">
        <v>45194</v>
      </c>
      <c r="C724" s="6" t="s">
        <v>770</v>
      </c>
      <c r="D724" s="6" t="s">
        <v>49</v>
      </c>
      <c r="E724" s="6" t="n">
        <v>56</v>
      </c>
      <c r="F724" s="6" t="s">
        <v>47</v>
      </c>
      <c r="G724" s="6" t="n">
        <v>3</v>
      </c>
      <c r="H724" s="8" t="n">
        <v>30</v>
      </c>
      <c r="I724" s="8" t="n">
        <f aca="false">G724*H724</f>
        <v>90</v>
      </c>
    </row>
    <row r="725" customFormat="false" ht="15" hidden="false" customHeight="false" outlineLevel="0" collapsed="false">
      <c r="A725" s="6" t="n">
        <v>897</v>
      </c>
      <c r="B725" s="7" t="n">
        <v>45195</v>
      </c>
      <c r="C725" s="6" t="s">
        <v>771</v>
      </c>
      <c r="D725" s="6" t="s">
        <v>49</v>
      </c>
      <c r="E725" s="6" t="n">
        <v>64</v>
      </c>
      <c r="F725" s="6" t="s">
        <v>51</v>
      </c>
      <c r="G725" s="6" t="n">
        <v>2</v>
      </c>
      <c r="H725" s="8" t="n">
        <v>50</v>
      </c>
      <c r="I725" s="8" t="n">
        <f aca="false">G725*H725</f>
        <v>100</v>
      </c>
    </row>
    <row r="726" customFormat="false" ht="15" hidden="false" customHeight="false" outlineLevel="0" collapsed="false">
      <c r="A726" s="6" t="n">
        <v>147</v>
      </c>
      <c r="B726" s="7" t="n">
        <v>45197</v>
      </c>
      <c r="C726" s="6" t="s">
        <v>772</v>
      </c>
      <c r="D726" s="6" t="s">
        <v>44</v>
      </c>
      <c r="E726" s="6" t="n">
        <v>23</v>
      </c>
      <c r="F726" s="6" t="s">
        <v>51</v>
      </c>
      <c r="G726" s="6" t="n">
        <v>1</v>
      </c>
      <c r="H726" s="8" t="n">
        <v>300</v>
      </c>
      <c r="I726" s="8" t="n">
        <f aca="false">G726*H726</f>
        <v>300</v>
      </c>
    </row>
    <row r="727" customFormat="false" ht="15" hidden="false" customHeight="false" outlineLevel="0" collapsed="false">
      <c r="A727" s="6" t="n">
        <v>204</v>
      </c>
      <c r="B727" s="7" t="n">
        <v>45197</v>
      </c>
      <c r="C727" s="6" t="s">
        <v>773</v>
      </c>
      <c r="D727" s="6" t="s">
        <v>44</v>
      </c>
      <c r="E727" s="6" t="n">
        <v>39</v>
      </c>
      <c r="F727" s="6" t="s">
        <v>45</v>
      </c>
      <c r="G727" s="6" t="n">
        <v>1</v>
      </c>
      <c r="H727" s="8" t="n">
        <v>25</v>
      </c>
      <c r="I727" s="8" t="n">
        <f aca="false">G727*H727</f>
        <v>25</v>
      </c>
    </row>
    <row r="728" customFormat="false" ht="15" hidden="false" customHeight="false" outlineLevel="0" collapsed="false">
      <c r="A728" s="6" t="n">
        <v>390</v>
      </c>
      <c r="B728" s="7" t="n">
        <v>45197</v>
      </c>
      <c r="C728" s="6" t="s">
        <v>774</v>
      </c>
      <c r="D728" s="6" t="s">
        <v>44</v>
      </c>
      <c r="E728" s="6" t="n">
        <v>39</v>
      </c>
      <c r="F728" s="6" t="s">
        <v>51</v>
      </c>
      <c r="G728" s="6" t="n">
        <v>2</v>
      </c>
      <c r="H728" s="8" t="n">
        <v>50</v>
      </c>
      <c r="I728" s="8" t="n">
        <f aca="false">G728*H728</f>
        <v>100</v>
      </c>
    </row>
    <row r="729" customFormat="false" ht="15" hidden="false" customHeight="false" outlineLevel="0" collapsed="false">
      <c r="A729" s="6" t="n">
        <v>626</v>
      </c>
      <c r="B729" s="7" t="n">
        <v>45198</v>
      </c>
      <c r="C729" s="6" t="s">
        <v>775</v>
      </c>
      <c r="D729" s="6" t="s">
        <v>49</v>
      </c>
      <c r="E729" s="6" t="n">
        <v>26</v>
      </c>
      <c r="F729" s="6" t="s">
        <v>47</v>
      </c>
      <c r="G729" s="6" t="n">
        <v>4</v>
      </c>
      <c r="H729" s="8" t="n">
        <v>500</v>
      </c>
      <c r="I729" s="8" t="n">
        <f aca="false">G729*H729</f>
        <v>2000</v>
      </c>
    </row>
    <row r="730" customFormat="false" ht="15" hidden="false" customHeight="false" outlineLevel="0" collapsed="false">
      <c r="A730" s="6" t="n">
        <v>873</v>
      </c>
      <c r="B730" s="7" t="n">
        <v>45198</v>
      </c>
      <c r="C730" s="6" t="s">
        <v>776</v>
      </c>
      <c r="D730" s="6" t="s">
        <v>49</v>
      </c>
      <c r="E730" s="6" t="n">
        <v>27</v>
      </c>
      <c r="F730" s="6" t="s">
        <v>51</v>
      </c>
      <c r="G730" s="6" t="n">
        <v>4</v>
      </c>
      <c r="H730" s="8" t="n">
        <v>25</v>
      </c>
      <c r="I730" s="8" t="n">
        <f aca="false">G730*H730</f>
        <v>100</v>
      </c>
    </row>
    <row r="731" customFormat="false" ht="15" hidden="false" customHeight="false" outlineLevel="0" collapsed="false">
      <c r="A731" s="6" t="n">
        <v>179</v>
      </c>
      <c r="B731" s="7" t="n">
        <v>45198</v>
      </c>
      <c r="C731" s="6" t="s">
        <v>777</v>
      </c>
      <c r="D731" s="6" t="s">
        <v>44</v>
      </c>
      <c r="E731" s="6" t="n">
        <v>31</v>
      </c>
      <c r="F731" s="6" t="s">
        <v>51</v>
      </c>
      <c r="G731" s="6" t="n">
        <v>1</v>
      </c>
      <c r="H731" s="8" t="n">
        <v>300</v>
      </c>
      <c r="I731" s="8" t="n">
        <f aca="false">G731*H731</f>
        <v>300</v>
      </c>
    </row>
    <row r="732" customFormat="false" ht="15" hidden="false" customHeight="false" outlineLevel="0" collapsed="false">
      <c r="A732" s="6" t="n">
        <v>327</v>
      </c>
      <c r="B732" s="7" t="n">
        <v>45198</v>
      </c>
      <c r="C732" s="6" t="s">
        <v>778</v>
      </c>
      <c r="D732" s="6" t="s">
        <v>44</v>
      </c>
      <c r="E732" s="6" t="n">
        <v>57</v>
      </c>
      <c r="F732" s="6" t="s">
        <v>51</v>
      </c>
      <c r="G732" s="6" t="n">
        <v>3</v>
      </c>
      <c r="H732" s="8" t="n">
        <v>50</v>
      </c>
      <c r="I732" s="8" t="n">
        <f aca="false">G732*H732</f>
        <v>150</v>
      </c>
    </row>
    <row r="733" customFormat="false" ht="15" hidden="false" customHeight="false" outlineLevel="0" collapsed="false">
      <c r="A733" s="6" t="n">
        <v>789</v>
      </c>
      <c r="B733" s="7" t="n">
        <v>45199</v>
      </c>
      <c r="C733" s="6" t="s">
        <v>779</v>
      </c>
      <c r="D733" s="6" t="s">
        <v>49</v>
      </c>
      <c r="E733" s="6" t="n">
        <v>61</v>
      </c>
      <c r="F733" s="6" t="s">
        <v>47</v>
      </c>
      <c r="G733" s="6" t="n">
        <v>4</v>
      </c>
      <c r="H733" s="8" t="n">
        <v>500</v>
      </c>
      <c r="I733" s="8" t="n">
        <f aca="false">G733*H733</f>
        <v>2000</v>
      </c>
    </row>
    <row r="734" customFormat="false" ht="15" hidden="false" customHeight="false" outlineLevel="0" collapsed="false">
      <c r="A734" s="6" t="n">
        <v>196</v>
      </c>
      <c r="B734" s="7" t="n">
        <v>45199</v>
      </c>
      <c r="C734" s="6" t="s">
        <v>780</v>
      </c>
      <c r="D734" s="6" t="s">
        <v>49</v>
      </c>
      <c r="E734" s="6" t="n">
        <v>32</v>
      </c>
      <c r="F734" s="6" t="s">
        <v>47</v>
      </c>
      <c r="G734" s="6" t="n">
        <v>3</v>
      </c>
      <c r="H734" s="8" t="n">
        <v>300</v>
      </c>
      <c r="I734" s="8" t="n">
        <f aca="false">G734*H734</f>
        <v>900</v>
      </c>
    </row>
    <row r="735" customFormat="false" ht="15" hidden="false" customHeight="false" outlineLevel="0" collapsed="false">
      <c r="A735" s="6" t="n">
        <v>707</v>
      </c>
      <c r="B735" s="7" t="n">
        <v>45200</v>
      </c>
      <c r="C735" s="6" t="s">
        <v>781</v>
      </c>
      <c r="D735" s="6" t="s">
        <v>49</v>
      </c>
      <c r="E735" s="6" t="n">
        <v>26</v>
      </c>
      <c r="F735" s="6" t="s">
        <v>47</v>
      </c>
      <c r="G735" s="6" t="n">
        <v>1</v>
      </c>
      <c r="H735" s="8" t="n">
        <v>500</v>
      </c>
      <c r="I735" s="8" t="n">
        <f aca="false">G735*H735</f>
        <v>500</v>
      </c>
    </row>
    <row r="736" customFormat="false" ht="15" hidden="false" customHeight="false" outlineLevel="0" collapsed="false">
      <c r="A736" s="6" t="n">
        <v>89</v>
      </c>
      <c r="B736" s="7" t="n">
        <v>45200</v>
      </c>
      <c r="C736" s="6" t="s">
        <v>782</v>
      </c>
      <c r="D736" s="6" t="s">
        <v>49</v>
      </c>
      <c r="E736" s="6" t="n">
        <v>55</v>
      </c>
      <c r="F736" s="6" t="s">
        <v>51</v>
      </c>
      <c r="G736" s="6" t="n">
        <v>4</v>
      </c>
      <c r="H736" s="8" t="n">
        <v>500</v>
      </c>
      <c r="I736" s="8" t="n">
        <f aca="false">G736*H736</f>
        <v>2000</v>
      </c>
    </row>
    <row r="737" customFormat="false" ht="15" hidden="false" customHeight="false" outlineLevel="0" collapsed="false">
      <c r="A737" s="6" t="n">
        <v>909</v>
      </c>
      <c r="B737" s="7" t="n">
        <v>45200</v>
      </c>
      <c r="C737" s="6" t="s">
        <v>783</v>
      </c>
      <c r="D737" s="6" t="s">
        <v>44</v>
      </c>
      <c r="E737" s="6" t="n">
        <v>26</v>
      </c>
      <c r="F737" s="6" t="s">
        <v>51</v>
      </c>
      <c r="G737" s="6" t="n">
        <v>1</v>
      </c>
      <c r="H737" s="8" t="n">
        <v>300</v>
      </c>
      <c r="I737" s="8" t="n">
        <f aca="false">G737*H737</f>
        <v>300</v>
      </c>
    </row>
    <row r="738" customFormat="false" ht="15" hidden="false" customHeight="false" outlineLevel="0" collapsed="false">
      <c r="A738" s="6" t="n">
        <v>51</v>
      </c>
      <c r="B738" s="7" t="n">
        <v>45201</v>
      </c>
      <c r="C738" s="6" t="s">
        <v>784</v>
      </c>
      <c r="D738" s="6" t="s">
        <v>44</v>
      </c>
      <c r="E738" s="6" t="n">
        <v>27</v>
      </c>
      <c r="F738" s="6" t="s">
        <v>45</v>
      </c>
      <c r="G738" s="6" t="n">
        <v>3</v>
      </c>
      <c r="H738" s="8" t="n">
        <v>25</v>
      </c>
      <c r="I738" s="8" t="n">
        <f aca="false">G738*H738</f>
        <v>75</v>
      </c>
    </row>
    <row r="739" customFormat="false" ht="15" hidden="false" customHeight="false" outlineLevel="0" collapsed="false">
      <c r="A739" s="6" t="n">
        <v>889</v>
      </c>
      <c r="B739" s="7" t="n">
        <v>45201</v>
      </c>
      <c r="C739" s="6" t="s">
        <v>785</v>
      </c>
      <c r="D739" s="6" t="s">
        <v>49</v>
      </c>
      <c r="E739" s="6" t="n">
        <v>35</v>
      </c>
      <c r="F739" s="6" t="s">
        <v>51</v>
      </c>
      <c r="G739" s="6" t="n">
        <v>1</v>
      </c>
      <c r="H739" s="8" t="n">
        <v>50</v>
      </c>
      <c r="I739" s="8" t="n">
        <f aca="false">G739*H739</f>
        <v>50</v>
      </c>
    </row>
    <row r="740" customFormat="false" ht="15" hidden="false" customHeight="false" outlineLevel="0" collapsed="false">
      <c r="A740" s="6" t="n">
        <v>497</v>
      </c>
      <c r="B740" s="7" t="n">
        <v>45201</v>
      </c>
      <c r="C740" s="6" t="s">
        <v>786</v>
      </c>
      <c r="D740" s="6" t="s">
        <v>44</v>
      </c>
      <c r="E740" s="6" t="n">
        <v>41</v>
      </c>
      <c r="F740" s="6" t="s">
        <v>47</v>
      </c>
      <c r="G740" s="6" t="n">
        <v>4</v>
      </c>
      <c r="H740" s="8" t="n">
        <v>30</v>
      </c>
      <c r="I740" s="8" t="n">
        <f aca="false">G740*H740</f>
        <v>120</v>
      </c>
    </row>
    <row r="741" customFormat="false" ht="15" hidden="false" customHeight="false" outlineLevel="0" collapsed="false">
      <c r="A741" s="6" t="n">
        <v>276</v>
      </c>
      <c r="B741" s="7" t="n">
        <v>45201</v>
      </c>
      <c r="C741" s="6" t="s">
        <v>787</v>
      </c>
      <c r="D741" s="6" t="s">
        <v>49</v>
      </c>
      <c r="E741" s="6" t="n">
        <v>21</v>
      </c>
      <c r="F741" s="6" t="s">
        <v>45</v>
      </c>
      <c r="G741" s="6" t="n">
        <v>4</v>
      </c>
      <c r="H741" s="8" t="n">
        <v>25</v>
      </c>
      <c r="I741" s="8" t="n">
        <f aca="false">G741*H741</f>
        <v>100</v>
      </c>
    </row>
    <row r="742" customFormat="false" ht="15" hidden="false" customHeight="false" outlineLevel="0" collapsed="false">
      <c r="A742" s="6" t="n">
        <v>154</v>
      </c>
      <c r="B742" s="7" t="n">
        <v>45201</v>
      </c>
      <c r="C742" s="6" t="s">
        <v>788</v>
      </c>
      <c r="D742" s="6" t="s">
        <v>44</v>
      </c>
      <c r="E742" s="6" t="n">
        <v>51</v>
      </c>
      <c r="F742" s="6" t="s">
        <v>51</v>
      </c>
      <c r="G742" s="6" t="n">
        <v>3</v>
      </c>
      <c r="H742" s="8" t="n">
        <v>300</v>
      </c>
      <c r="I742" s="8" t="n">
        <f aca="false">G742*H742</f>
        <v>900</v>
      </c>
    </row>
    <row r="743" customFormat="false" ht="15" hidden="false" customHeight="false" outlineLevel="0" collapsed="false">
      <c r="A743" s="6" t="n">
        <v>122</v>
      </c>
      <c r="B743" s="7" t="n">
        <v>45202</v>
      </c>
      <c r="C743" s="6" t="s">
        <v>789</v>
      </c>
      <c r="D743" s="6" t="s">
        <v>44</v>
      </c>
      <c r="E743" s="6" t="n">
        <v>64</v>
      </c>
      <c r="F743" s="6" t="s">
        <v>51</v>
      </c>
      <c r="G743" s="6" t="n">
        <v>4</v>
      </c>
      <c r="H743" s="8" t="n">
        <v>30</v>
      </c>
      <c r="I743" s="8" t="n">
        <f aca="false">G743*H743</f>
        <v>120</v>
      </c>
    </row>
    <row r="744" customFormat="false" ht="15" hidden="false" customHeight="false" outlineLevel="0" collapsed="false">
      <c r="A744" s="6" t="n">
        <v>813</v>
      </c>
      <c r="B744" s="7" t="n">
        <v>45202</v>
      </c>
      <c r="C744" s="6" t="s">
        <v>790</v>
      </c>
      <c r="D744" s="6" t="s">
        <v>44</v>
      </c>
      <c r="E744" s="6" t="n">
        <v>52</v>
      </c>
      <c r="F744" s="6" t="s">
        <v>51</v>
      </c>
      <c r="G744" s="6" t="n">
        <v>3</v>
      </c>
      <c r="H744" s="8" t="n">
        <v>50</v>
      </c>
      <c r="I744" s="8" t="n">
        <f aca="false">G744*H744</f>
        <v>150</v>
      </c>
    </row>
    <row r="745" customFormat="false" ht="15" hidden="false" customHeight="false" outlineLevel="0" collapsed="false">
      <c r="A745" s="6" t="n">
        <v>688</v>
      </c>
      <c r="B745" s="7" t="n">
        <v>45202</v>
      </c>
      <c r="C745" s="6" t="s">
        <v>791</v>
      </c>
      <c r="D745" s="6" t="s">
        <v>44</v>
      </c>
      <c r="E745" s="6" t="n">
        <v>56</v>
      </c>
      <c r="F745" s="6" t="s">
        <v>47</v>
      </c>
      <c r="G745" s="6" t="n">
        <v>4</v>
      </c>
      <c r="H745" s="8" t="n">
        <v>25</v>
      </c>
      <c r="I745" s="8" t="n">
        <f aca="false">G745*H745</f>
        <v>100</v>
      </c>
    </row>
    <row r="746" customFormat="false" ht="15" hidden="false" customHeight="false" outlineLevel="0" collapsed="false">
      <c r="A746" s="6" t="n">
        <v>524</v>
      </c>
      <c r="B746" s="7" t="n">
        <v>45202</v>
      </c>
      <c r="C746" s="6" t="s">
        <v>792</v>
      </c>
      <c r="D746" s="6" t="s">
        <v>44</v>
      </c>
      <c r="E746" s="6" t="n">
        <v>46</v>
      </c>
      <c r="F746" s="6" t="s">
        <v>45</v>
      </c>
      <c r="G746" s="6" t="n">
        <v>4</v>
      </c>
      <c r="H746" s="8" t="n">
        <v>300</v>
      </c>
      <c r="I746" s="8" t="n">
        <f aca="false">G746*H746</f>
        <v>1200</v>
      </c>
    </row>
    <row r="747" customFormat="false" ht="15" hidden="false" customHeight="false" outlineLevel="0" collapsed="false">
      <c r="A747" s="6" t="n">
        <v>373</v>
      </c>
      <c r="B747" s="7" t="n">
        <v>45202</v>
      </c>
      <c r="C747" s="6" t="s">
        <v>793</v>
      </c>
      <c r="D747" s="6" t="s">
        <v>49</v>
      </c>
      <c r="E747" s="6" t="n">
        <v>25</v>
      </c>
      <c r="F747" s="6" t="s">
        <v>45</v>
      </c>
      <c r="G747" s="6" t="n">
        <v>2</v>
      </c>
      <c r="H747" s="8" t="n">
        <v>300</v>
      </c>
      <c r="I747" s="8" t="n">
        <f aca="false">G747*H747</f>
        <v>600</v>
      </c>
    </row>
    <row r="748" customFormat="false" ht="15" hidden="false" customHeight="false" outlineLevel="0" collapsed="false">
      <c r="A748" s="6" t="n">
        <v>208</v>
      </c>
      <c r="B748" s="7" t="n">
        <v>45203</v>
      </c>
      <c r="C748" s="6" t="s">
        <v>794</v>
      </c>
      <c r="D748" s="6" t="s">
        <v>49</v>
      </c>
      <c r="E748" s="6" t="n">
        <v>34</v>
      </c>
      <c r="F748" s="6" t="s">
        <v>51</v>
      </c>
      <c r="G748" s="6" t="n">
        <v>4</v>
      </c>
      <c r="H748" s="8" t="n">
        <v>50</v>
      </c>
      <c r="I748" s="8" t="n">
        <f aca="false">G748*H748</f>
        <v>200</v>
      </c>
    </row>
    <row r="749" customFormat="false" ht="15" hidden="false" customHeight="false" outlineLevel="0" collapsed="false">
      <c r="A749" s="6" t="n">
        <v>290</v>
      </c>
      <c r="B749" s="7" t="n">
        <v>45203</v>
      </c>
      <c r="C749" s="6" t="s">
        <v>795</v>
      </c>
      <c r="D749" s="6" t="s">
        <v>49</v>
      </c>
      <c r="E749" s="6" t="n">
        <v>30</v>
      </c>
      <c r="F749" s="6" t="s">
        <v>45</v>
      </c>
      <c r="G749" s="6" t="n">
        <v>2</v>
      </c>
      <c r="H749" s="8" t="n">
        <v>300</v>
      </c>
      <c r="I749" s="8" t="n">
        <f aca="false">G749*H749</f>
        <v>600</v>
      </c>
    </row>
    <row r="750" customFormat="false" ht="15" hidden="false" customHeight="false" outlineLevel="0" collapsed="false">
      <c r="A750" s="6" t="n">
        <v>735</v>
      </c>
      <c r="B750" s="7" t="n">
        <v>45203</v>
      </c>
      <c r="C750" s="6" t="s">
        <v>796</v>
      </c>
      <c r="D750" s="6" t="s">
        <v>49</v>
      </c>
      <c r="E750" s="6" t="n">
        <v>64</v>
      </c>
      <c r="F750" s="6" t="s">
        <v>47</v>
      </c>
      <c r="G750" s="6" t="n">
        <v>4</v>
      </c>
      <c r="H750" s="8" t="n">
        <v>500</v>
      </c>
      <c r="I750" s="8" t="n">
        <f aca="false">G750*H750</f>
        <v>2000</v>
      </c>
    </row>
    <row r="751" customFormat="false" ht="15" hidden="false" customHeight="false" outlineLevel="0" collapsed="false">
      <c r="A751" s="6" t="n">
        <v>178</v>
      </c>
      <c r="B751" s="7" t="n">
        <v>45203</v>
      </c>
      <c r="C751" s="6" t="s">
        <v>797</v>
      </c>
      <c r="D751" s="6" t="s">
        <v>44</v>
      </c>
      <c r="E751" s="6" t="n">
        <v>40</v>
      </c>
      <c r="F751" s="6" t="s">
        <v>47</v>
      </c>
      <c r="G751" s="6" t="n">
        <v>2</v>
      </c>
      <c r="H751" s="8" t="n">
        <v>30</v>
      </c>
      <c r="I751" s="8" t="n">
        <f aca="false">G751*H751</f>
        <v>60</v>
      </c>
    </row>
    <row r="752" customFormat="false" ht="15" hidden="false" customHeight="false" outlineLevel="0" collapsed="false">
      <c r="A752" s="6" t="n">
        <v>656</v>
      </c>
      <c r="B752" s="7" t="n">
        <v>45203</v>
      </c>
      <c r="C752" s="6" t="s">
        <v>798</v>
      </c>
      <c r="D752" s="6" t="s">
        <v>44</v>
      </c>
      <c r="E752" s="6" t="n">
        <v>29</v>
      </c>
      <c r="F752" s="6" t="s">
        <v>45</v>
      </c>
      <c r="G752" s="6" t="n">
        <v>3</v>
      </c>
      <c r="H752" s="8" t="n">
        <v>30</v>
      </c>
      <c r="I752" s="8" t="n">
        <f aca="false">G752*H752</f>
        <v>90</v>
      </c>
    </row>
    <row r="753" customFormat="false" ht="15" hidden="false" customHeight="false" outlineLevel="0" collapsed="false">
      <c r="A753" s="6" t="n">
        <v>247</v>
      </c>
      <c r="B753" s="7" t="n">
        <v>45203</v>
      </c>
      <c r="C753" s="6" t="s">
        <v>799</v>
      </c>
      <c r="D753" s="6" t="s">
        <v>44</v>
      </c>
      <c r="E753" s="6" t="n">
        <v>41</v>
      </c>
      <c r="F753" s="6" t="s">
        <v>51</v>
      </c>
      <c r="G753" s="6" t="n">
        <v>2</v>
      </c>
      <c r="H753" s="8" t="n">
        <v>30</v>
      </c>
      <c r="I753" s="8" t="n">
        <f aca="false">G753*H753</f>
        <v>60</v>
      </c>
    </row>
    <row r="754" customFormat="false" ht="15" hidden="false" customHeight="false" outlineLevel="0" collapsed="false">
      <c r="A754" s="6" t="n">
        <v>319</v>
      </c>
      <c r="B754" s="7" t="n">
        <v>45204</v>
      </c>
      <c r="C754" s="6" t="s">
        <v>800</v>
      </c>
      <c r="D754" s="6" t="s">
        <v>44</v>
      </c>
      <c r="E754" s="6" t="n">
        <v>31</v>
      </c>
      <c r="F754" s="6" t="s">
        <v>47</v>
      </c>
      <c r="G754" s="6" t="n">
        <v>1</v>
      </c>
      <c r="H754" s="8" t="n">
        <v>500</v>
      </c>
      <c r="I754" s="8" t="n">
        <f aca="false">G754*H754</f>
        <v>500</v>
      </c>
    </row>
    <row r="755" customFormat="false" ht="15" hidden="false" customHeight="false" outlineLevel="0" collapsed="false">
      <c r="A755" s="6" t="n">
        <v>670</v>
      </c>
      <c r="B755" s="7" t="n">
        <v>45204</v>
      </c>
      <c r="C755" s="6" t="s">
        <v>801</v>
      </c>
      <c r="D755" s="6" t="s">
        <v>44</v>
      </c>
      <c r="E755" s="6" t="n">
        <v>27</v>
      </c>
      <c r="F755" s="6" t="s">
        <v>45</v>
      </c>
      <c r="G755" s="6" t="n">
        <v>1</v>
      </c>
      <c r="H755" s="8" t="n">
        <v>30</v>
      </c>
      <c r="I755" s="8" t="n">
        <f aca="false">G755*H755</f>
        <v>30</v>
      </c>
    </row>
    <row r="756" customFormat="false" ht="15" hidden="false" customHeight="false" outlineLevel="0" collapsed="false">
      <c r="A756" s="6" t="n">
        <v>385</v>
      </c>
      <c r="B756" s="7" t="n">
        <v>45205</v>
      </c>
      <c r="C756" s="6" t="s">
        <v>802</v>
      </c>
      <c r="D756" s="6" t="s">
        <v>44</v>
      </c>
      <c r="E756" s="6" t="n">
        <v>50</v>
      </c>
      <c r="F756" s="6" t="s">
        <v>51</v>
      </c>
      <c r="G756" s="6" t="n">
        <v>3</v>
      </c>
      <c r="H756" s="8" t="n">
        <v>500</v>
      </c>
      <c r="I756" s="8" t="n">
        <f aca="false">G756*H756</f>
        <v>1500</v>
      </c>
    </row>
    <row r="757" customFormat="false" ht="15" hidden="false" customHeight="false" outlineLevel="0" collapsed="false">
      <c r="A757" s="6" t="n">
        <v>689</v>
      </c>
      <c r="B757" s="7" t="n">
        <v>45206</v>
      </c>
      <c r="C757" s="6" t="s">
        <v>803</v>
      </c>
      <c r="D757" s="6" t="s">
        <v>44</v>
      </c>
      <c r="E757" s="6" t="n">
        <v>57</v>
      </c>
      <c r="F757" s="6" t="s">
        <v>51</v>
      </c>
      <c r="G757" s="6" t="n">
        <v>2</v>
      </c>
      <c r="H757" s="8" t="n">
        <v>50</v>
      </c>
      <c r="I757" s="8" t="n">
        <f aca="false">G757*H757</f>
        <v>100</v>
      </c>
    </row>
    <row r="758" customFormat="false" ht="15" hidden="false" customHeight="false" outlineLevel="0" collapsed="false">
      <c r="A758" s="6" t="n">
        <v>26</v>
      </c>
      <c r="B758" s="7" t="n">
        <v>45206</v>
      </c>
      <c r="C758" s="6" t="s">
        <v>804</v>
      </c>
      <c r="D758" s="6" t="s">
        <v>49</v>
      </c>
      <c r="E758" s="6" t="n">
        <v>28</v>
      </c>
      <c r="F758" s="6" t="s">
        <v>51</v>
      </c>
      <c r="G758" s="6" t="n">
        <v>2</v>
      </c>
      <c r="H758" s="8" t="n">
        <v>500</v>
      </c>
      <c r="I758" s="8" t="n">
        <f aca="false">G758*H758</f>
        <v>1000</v>
      </c>
    </row>
    <row r="759" customFormat="false" ht="15" hidden="false" customHeight="false" outlineLevel="0" collapsed="false">
      <c r="A759" s="6" t="n">
        <v>10</v>
      </c>
      <c r="B759" s="7" t="n">
        <v>45206</v>
      </c>
      <c r="C759" s="6" t="s">
        <v>805</v>
      </c>
      <c r="D759" s="6" t="s">
        <v>49</v>
      </c>
      <c r="E759" s="6" t="n">
        <v>52</v>
      </c>
      <c r="F759" s="6" t="s">
        <v>47</v>
      </c>
      <c r="G759" s="6" t="n">
        <v>4</v>
      </c>
      <c r="H759" s="8" t="n">
        <v>50</v>
      </c>
      <c r="I759" s="8" t="n">
        <f aca="false">G759*H759</f>
        <v>200</v>
      </c>
    </row>
    <row r="760" customFormat="false" ht="15" hidden="false" customHeight="false" outlineLevel="0" collapsed="false">
      <c r="A760" s="6" t="n">
        <v>437</v>
      </c>
      <c r="B760" s="7" t="n">
        <v>45206</v>
      </c>
      <c r="C760" s="6" t="s">
        <v>806</v>
      </c>
      <c r="D760" s="6" t="s">
        <v>49</v>
      </c>
      <c r="E760" s="6" t="n">
        <v>35</v>
      </c>
      <c r="F760" s="6" t="s">
        <v>51</v>
      </c>
      <c r="G760" s="6" t="n">
        <v>4</v>
      </c>
      <c r="H760" s="8" t="n">
        <v>300</v>
      </c>
      <c r="I760" s="8" t="n">
        <f aca="false">G760*H760</f>
        <v>1200</v>
      </c>
    </row>
    <row r="761" customFormat="false" ht="15" hidden="false" customHeight="false" outlineLevel="0" collapsed="false">
      <c r="A761" s="6" t="n">
        <v>634</v>
      </c>
      <c r="B761" s="7" t="n">
        <v>45207</v>
      </c>
      <c r="C761" s="6" t="s">
        <v>807</v>
      </c>
      <c r="D761" s="6" t="s">
        <v>44</v>
      </c>
      <c r="E761" s="6" t="n">
        <v>60</v>
      </c>
      <c r="F761" s="6" t="s">
        <v>51</v>
      </c>
      <c r="G761" s="6" t="n">
        <v>4</v>
      </c>
      <c r="H761" s="8" t="n">
        <v>500</v>
      </c>
      <c r="I761" s="8" t="n">
        <f aca="false">G761*H761</f>
        <v>2000</v>
      </c>
    </row>
    <row r="762" customFormat="false" ht="15" hidden="false" customHeight="false" outlineLevel="0" collapsed="false">
      <c r="A762" s="6" t="n">
        <v>558</v>
      </c>
      <c r="B762" s="7" t="n">
        <v>45207</v>
      </c>
      <c r="C762" s="6" t="s">
        <v>808</v>
      </c>
      <c r="D762" s="6" t="s">
        <v>49</v>
      </c>
      <c r="E762" s="6" t="n">
        <v>41</v>
      </c>
      <c r="F762" s="6" t="s">
        <v>47</v>
      </c>
      <c r="G762" s="6" t="n">
        <v>1</v>
      </c>
      <c r="H762" s="8" t="n">
        <v>25</v>
      </c>
      <c r="I762" s="8" t="n">
        <f aca="false">G762*H762</f>
        <v>25</v>
      </c>
    </row>
    <row r="763" customFormat="false" ht="15" hidden="false" customHeight="false" outlineLevel="0" collapsed="false">
      <c r="A763" s="6" t="n">
        <v>876</v>
      </c>
      <c r="B763" s="7" t="n">
        <v>45208</v>
      </c>
      <c r="C763" s="6" t="s">
        <v>809</v>
      </c>
      <c r="D763" s="6" t="s">
        <v>44</v>
      </c>
      <c r="E763" s="6" t="n">
        <v>43</v>
      </c>
      <c r="F763" s="6" t="s">
        <v>47</v>
      </c>
      <c r="G763" s="6" t="n">
        <v>4</v>
      </c>
      <c r="H763" s="8" t="n">
        <v>30</v>
      </c>
      <c r="I763" s="8" t="n">
        <f aca="false">G763*H763</f>
        <v>120</v>
      </c>
    </row>
    <row r="764" customFormat="false" ht="15" hidden="false" customHeight="false" outlineLevel="0" collapsed="false">
      <c r="A764" s="6" t="n">
        <v>201</v>
      </c>
      <c r="B764" s="7" t="n">
        <v>45208</v>
      </c>
      <c r="C764" s="6" t="s">
        <v>810</v>
      </c>
      <c r="D764" s="6" t="s">
        <v>44</v>
      </c>
      <c r="E764" s="6" t="n">
        <v>56</v>
      </c>
      <c r="F764" s="6" t="s">
        <v>51</v>
      </c>
      <c r="G764" s="6" t="n">
        <v>1</v>
      </c>
      <c r="H764" s="8" t="n">
        <v>25</v>
      </c>
      <c r="I764" s="8" t="n">
        <f aca="false">G764*H764</f>
        <v>25</v>
      </c>
    </row>
    <row r="765" customFormat="false" ht="15" hidden="false" customHeight="false" outlineLevel="0" collapsed="false">
      <c r="A765" s="6" t="n">
        <v>286</v>
      </c>
      <c r="B765" s="7" t="n">
        <v>45208</v>
      </c>
      <c r="C765" s="6" t="s">
        <v>811</v>
      </c>
      <c r="D765" s="6" t="s">
        <v>44</v>
      </c>
      <c r="E765" s="6" t="n">
        <v>55</v>
      </c>
      <c r="F765" s="6" t="s">
        <v>51</v>
      </c>
      <c r="G765" s="6" t="n">
        <v>2</v>
      </c>
      <c r="H765" s="8" t="n">
        <v>25</v>
      </c>
      <c r="I765" s="8" t="n">
        <f aca="false">G765*H765</f>
        <v>50</v>
      </c>
    </row>
    <row r="766" customFormat="false" ht="15" hidden="false" customHeight="false" outlineLevel="0" collapsed="false">
      <c r="A766" s="6" t="n">
        <v>976</v>
      </c>
      <c r="B766" s="7" t="n">
        <v>45209</v>
      </c>
      <c r="C766" s="6" t="s">
        <v>812</v>
      </c>
      <c r="D766" s="6" t="s">
        <v>49</v>
      </c>
      <c r="E766" s="6" t="n">
        <v>48</v>
      </c>
      <c r="F766" s="6" t="s">
        <v>45</v>
      </c>
      <c r="G766" s="6" t="n">
        <v>2</v>
      </c>
      <c r="H766" s="8" t="n">
        <v>300</v>
      </c>
      <c r="I766" s="8" t="n">
        <f aca="false">G766*H766</f>
        <v>600</v>
      </c>
    </row>
    <row r="767" customFormat="false" ht="15" hidden="false" customHeight="false" outlineLevel="0" collapsed="false">
      <c r="A767" s="6" t="n">
        <v>55</v>
      </c>
      <c r="B767" s="7" t="n">
        <v>45209</v>
      </c>
      <c r="C767" s="6" t="s">
        <v>813</v>
      </c>
      <c r="D767" s="6" t="s">
        <v>44</v>
      </c>
      <c r="E767" s="6" t="n">
        <v>31</v>
      </c>
      <c r="F767" s="6" t="s">
        <v>45</v>
      </c>
      <c r="G767" s="6" t="n">
        <v>4</v>
      </c>
      <c r="H767" s="8" t="n">
        <v>30</v>
      </c>
      <c r="I767" s="8" t="n">
        <f aca="false">G767*H767</f>
        <v>120</v>
      </c>
    </row>
    <row r="768" customFormat="false" ht="15" hidden="false" customHeight="false" outlineLevel="0" collapsed="false">
      <c r="A768" s="6" t="n">
        <v>428</v>
      </c>
      <c r="B768" s="7" t="n">
        <v>45209</v>
      </c>
      <c r="C768" s="6" t="s">
        <v>814</v>
      </c>
      <c r="D768" s="6" t="s">
        <v>49</v>
      </c>
      <c r="E768" s="6" t="n">
        <v>40</v>
      </c>
      <c r="F768" s="6" t="s">
        <v>51</v>
      </c>
      <c r="G768" s="6" t="n">
        <v>4</v>
      </c>
      <c r="H768" s="8" t="n">
        <v>50</v>
      </c>
      <c r="I768" s="8" t="n">
        <f aca="false">G768*H768</f>
        <v>200</v>
      </c>
    </row>
    <row r="769" customFormat="false" ht="15" hidden="false" customHeight="false" outlineLevel="0" collapsed="false">
      <c r="A769" s="6" t="n">
        <v>441</v>
      </c>
      <c r="B769" s="7" t="n">
        <v>45209</v>
      </c>
      <c r="C769" s="6" t="s">
        <v>815</v>
      </c>
      <c r="D769" s="6" t="s">
        <v>44</v>
      </c>
      <c r="E769" s="6" t="n">
        <v>57</v>
      </c>
      <c r="F769" s="6" t="s">
        <v>45</v>
      </c>
      <c r="G769" s="6" t="n">
        <v>4</v>
      </c>
      <c r="H769" s="8" t="n">
        <v>300</v>
      </c>
      <c r="I769" s="8" t="n">
        <f aca="false">G769*H769</f>
        <v>1200</v>
      </c>
    </row>
    <row r="770" customFormat="false" ht="15" hidden="false" customHeight="false" outlineLevel="0" collapsed="false">
      <c r="A770" s="6" t="n">
        <v>546</v>
      </c>
      <c r="B770" s="7" t="n">
        <v>45210</v>
      </c>
      <c r="C770" s="6" t="s">
        <v>816</v>
      </c>
      <c r="D770" s="6" t="s">
        <v>49</v>
      </c>
      <c r="E770" s="6" t="n">
        <v>36</v>
      </c>
      <c r="F770" s="6" t="s">
        <v>51</v>
      </c>
      <c r="G770" s="6" t="n">
        <v>4</v>
      </c>
      <c r="H770" s="8" t="n">
        <v>50</v>
      </c>
      <c r="I770" s="8" t="n">
        <f aca="false">G770*H770</f>
        <v>200</v>
      </c>
    </row>
    <row r="771" customFormat="false" ht="15" hidden="false" customHeight="false" outlineLevel="0" collapsed="false">
      <c r="A771" s="6" t="n">
        <v>227</v>
      </c>
      <c r="B771" s="7" t="n">
        <v>45210</v>
      </c>
      <c r="C771" s="6" t="s">
        <v>817</v>
      </c>
      <c r="D771" s="6" t="s">
        <v>44</v>
      </c>
      <c r="E771" s="6" t="n">
        <v>36</v>
      </c>
      <c r="F771" s="6" t="s">
        <v>51</v>
      </c>
      <c r="G771" s="6" t="n">
        <v>2</v>
      </c>
      <c r="H771" s="8" t="n">
        <v>50</v>
      </c>
      <c r="I771" s="8" t="n">
        <f aca="false">G771*H771</f>
        <v>100</v>
      </c>
    </row>
    <row r="772" customFormat="false" ht="15" hidden="false" customHeight="false" outlineLevel="0" collapsed="false">
      <c r="A772" s="6" t="n">
        <v>872</v>
      </c>
      <c r="B772" s="7" t="n">
        <v>45210</v>
      </c>
      <c r="C772" s="6" t="s">
        <v>818</v>
      </c>
      <c r="D772" s="6" t="s">
        <v>49</v>
      </c>
      <c r="E772" s="6" t="n">
        <v>63</v>
      </c>
      <c r="F772" s="6" t="s">
        <v>45</v>
      </c>
      <c r="G772" s="6" t="n">
        <v>3</v>
      </c>
      <c r="H772" s="8" t="n">
        <v>25</v>
      </c>
      <c r="I772" s="8" t="n">
        <f aca="false">G772*H772</f>
        <v>75</v>
      </c>
    </row>
    <row r="773" customFormat="false" ht="15" hidden="false" customHeight="false" outlineLevel="0" collapsed="false">
      <c r="A773" s="6" t="n">
        <v>149</v>
      </c>
      <c r="B773" s="7" t="n">
        <v>45210</v>
      </c>
      <c r="C773" s="6" t="s">
        <v>819</v>
      </c>
      <c r="D773" s="6" t="s">
        <v>44</v>
      </c>
      <c r="E773" s="6" t="n">
        <v>22</v>
      </c>
      <c r="F773" s="6" t="s">
        <v>47</v>
      </c>
      <c r="G773" s="6" t="n">
        <v>3</v>
      </c>
      <c r="H773" s="8" t="n">
        <v>25</v>
      </c>
      <c r="I773" s="8" t="n">
        <f aca="false">G773*H773</f>
        <v>75</v>
      </c>
    </row>
    <row r="774" customFormat="false" ht="15" hidden="false" customHeight="false" outlineLevel="0" collapsed="false">
      <c r="A774" s="6" t="n">
        <v>393</v>
      </c>
      <c r="B774" s="7" t="n">
        <v>45210</v>
      </c>
      <c r="C774" s="6" t="s">
        <v>820</v>
      </c>
      <c r="D774" s="6" t="s">
        <v>49</v>
      </c>
      <c r="E774" s="6" t="n">
        <v>22</v>
      </c>
      <c r="F774" s="6" t="s">
        <v>45</v>
      </c>
      <c r="G774" s="6" t="n">
        <v>2</v>
      </c>
      <c r="H774" s="8" t="n">
        <v>500</v>
      </c>
      <c r="I774" s="8" t="n">
        <f aca="false">G774*H774</f>
        <v>1000</v>
      </c>
    </row>
    <row r="775" customFormat="false" ht="15" hidden="false" customHeight="false" outlineLevel="0" collapsed="false">
      <c r="A775" s="6" t="n">
        <v>401</v>
      </c>
      <c r="B775" s="7" t="n">
        <v>45210</v>
      </c>
      <c r="C775" s="6" t="s">
        <v>821</v>
      </c>
      <c r="D775" s="6" t="s">
        <v>49</v>
      </c>
      <c r="E775" s="6" t="n">
        <v>62</v>
      </c>
      <c r="F775" s="6" t="s">
        <v>47</v>
      </c>
      <c r="G775" s="6" t="n">
        <v>1</v>
      </c>
      <c r="H775" s="8" t="n">
        <v>300</v>
      </c>
      <c r="I775" s="8" t="n">
        <f aca="false">G775*H775</f>
        <v>300</v>
      </c>
    </row>
    <row r="776" customFormat="false" ht="15" hidden="false" customHeight="false" outlineLevel="0" collapsed="false">
      <c r="A776" s="6" t="n">
        <v>914</v>
      </c>
      <c r="B776" s="7" t="n">
        <v>45210</v>
      </c>
      <c r="C776" s="6" t="s">
        <v>822</v>
      </c>
      <c r="D776" s="6" t="s">
        <v>49</v>
      </c>
      <c r="E776" s="6" t="n">
        <v>59</v>
      </c>
      <c r="F776" s="6" t="s">
        <v>51</v>
      </c>
      <c r="G776" s="6" t="n">
        <v>1</v>
      </c>
      <c r="H776" s="8" t="n">
        <v>500</v>
      </c>
      <c r="I776" s="8" t="n">
        <f aca="false">G776*H776</f>
        <v>500</v>
      </c>
    </row>
    <row r="777" customFormat="false" ht="15" hidden="false" customHeight="false" outlineLevel="0" collapsed="false">
      <c r="A777" s="6" t="n">
        <v>310</v>
      </c>
      <c r="B777" s="7" t="n">
        <v>45211</v>
      </c>
      <c r="C777" s="6" t="s">
        <v>823</v>
      </c>
      <c r="D777" s="6" t="s">
        <v>49</v>
      </c>
      <c r="E777" s="6" t="n">
        <v>28</v>
      </c>
      <c r="F777" s="6" t="s">
        <v>45</v>
      </c>
      <c r="G777" s="6" t="n">
        <v>1</v>
      </c>
      <c r="H777" s="8" t="n">
        <v>25</v>
      </c>
      <c r="I777" s="8" t="n">
        <f aca="false">G777*H777</f>
        <v>25</v>
      </c>
    </row>
    <row r="778" customFormat="false" ht="15" hidden="false" customHeight="false" outlineLevel="0" collapsed="false">
      <c r="A778" s="6" t="n">
        <v>852</v>
      </c>
      <c r="B778" s="7" t="n">
        <v>45211</v>
      </c>
      <c r="C778" s="6" t="s">
        <v>824</v>
      </c>
      <c r="D778" s="6" t="s">
        <v>49</v>
      </c>
      <c r="E778" s="6" t="n">
        <v>41</v>
      </c>
      <c r="F778" s="6" t="s">
        <v>47</v>
      </c>
      <c r="G778" s="6" t="n">
        <v>1</v>
      </c>
      <c r="H778" s="8" t="n">
        <v>300</v>
      </c>
      <c r="I778" s="8" t="n">
        <f aca="false">G778*H778</f>
        <v>300</v>
      </c>
    </row>
    <row r="779" customFormat="false" ht="15" hidden="false" customHeight="false" outlineLevel="0" collapsed="false">
      <c r="A779" s="6" t="n">
        <v>844</v>
      </c>
      <c r="B779" s="7" t="n">
        <v>45211</v>
      </c>
      <c r="C779" s="6" t="s">
        <v>825</v>
      </c>
      <c r="D779" s="6" t="s">
        <v>44</v>
      </c>
      <c r="E779" s="6" t="n">
        <v>35</v>
      </c>
      <c r="F779" s="6" t="s">
        <v>47</v>
      </c>
      <c r="G779" s="6" t="n">
        <v>3</v>
      </c>
      <c r="H779" s="8" t="n">
        <v>50</v>
      </c>
      <c r="I779" s="8" t="n">
        <f aca="false">G779*H779</f>
        <v>150</v>
      </c>
    </row>
    <row r="780" customFormat="false" ht="15" hidden="false" customHeight="false" outlineLevel="0" collapsed="false">
      <c r="A780" s="6" t="n">
        <v>619</v>
      </c>
      <c r="B780" s="7" t="n">
        <v>45212</v>
      </c>
      <c r="C780" s="6" t="s">
        <v>826</v>
      </c>
      <c r="D780" s="6" t="s">
        <v>44</v>
      </c>
      <c r="E780" s="6" t="n">
        <v>47</v>
      </c>
      <c r="F780" s="6" t="s">
        <v>51</v>
      </c>
      <c r="G780" s="6" t="n">
        <v>4</v>
      </c>
      <c r="H780" s="8" t="n">
        <v>25</v>
      </c>
      <c r="I780" s="8" t="n">
        <f aca="false">G780*H780</f>
        <v>100</v>
      </c>
    </row>
    <row r="781" customFormat="false" ht="15" hidden="false" customHeight="false" outlineLevel="0" collapsed="false">
      <c r="A781" s="6" t="n">
        <v>97</v>
      </c>
      <c r="B781" s="7" t="n">
        <v>45212</v>
      </c>
      <c r="C781" s="6" t="s">
        <v>827</v>
      </c>
      <c r="D781" s="6" t="s">
        <v>49</v>
      </c>
      <c r="E781" s="6" t="n">
        <v>51</v>
      </c>
      <c r="F781" s="6" t="s">
        <v>45</v>
      </c>
      <c r="G781" s="6" t="n">
        <v>2</v>
      </c>
      <c r="H781" s="8" t="n">
        <v>500</v>
      </c>
      <c r="I781" s="8" t="n">
        <f aca="false">G781*H781</f>
        <v>1000</v>
      </c>
    </row>
    <row r="782" customFormat="false" ht="15" hidden="false" customHeight="false" outlineLevel="0" collapsed="false">
      <c r="A782" s="6" t="n">
        <v>948</v>
      </c>
      <c r="B782" s="7" t="n">
        <v>45212</v>
      </c>
      <c r="C782" s="6" t="s">
        <v>828</v>
      </c>
      <c r="D782" s="6" t="s">
        <v>49</v>
      </c>
      <c r="E782" s="6" t="n">
        <v>23</v>
      </c>
      <c r="F782" s="6" t="s">
        <v>51</v>
      </c>
      <c r="G782" s="6" t="n">
        <v>3</v>
      </c>
      <c r="H782" s="8" t="n">
        <v>25</v>
      </c>
      <c r="I782" s="8" t="n">
        <f aca="false">G782*H782</f>
        <v>75</v>
      </c>
    </row>
    <row r="783" customFormat="false" ht="15" hidden="false" customHeight="false" outlineLevel="0" collapsed="false">
      <c r="A783" s="6" t="n">
        <v>456</v>
      </c>
      <c r="B783" s="7" t="n">
        <v>45213</v>
      </c>
      <c r="C783" s="6" t="s">
        <v>829</v>
      </c>
      <c r="D783" s="6" t="s">
        <v>44</v>
      </c>
      <c r="E783" s="6" t="n">
        <v>57</v>
      </c>
      <c r="F783" s="6" t="s">
        <v>51</v>
      </c>
      <c r="G783" s="6" t="n">
        <v>2</v>
      </c>
      <c r="H783" s="8" t="n">
        <v>30</v>
      </c>
      <c r="I783" s="8" t="n">
        <f aca="false">G783*H783</f>
        <v>60</v>
      </c>
    </row>
    <row r="784" customFormat="false" ht="15" hidden="false" customHeight="false" outlineLevel="0" collapsed="false">
      <c r="A784" s="6" t="n">
        <v>627</v>
      </c>
      <c r="B784" s="7" t="n">
        <v>45213</v>
      </c>
      <c r="C784" s="6" t="s">
        <v>830</v>
      </c>
      <c r="D784" s="6" t="s">
        <v>44</v>
      </c>
      <c r="E784" s="6" t="n">
        <v>57</v>
      </c>
      <c r="F784" s="6" t="s">
        <v>47</v>
      </c>
      <c r="G784" s="6" t="n">
        <v>1</v>
      </c>
      <c r="H784" s="8" t="n">
        <v>50</v>
      </c>
      <c r="I784" s="8" t="n">
        <f aca="false">G784*H784</f>
        <v>50</v>
      </c>
    </row>
    <row r="785" customFormat="false" ht="15" hidden="false" customHeight="false" outlineLevel="0" collapsed="false">
      <c r="A785" s="6" t="n">
        <v>121</v>
      </c>
      <c r="B785" s="7" t="n">
        <v>45214</v>
      </c>
      <c r="C785" s="6" t="s">
        <v>831</v>
      </c>
      <c r="D785" s="6" t="s">
        <v>49</v>
      </c>
      <c r="E785" s="6" t="n">
        <v>28</v>
      </c>
      <c r="F785" s="6" t="s">
        <v>51</v>
      </c>
      <c r="G785" s="6" t="n">
        <v>4</v>
      </c>
      <c r="H785" s="8" t="n">
        <v>50</v>
      </c>
      <c r="I785" s="8" t="n">
        <f aca="false">G785*H785</f>
        <v>200</v>
      </c>
    </row>
    <row r="786" customFormat="false" ht="15" hidden="false" customHeight="false" outlineLevel="0" collapsed="false">
      <c r="A786" s="6" t="n">
        <v>22</v>
      </c>
      <c r="B786" s="7" t="n">
        <v>45214</v>
      </c>
      <c r="C786" s="6" t="s">
        <v>832</v>
      </c>
      <c r="D786" s="6" t="s">
        <v>44</v>
      </c>
      <c r="E786" s="6" t="n">
        <v>18</v>
      </c>
      <c r="F786" s="6" t="s">
        <v>47</v>
      </c>
      <c r="G786" s="6" t="n">
        <v>2</v>
      </c>
      <c r="H786" s="8" t="n">
        <v>50</v>
      </c>
      <c r="I786" s="8" t="n">
        <f aca="false">G786*H786</f>
        <v>100</v>
      </c>
    </row>
    <row r="787" customFormat="false" ht="15" hidden="false" customHeight="false" outlineLevel="0" collapsed="false">
      <c r="A787" s="6" t="n">
        <v>431</v>
      </c>
      <c r="B787" s="7" t="n">
        <v>45214</v>
      </c>
      <c r="C787" s="6" t="s">
        <v>833</v>
      </c>
      <c r="D787" s="6" t="s">
        <v>44</v>
      </c>
      <c r="E787" s="6" t="n">
        <v>63</v>
      </c>
      <c r="F787" s="6" t="s">
        <v>51</v>
      </c>
      <c r="G787" s="6" t="n">
        <v>4</v>
      </c>
      <c r="H787" s="8" t="n">
        <v>300</v>
      </c>
      <c r="I787" s="8" t="n">
        <f aca="false">G787*H787</f>
        <v>1200</v>
      </c>
    </row>
    <row r="788" customFormat="false" ht="15" hidden="false" customHeight="false" outlineLevel="0" collapsed="false">
      <c r="A788" s="6" t="n">
        <v>943</v>
      </c>
      <c r="B788" s="7" t="n">
        <v>45215</v>
      </c>
      <c r="C788" s="6" t="s">
        <v>834</v>
      </c>
      <c r="D788" s="6" t="s">
        <v>49</v>
      </c>
      <c r="E788" s="6" t="n">
        <v>57</v>
      </c>
      <c r="F788" s="6" t="s">
        <v>47</v>
      </c>
      <c r="G788" s="6" t="n">
        <v>4</v>
      </c>
      <c r="H788" s="8" t="n">
        <v>300</v>
      </c>
      <c r="I788" s="8" t="n">
        <f aca="false">G788*H788</f>
        <v>1200</v>
      </c>
    </row>
    <row r="789" customFormat="false" ht="15" hidden="false" customHeight="false" outlineLevel="0" collapsed="false">
      <c r="A789" s="6" t="n">
        <v>754</v>
      </c>
      <c r="B789" s="7" t="n">
        <v>45215</v>
      </c>
      <c r="C789" s="6" t="s">
        <v>835</v>
      </c>
      <c r="D789" s="6" t="s">
        <v>49</v>
      </c>
      <c r="E789" s="6" t="n">
        <v>43</v>
      </c>
      <c r="F789" s="6" t="s">
        <v>51</v>
      </c>
      <c r="G789" s="6" t="n">
        <v>4</v>
      </c>
      <c r="H789" s="8" t="n">
        <v>25</v>
      </c>
      <c r="I789" s="8" t="n">
        <f aca="false">G789*H789</f>
        <v>100</v>
      </c>
    </row>
    <row r="790" customFormat="false" ht="15" hidden="false" customHeight="false" outlineLevel="0" collapsed="false">
      <c r="A790" s="6" t="n">
        <v>370</v>
      </c>
      <c r="B790" s="7" t="n">
        <v>45215</v>
      </c>
      <c r="C790" s="6" t="s">
        <v>836</v>
      </c>
      <c r="D790" s="6" t="s">
        <v>44</v>
      </c>
      <c r="E790" s="6" t="n">
        <v>23</v>
      </c>
      <c r="F790" s="6" t="s">
        <v>51</v>
      </c>
      <c r="G790" s="6" t="n">
        <v>2</v>
      </c>
      <c r="H790" s="8" t="n">
        <v>30</v>
      </c>
      <c r="I790" s="8" t="n">
        <f aca="false">G790*H790</f>
        <v>60</v>
      </c>
    </row>
    <row r="791" customFormat="false" ht="15" hidden="false" customHeight="false" outlineLevel="0" collapsed="false">
      <c r="A791" s="6" t="n">
        <v>711</v>
      </c>
      <c r="B791" s="7" t="n">
        <v>45215</v>
      </c>
      <c r="C791" s="6" t="s">
        <v>837</v>
      </c>
      <c r="D791" s="6" t="s">
        <v>44</v>
      </c>
      <c r="E791" s="6" t="n">
        <v>26</v>
      </c>
      <c r="F791" s="6" t="s">
        <v>51</v>
      </c>
      <c r="G791" s="6" t="n">
        <v>3</v>
      </c>
      <c r="H791" s="8" t="n">
        <v>500</v>
      </c>
      <c r="I791" s="8" t="n">
        <f aca="false">G791*H791</f>
        <v>1500</v>
      </c>
    </row>
    <row r="792" customFormat="false" ht="15" hidden="false" customHeight="false" outlineLevel="0" collapsed="false">
      <c r="A792" s="6" t="n">
        <v>350</v>
      </c>
      <c r="B792" s="7" t="n">
        <v>45216</v>
      </c>
      <c r="C792" s="6" t="s">
        <v>838</v>
      </c>
      <c r="D792" s="6" t="s">
        <v>44</v>
      </c>
      <c r="E792" s="6" t="n">
        <v>25</v>
      </c>
      <c r="F792" s="6" t="s">
        <v>45</v>
      </c>
      <c r="G792" s="6" t="n">
        <v>3</v>
      </c>
      <c r="H792" s="8" t="n">
        <v>25</v>
      </c>
      <c r="I792" s="8" t="n">
        <f aca="false">G792*H792</f>
        <v>75</v>
      </c>
    </row>
    <row r="793" customFormat="false" ht="15" hidden="false" customHeight="false" outlineLevel="0" collapsed="false">
      <c r="A793" s="6" t="n">
        <v>786</v>
      </c>
      <c r="B793" s="7" t="n">
        <v>45216</v>
      </c>
      <c r="C793" s="6" t="s">
        <v>839</v>
      </c>
      <c r="D793" s="6" t="s">
        <v>44</v>
      </c>
      <c r="E793" s="6" t="n">
        <v>48</v>
      </c>
      <c r="F793" s="6" t="s">
        <v>47</v>
      </c>
      <c r="G793" s="6" t="n">
        <v>4</v>
      </c>
      <c r="H793" s="8" t="n">
        <v>25</v>
      </c>
      <c r="I793" s="8" t="n">
        <f aca="false">G793*H793</f>
        <v>100</v>
      </c>
    </row>
    <row r="794" customFormat="false" ht="15" hidden="false" customHeight="false" outlineLevel="0" collapsed="false">
      <c r="A794" s="6" t="n">
        <v>191</v>
      </c>
      <c r="B794" s="7" t="n">
        <v>45217</v>
      </c>
      <c r="C794" s="6" t="s">
        <v>840</v>
      </c>
      <c r="D794" s="6" t="s">
        <v>44</v>
      </c>
      <c r="E794" s="6" t="n">
        <v>64</v>
      </c>
      <c r="F794" s="6" t="s">
        <v>45</v>
      </c>
      <c r="G794" s="6" t="n">
        <v>1</v>
      </c>
      <c r="H794" s="8" t="n">
        <v>25</v>
      </c>
      <c r="I794" s="8" t="n">
        <f aca="false">G794*H794</f>
        <v>25</v>
      </c>
    </row>
    <row r="795" customFormat="false" ht="15" hidden="false" customHeight="false" outlineLevel="0" collapsed="false">
      <c r="A795" s="6" t="n">
        <v>109</v>
      </c>
      <c r="B795" s="7" t="n">
        <v>45217</v>
      </c>
      <c r="C795" s="6" t="s">
        <v>841</v>
      </c>
      <c r="D795" s="6" t="s">
        <v>49</v>
      </c>
      <c r="E795" s="6" t="n">
        <v>34</v>
      </c>
      <c r="F795" s="6" t="s">
        <v>51</v>
      </c>
      <c r="G795" s="6" t="n">
        <v>4</v>
      </c>
      <c r="H795" s="8" t="n">
        <v>500</v>
      </c>
      <c r="I795" s="8" t="n">
        <f aca="false">G795*H795</f>
        <v>2000</v>
      </c>
    </row>
    <row r="796" customFormat="false" ht="15" hidden="false" customHeight="false" outlineLevel="0" collapsed="false">
      <c r="A796" s="6" t="n">
        <v>555</v>
      </c>
      <c r="B796" s="7" t="n">
        <v>45218</v>
      </c>
      <c r="C796" s="6" t="s">
        <v>842</v>
      </c>
      <c r="D796" s="6" t="s">
        <v>44</v>
      </c>
      <c r="E796" s="6" t="n">
        <v>25</v>
      </c>
      <c r="F796" s="6" t="s">
        <v>45</v>
      </c>
      <c r="G796" s="6" t="n">
        <v>1</v>
      </c>
      <c r="H796" s="8" t="n">
        <v>300</v>
      </c>
      <c r="I796" s="8" t="n">
        <f aca="false">G796*H796</f>
        <v>300</v>
      </c>
    </row>
    <row r="797" customFormat="false" ht="15" hidden="false" customHeight="false" outlineLevel="0" collapsed="false">
      <c r="A797" s="6" t="n">
        <v>826</v>
      </c>
      <c r="B797" s="7" t="n">
        <v>45218</v>
      </c>
      <c r="C797" s="6" t="s">
        <v>843</v>
      </c>
      <c r="D797" s="6" t="s">
        <v>49</v>
      </c>
      <c r="E797" s="6" t="n">
        <v>46</v>
      </c>
      <c r="F797" s="6" t="s">
        <v>47</v>
      </c>
      <c r="G797" s="6" t="n">
        <v>1</v>
      </c>
      <c r="H797" s="8" t="n">
        <v>300</v>
      </c>
      <c r="I797" s="8" t="n">
        <f aca="false">G797*H797</f>
        <v>300</v>
      </c>
    </row>
    <row r="798" customFormat="false" ht="15" hidden="false" customHeight="false" outlineLevel="0" collapsed="false">
      <c r="A798" s="6" t="n">
        <v>340</v>
      </c>
      <c r="B798" s="7" t="n">
        <v>45218</v>
      </c>
      <c r="C798" s="6" t="s">
        <v>844</v>
      </c>
      <c r="D798" s="6" t="s">
        <v>49</v>
      </c>
      <c r="E798" s="6" t="n">
        <v>36</v>
      </c>
      <c r="F798" s="6" t="s">
        <v>47</v>
      </c>
      <c r="G798" s="6" t="n">
        <v>4</v>
      </c>
      <c r="H798" s="8" t="n">
        <v>300</v>
      </c>
      <c r="I798" s="8" t="n">
        <f aca="false">G798*H798</f>
        <v>1200</v>
      </c>
    </row>
    <row r="799" customFormat="false" ht="15" hidden="false" customHeight="false" outlineLevel="0" collapsed="false">
      <c r="A799" s="6" t="n">
        <v>962</v>
      </c>
      <c r="B799" s="7" t="n">
        <v>45218</v>
      </c>
      <c r="C799" s="6" t="s">
        <v>845</v>
      </c>
      <c r="D799" s="6" t="s">
        <v>44</v>
      </c>
      <c r="E799" s="6" t="n">
        <v>44</v>
      </c>
      <c r="F799" s="6" t="s">
        <v>47</v>
      </c>
      <c r="G799" s="6" t="n">
        <v>2</v>
      </c>
      <c r="H799" s="8" t="n">
        <v>30</v>
      </c>
      <c r="I799" s="8" t="n">
        <f aca="false">G799*H799</f>
        <v>60</v>
      </c>
    </row>
    <row r="800" customFormat="false" ht="15" hidden="false" customHeight="false" outlineLevel="0" collapsed="false">
      <c r="A800" s="6" t="n">
        <v>249</v>
      </c>
      <c r="B800" s="7" t="n">
        <v>45219</v>
      </c>
      <c r="C800" s="6" t="s">
        <v>846</v>
      </c>
      <c r="D800" s="6" t="s">
        <v>44</v>
      </c>
      <c r="E800" s="6" t="n">
        <v>20</v>
      </c>
      <c r="F800" s="6" t="s">
        <v>47</v>
      </c>
      <c r="G800" s="6" t="n">
        <v>1</v>
      </c>
      <c r="H800" s="8" t="n">
        <v>50</v>
      </c>
      <c r="I800" s="8" t="n">
        <f aca="false">G800*H800</f>
        <v>50</v>
      </c>
    </row>
    <row r="801" customFormat="false" ht="15" hidden="false" customHeight="false" outlineLevel="0" collapsed="false">
      <c r="A801" s="6" t="n">
        <v>922</v>
      </c>
      <c r="B801" s="7" t="n">
        <v>45220</v>
      </c>
      <c r="C801" s="6" t="s">
        <v>847</v>
      </c>
      <c r="D801" s="6" t="s">
        <v>44</v>
      </c>
      <c r="E801" s="6" t="n">
        <v>41</v>
      </c>
      <c r="F801" s="6" t="s">
        <v>51</v>
      </c>
      <c r="G801" s="6" t="n">
        <v>1</v>
      </c>
      <c r="H801" s="8" t="n">
        <v>50</v>
      </c>
      <c r="I801" s="8" t="n">
        <f aca="false">G801*H801</f>
        <v>50</v>
      </c>
    </row>
    <row r="802" customFormat="false" ht="15" hidden="false" customHeight="false" outlineLevel="0" collapsed="false">
      <c r="A802" s="6" t="n">
        <v>680</v>
      </c>
      <c r="B802" s="7" t="n">
        <v>45221</v>
      </c>
      <c r="C802" s="6" t="s">
        <v>848</v>
      </c>
      <c r="D802" s="6" t="s">
        <v>49</v>
      </c>
      <c r="E802" s="6" t="n">
        <v>53</v>
      </c>
      <c r="F802" s="6" t="s">
        <v>47</v>
      </c>
      <c r="G802" s="6" t="n">
        <v>3</v>
      </c>
      <c r="H802" s="8" t="n">
        <v>300</v>
      </c>
      <c r="I802" s="8" t="n">
        <f aca="false">G802*H802</f>
        <v>900</v>
      </c>
    </row>
    <row r="803" customFormat="false" ht="15" hidden="false" customHeight="false" outlineLevel="0" collapsed="false">
      <c r="A803" s="6" t="n">
        <v>600</v>
      </c>
      <c r="B803" s="7" t="n">
        <v>45221</v>
      </c>
      <c r="C803" s="6" t="s">
        <v>849</v>
      </c>
      <c r="D803" s="6" t="s">
        <v>49</v>
      </c>
      <c r="E803" s="6" t="n">
        <v>59</v>
      </c>
      <c r="F803" s="6" t="s">
        <v>45</v>
      </c>
      <c r="G803" s="6" t="n">
        <v>2</v>
      </c>
      <c r="H803" s="8" t="n">
        <v>500</v>
      </c>
      <c r="I803" s="8" t="n">
        <f aca="false">G803*H803</f>
        <v>1000</v>
      </c>
    </row>
    <row r="804" customFormat="false" ht="15" hidden="false" customHeight="false" outlineLevel="0" collapsed="false">
      <c r="A804" s="6" t="n">
        <v>770</v>
      </c>
      <c r="B804" s="7" t="n">
        <v>45221</v>
      </c>
      <c r="C804" s="6" t="s">
        <v>850</v>
      </c>
      <c r="D804" s="6" t="s">
        <v>44</v>
      </c>
      <c r="E804" s="6" t="n">
        <v>32</v>
      </c>
      <c r="F804" s="6" t="s">
        <v>47</v>
      </c>
      <c r="G804" s="6" t="n">
        <v>1</v>
      </c>
      <c r="H804" s="8" t="n">
        <v>50</v>
      </c>
      <c r="I804" s="8" t="n">
        <f aca="false">G804*H804</f>
        <v>50</v>
      </c>
    </row>
    <row r="805" customFormat="false" ht="15" hidden="false" customHeight="false" outlineLevel="0" collapsed="false">
      <c r="A805" s="6" t="n">
        <v>60</v>
      </c>
      <c r="B805" s="7" t="n">
        <v>45222</v>
      </c>
      <c r="C805" s="6" t="s">
        <v>851</v>
      </c>
      <c r="D805" s="6" t="s">
        <v>44</v>
      </c>
      <c r="E805" s="6" t="n">
        <v>30</v>
      </c>
      <c r="F805" s="6" t="s">
        <v>45</v>
      </c>
      <c r="G805" s="6" t="n">
        <v>3</v>
      </c>
      <c r="H805" s="8" t="n">
        <v>50</v>
      </c>
      <c r="I805" s="8" t="n">
        <f aca="false">G805*H805</f>
        <v>150</v>
      </c>
    </row>
    <row r="806" customFormat="false" ht="15" hidden="false" customHeight="false" outlineLevel="0" collapsed="false">
      <c r="A806" s="6" t="n">
        <v>937</v>
      </c>
      <c r="B806" s="7" t="n">
        <v>45222</v>
      </c>
      <c r="C806" s="6" t="s">
        <v>852</v>
      </c>
      <c r="D806" s="6" t="s">
        <v>49</v>
      </c>
      <c r="E806" s="6" t="n">
        <v>62</v>
      </c>
      <c r="F806" s="6" t="s">
        <v>45</v>
      </c>
      <c r="G806" s="6" t="n">
        <v>1</v>
      </c>
      <c r="H806" s="8" t="n">
        <v>500</v>
      </c>
      <c r="I806" s="8" t="n">
        <f aca="false">G806*H806</f>
        <v>500</v>
      </c>
    </row>
    <row r="807" customFormat="false" ht="15" hidden="false" customHeight="false" outlineLevel="0" collapsed="false">
      <c r="A807" s="6" t="n">
        <v>516</v>
      </c>
      <c r="B807" s="7" t="n">
        <v>45222</v>
      </c>
      <c r="C807" s="6" t="s">
        <v>853</v>
      </c>
      <c r="D807" s="6" t="s">
        <v>44</v>
      </c>
      <c r="E807" s="6" t="n">
        <v>30</v>
      </c>
      <c r="F807" s="6" t="s">
        <v>45</v>
      </c>
      <c r="G807" s="6" t="n">
        <v>4</v>
      </c>
      <c r="H807" s="8" t="n">
        <v>25</v>
      </c>
      <c r="I807" s="8" t="n">
        <f aca="false">G807*H807</f>
        <v>100</v>
      </c>
    </row>
    <row r="808" customFormat="false" ht="15" hidden="false" customHeight="false" outlineLevel="0" collapsed="false">
      <c r="A808" s="6" t="n">
        <v>250</v>
      </c>
      <c r="B808" s="7" t="n">
        <v>45222</v>
      </c>
      <c r="C808" s="6" t="s">
        <v>854</v>
      </c>
      <c r="D808" s="6" t="s">
        <v>44</v>
      </c>
      <c r="E808" s="6" t="n">
        <v>48</v>
      </c>
      <c r="F808" s="6" t="s">
        <v>51</v>
      </c>
      <c r="G808" s="6" t="n">
        <v>1</v>
      </c>
      <c r="H808" s="8" t="n">
        <v>50</v>
      </c>
      <c r="I808" s="8" t="n">
        <f aca="false">G808*H808</f>
        <v>50</v>
      </c>
    </row>
    <row r="809" customFormat="false" ht="15" hidden="false" customHeight="false" outlineLevel="0" collapsed="false">
      <c r="A809" s="6" t="n">
        <v>342</v>
      </c>
      <c r="B809" s="7" t="n">
        <v>45223</v>
      </c>
      <c r="C809" s="6" t="s">
        <v>855</v>
      </c>
      <c r="D809" s="6" t="s">
        <v>49</v>
      </c>
      <c r="E809" s="6" t="n">
        <v>43</v>
      </c>
      <c r="F809" s="6" t="s">
        <v>47</v>
      </c>
      <c r="G809" s="6" t="n">
        <v>4</v>
      </c>
      <c r="H809" s="8" t="n">
        <v>500</v>
      </c>
      <c r="I809" s="8" t="n">
        <f aca="false">G809*H809</f>
        <v>2000</v>
      </c>
    </row>
    <row r="810" customFormat="false" ht="15" hidden="false" customHeight="false" outlineLevel="0" collapsed="false">
      <c r="A810" s="6" t="n">
        <v>767</v>
      </c>
      <c r="B810" s="7" t="n">
        <v>45223</v>
      </c>
      <c r="C810" s="6" t="s">
        <v>856</v>
      </c>
      <c r="D810" s="6" t="s">
        <v>44</v>
      </c>
      <c r="E810" s="6" t="n">
        <v>39</v>
      </c>
      <c r="F810" s="6" t="s">
        <v>45</v>
      </c>
      <c r="G810" s="6" t="n">
        <v>3</v>
      </c>
      <c r="H810" s="8" t="n">
        <v>25</v>
      </c>
      <c r="I810" s="8" t="n">
        <f aca="false">G810*H810</f>
        <v>75</v>
      </c>
    </row>
    <row r="811" customFormat="false" ht="15" hidden="false" customHeight="false" outlineLevel="0" collapsed="false">
      <c r="A811" s="6" t="n">
        <v>564</v>
      </c>
      <c r="B811" s="7" t="n">
        <v>45223</v>
      </c>
      <c r="C811" s="6" t="s">
        <v>857</v>
      </c>
      <c r="D811" s="6" t="s">
        <v>44</v>
      </c>
      <c r="E811" s="6" t="n">
        <v>50</v>
      </c>
      <c r="F811" s="6" t="s">
        <v>51</v>
      </c>
      <c r="G811" s="6" t="n">
        <v>2</v>
      </c>
      <c r="H811" s="8" t="n">
        <v>50</v>
      </c>
      <c r="I811" s="8" t="n">
        <f aca="false">G811*H811</f>
        <v>100</v>
      </c>
    </row>
    <row r="812" customFormat="false" ht="15" hidden="false" customHeight="false" outlineLevel="0" collapsed="false">
      <c r="A812" s="6" t="n">
        <v>318</v>
      </c>
      <c r="B812" s="7" t="n">
        <v>45223</v>
      </c>
      <c r="C812" s="6" t="s">
        <v>858</v>
      </c>
      <c r="D812" s="6" t="s">
        <v>44</v>
      </c>
      <c r="E812" s="6" t="n">
        <v>61</v>
      </c>
      <c r="F812" s="6" t="s">
        <v>47</v>
      </c>
      <c r="G812" s="6" t="n">
        <v>1</v>
      </c>
      <c r="H812" s="8" t="n">
        <v>25</v>
      </c>
      <c r="I812" s="8" t="n">
        <f aca="false">G812*H812</f>
        <v>25</v>
      </c>
    </row>
    <row r="813" customFormat="false" ht="15" hidden="false" customHeight="false" outlineLevel="0" collapsed="false">
      <c r="A813" s="6" t="n">
        <v>869</v>
      </c>
      <c r="B813" s="7" t="n">
        <v>45224</v>
      </c>
      <c r="C813" s="6" t="s">
        <v>859</v>
      </c>
      <c r="D813" s="6" t="s">
        <v>44</v>
      </c>
      <c r="E813" s="6" t="n">
        <v>37</v>
      </c>
      <c r="F813" s="6" t="s">
        <v>45</v>
      </c>
      <c r="G813" s="6" t="n">
        <v>3</v>
      </c>
      <c r="H813" s="8" t="n">
        <v>500</v>
      </c>
      <c r="I813" s="8" t="n">
        <f aca="false">G813*H813</f>
        <v>1500</v>
      </c>
    </row>
    <row r="814" customFormat="false" ht="15" hidden="false" customHeight="false" outlineLevel="0" collapsed="false">
      <c r="A814" s="6" t="n">
        <v>503</v>
      </c>
      <c r="B814" s="7" t="n">
        <v>45224</v>
      </c>
      <c r="C814" s="6" t="s">
        <v>860</v>
      </c>
      <c r="D814" s="6" t="s">
        <v>44</v>
      </c>
      <c r="E814" s="6" t="n">
        <v>45</v>
      </c>
      <c r="F814" s="6" t="s">
        <v>45</v>
      </c>
      <c r="G814" s="6" t="n">
        <v>4</v>
      </c>
      <c r="H814" s="8" t="n">
        <v>500</v>
      </c>
      <c r="I814" s="8" t="n">
        <f aca="false">G814*H814</f>
        <v>2000</v>
      </c>
    </row>
    <row r="815" customFormat="false" ht="15" hidden="false" customHeight="false" outlineLevel="0" collapsed="false">
      <c r="A815" s="6" t="n">
        <v>126</v>
      </c>
      <c r="B815" s="7" t="n">
        <v>45225</v>
      </c>
      <c r="C815" s="6" t="s">
        <v>861</v>
      </c>
      <c r="D815" s="6" t="s">
        <v>49</v>
      </c>
      <c r="E815" s="6" t="n">
        <v>28</v>
      </c>
      <c r="F815" s="6" t="s">
        <v>47</v>
      </c>
      <c r="G815" s="6" t="n">
        <v>3</v>
      </c>
      <c r="H815" s="8" t="n">
        <v>30</v>
      </c>
      <c r="I815" s="8" t="n">
        <f aca="false">G815*H815</f>
        <v>90</v>
      </c>
    </row>
    <row r="816" customFormat="false" ht="15" hidden="false" customHeight="false" outlineLevel="0" collapsed="false">
      <c r="A816" s="6" t="n">
        <v>349</v>
      </c>
      <c r="B816" s="7" t="n">
        <v>45225</v>
      </c>
      <c r="C816" s="6" t="s">
        <v>862</v>
      </c>
      <c r="D816" s="6" t="s">
        <v>49</v>
      </c>
      <c r="E816" s="6" t="n">
        <v>57</v>
      </c>
      <c r="F816" s="6" t="s">
        <v>45</v>
      </c>
      <c r="G816" s="6" t="n">
        <v>1</v>
      </c>
      <c r="H816" s="8" t="n">
        <v>50</v>
      </c>
      <c r="I816" s="8" t="n">
        <f aca="false">G816*H816</f>
        <v>50</v>
      </c>
    </row>
    <row r="817" customFormat="false" ht="15" hidden="false" customHeight="false" outlineLevel="0" collapsed="false">
      <c r="A817" s="6" t="n">
        <v>440</v>
      </c>
      <c r="B817" s="7" t="n">
        <v>45225</v>
      </c>
      <c r="C817" s="6" t="s">
        <v>863</v>
      </c>
      <c r="D817" s="6" t="s">
        <v>44</v>
      </c>
      <c r="E817" s="6" t="n">
        <v>64</v>
      </c>
      <c r="F817" s="6" t="s">
        <v>47</v>
      </c>
      <c r="G817" s="6" t="n">
        <v>2</v>
      </c>
      <c r="H817" s="8" t="n">
        <v>300</v>
      </c>
      <c r="I817" s="8" t="n">
        <f aca="false">G817*H817</f>
        <v>600</v>
      </c>
    </row>
    <row r="818" customFormat="false" ht="15" hidden="false" customHeight="false" outlineLevel="0" collapsed="false">
      <c r="A818" s="6" t="n">
        <v>677</v>
      </c>
      <c r="B818" s="7" t="n">
        <v>45226</v>
      </c>
      <c r="C818" s="6" t="s">
        <v>864</v>
      </c>
      <c r="D818" s="6" t="s">
        <v>49</v>
      </c>
      <c r="E818" s="6" t="n">
        <v>19</v>
      </c>
      <c r="F818" s="6" t="s">
        <v>45</v>
      </c>
      <c r="G818" s="6" t="n">
        <v>3</v>
      </c>
      <c r="H818" s="8" t="n">
        <v>500</v>
      </c>
      <c r="I818" s="8" t="n">
        <f aca="false">G818*H818</f>
        <v>1500</v>
      </c>
    </row>
    <row r="819" customFormat="false" ht="15" hidden="false" customHeight="false" outlineLevel="0" collapsed="false">
      <c r="A819" s="6" t="n">
        <v>324</v>
      </c>
      <c r="B819" s="7" t="n">
        <v>45226</v>
      </c>
      <c r="C819" s="6" t="s">
        <v>865</v>
      </c>
      <c r="D819" s="6" t="s">
        <v>49</v>
      </c>
      <c r="E819" s="6" t="n">
        <v>52</v>
      </c>
      <c r="F819" s="6" t="s">
        <v>51</v>
      </c>
      <c r="G819" s="6" t="n">
        <v>3</v>
      </c>
      <c r="H819" s="8" t="n">
        <v>50</v>
      </c>
      <c r="I819" s="8" t="n">
        <f aca="false">G819*H819</f>
        <v>150</v>
      </c>
    </row>
    <row r="820" customFormat="false" ht="15" hidden="false" customHeight="false" outlineLevel="0" collapsed="false">
      <c r="A820" s="6" t="n">
        <v>124</v>
      </c>
      <c r="B820" s="7" t="n">
        <v>45226</v>
      </c>
      <c r="C820" s="6" t="s">
        <v>866</v>
      </c>
      <c r="D820" s="6" t="s">
        <v>44</v>
      </c>
      <c r="E820" s="6" t="n">
        <v>33</v>
      </c>
      <c r="F820" s="6" t="s">
        <v>47</v>
      </c>
      <c r="G820" s="6" t="n">
        <v>4</v>
      </c>
      <c r="H820" s="8" t="n">
        <v>500</v>
      </c>
      <c r="I820" s="8" t="n">
        <f aca="false">G820*H820</f>
        <v>2000</v>
      </c>
    </row>
    <row r="821" customFormat="false" ht="15" hidden="false" customHeight="false" outlineLevel="0" collapsed="false">
      <c r="A821" s="6" t="n">
        <v>30</v>
      </c>
      <c r="B821" s="7" t="n">
        <v>45228</v>
      </c>
      <c r="C821" s="6" t="s">
        <v>867</v>
      </c>
      <c r="D821" s="6" t="s">
        <v>49</v>
      </c>
      <c r="E821" s="6" t="n">
        <v>39</v>
      </c>
      <c r="F821" s="6" t="s">
        <v>45</v>
      </c>
      <c r="G821" s="6" t="n">
        <v>3</v>
      </c>
      <c r="H821" s="8" t="n">
        <v>300</v>
      </c>
      <c r="I821" s="8" t="n">
        <f aca="false">G821*H821</f>
        <v>900</v>
      </c>
    </row>
    <row r="822" customFormat="false" ht="15" hidden="false" customHeight="false" outlineLevel="0" collapsed="false">
      <c r="A822" s="6" t="n">
        <v>959</v>
      </c>
      <c r="B822" s="7" t="n">
        <v>45228</v>
      </c>
      <c r="C822" s="6" t="s">
        <v>868</v>
      </c>
      <c r="D822" s="6" t="s">
        <v>49</v>
      </c>
      <c r="E822" s="6" t="n">
        <v>42</v>
      </c>
      <c r="F822" s="6" t="s">
        <v>51</v>
      </c>
      <c r="G822" s="6" t="n">
        <v>2</v>
      </c>
      <c r="H822" s="8" t="n">
        <v>30</v>
      </c>
      <c r="I822" s="8" t="n">
        <f aca="false">G822*H822</f>
        <v>60</v>
      </c>
    </row>
    <row r="823" customFormat="false" ht="15" hidden="false" customHeight="false" outlineLevel="0" collapsed="false">
      <c r="A823" s="6" t="n">
        <v>896</v>
      </c>
      <c r="B823" s="7" t="n">
        <v>45228</v>
      </c>
      <c r="C823" s="6" t="s">
        <v>869</v>
      </c>
      <c r="D823" s="6" t="s">
        <v>49</v>
      </c>
      <c r="E823" s="6" t="n">
        <v>30</v>
      </c>
      <c r="F823" s="6" t="s">
        <v>51</v>
      </c>
      <c r="G823" s="6" t="n">
        <v>2</v>
      </c>
      <c r="H823" s="8" t="n">
        <v>25</v>
      </c>
      <c r="I823" s="8" t="n">
        <f aca="false">G823*H823</f>
        <v>50</v>
      </c>
    </row>
    <row r="824" customFormat="false" ht="15" hidden="false" customHeight="false" outlineLevel="0" collapsed="false">
      <c r="A824" s="6" t="n">
        <v>998</v>
      </c>
      <c r="B824" s="7" t="n">
        <v>45228</v>
      </c>
      <c r="C824" s="6" t="s">
        <v>870</v>
      </c>
      <c r="D824" s="6" t="s">
        <v>49</v>
      </c>
      <c r="E824" s="6" t="n">
        <v>23</v>
      </c>
      <c r="F824" s="6" t="s">
        <v>45</v>
      </c>
      <c r="G824" s="6" t="n">
        <v>4</v>
      </c>
      <c r="H824" s="8" t="n">
        <v>25</v>
      </c>
      <c r="I824" s="8" t="n">
        <f aca="false">G824*H824</f>
        <v>100</v>
      </c>
    </row>
    <row r="825" customFormat="false" ht="15" hidden="false" customHeight="false" outlineLevel="0" collapsed="false">
      <c r="A825" s="6" t="n">
        <v>226</v>
      </c>
      <c r="B825" s="7" t="n">
        <v>45228</v>
      </c>
      <c r="C825" s="6" t="s">
        <v>871</v>
      </c>
      <c r="D825" s="6" t="s">
        <v>49</v>
      </c>
      <c r="E825" s="6" t="n">
        <v>61</v>
      </c>
      <c r="F825" s="6" t="s">
        <v>47</v>
      </c>
      <c r="G825" s="6" t="n">
        <v>1</v>
      </c>
      <c r="H825" s="8" t="n">
        <v>50</v>
      </c>
      <c r="I825" s="8" t="n">
        <f aca="false">G825*H825</f>
        <v>50</v>
      </c>
    </row>
    <row r="826" customFormat="false" ht="15" hidden="false" customHeight="false" outlineLevel="0" collapsed="false">
      <c r="A826" s="6" t="n">
        <v>229</v>
      </c>
      <c r="B826" s="7" t="n">
        <v>45228</v>
      </c>
      <c r="C826" s="6" t="s">
        <v>872</v>
      </c>
      <c r="D826" s="6" t="s">
        <v>44</v>
      </c>
      <c r="E826" s="6" t="n">
        <v>58</v>
      </c>
      <c r="F826" s="6" t="s">
        <v>45</v>
      </c>
      <c r="G826" s="6" t="n">
        <v>3</v>
      </c>
      <c r="H826" s="8" t="n">
        <v>30</v>
      </c>
      <c r="I826" s="8" t="n">
        <f aca="false">G826*H826</f>
        <v>90</v>
      </c>
    </row>
    <row r="827" customFormat="false" ht="15" hidden="false" customHeight="false" outlineLevel="0" collapsed="false">
      <c r="A827" s="6" t="n">
        <v>12</v>
      </c>
      <c r="B827" s="7" t="n">
        <v>45229</v>
      </c>
      <c r="C827" s="6" t="s">
        <v>873</v>
      </c>
      <c r="D827" s="6" t="s">
        <v>44</v>
      </c>
      <c r="E827" s="6" t="n">
        <v>35</v>
      </c>
      <c r="F827" s="6" t="s">
        <v>45</v>
      </c>
      <c r="G827" s="6" t="n">
        <v>3</v>
      </c>
      <c r="H827" s="8" t="n">
        <v>25</v>
      </c>
      <c r="I827" s="8" t="n">
        <f aca="false">G827*H827</f>
        <v>75</v>
      </c>
    </row>
    <row r="828" customFormat="false" ht="15" hidden="false" customHeight="false" outlineLevel="0" collapsed="false">
      <c r="A828" s="6" t="n">
        <v>817</v>
      </c>
      <c r="B828" s="7" t="n">
        <v>45230</v>
      </c>
      <c r="C828" s="6" t="s">
        <v>874</v>
      </c>
      <c r="D828" s="6" t="s">
        <v>44</v>
      </c>
      <c r="E828" s="6" t="n">
        <v>30</v>
      </c>
      <c r="F828" s="6" t="s">
        <v>45</v>
      </c>
      <c r="G828" s="6" t="n">
        <v>4</v>
      </c>
      <c r="H828" s="8" t="n">
        <v>50</v>
      </c>
      <c r="I828" s="8" t="n">
        <f aca="false">G828*H828</f>
        <v>200</v>
      </c>
    </row>
    <row r="829" customFormat="false" ht="15" hidden="false" customHeight="false" outlineLevel="0" collapsed="false">
      <c r="A829" s="6" t="n">
        <v>776</v>
      </c>
      <c r="B829" s="7" t="n">
        <v>45230</v>
      </c>
      <c r="C829" s="6" t="s">
        <v>875</v>
      </c>
      <c r="D829" s="6" t="s">
        <v>44</v>
      </c>
      <c r="E829" s="6" t="n">
        <v>35</v>
      </c>
      <c r="F829" s="6" t="s">
        <v>47</v>
      </c>
      <c r="G829" s="6" t="n">
        <v>3</v>
      </c>
      <c r="H829" s="8" t="n">
        <v>30</v>
      </c>
      <c r="I829" s="8" t="n">
        <f aca="false">G829*H829</f>
        <v>90</v>
      </c>
    </row>
    <row r="830" customFormat="false" ht="15" hidden="false" customHeight="false" outlineLevel="0" collapsed="false">
      <c r="A830" s="6" t="n">
        <v>710</v>
      </c>
      <c r="B830" s="7" t="n">
        <v>45230</v>
      </c>
      <c r="C830" s="6" t="s">
        <v>876</v>
      </c>
      <c r="D830" s="6" t="s">
        <v>49</v>
      </c>
      <c r="E830" s="6" t="n">
        <v>26</v>
      </c>
      <c r="F830" s="6" t="s">
        <v>51</v>
      </c>
      <c r="G830" s="6" t="n">
        <v>3</v>
      </c>
      <c r="H830" s="8" t="n">
        <v>500</v>
      </c>
      <c r="I830" s="8" t="n">
        <f aca="false">G830*H830</f>
        <v>1500</v>
      </c>
    </row>
    <row r="831" customFormat="false" ht="15" hidden="false" customHeight="false" outlineLevel="0" collapsed="false">
      <c r="A831" s="6" t="n">
        <v>983</v>
      </c>
      <c r="B831" s="7" t="n">
        <v>45231</v>
      </c>
      <c r="C831" s="6" t="s">
        <v>877</v>
      </c>
      <c r="D831" s="6" t="s">
        <v>49</v>
      </c>
      <c r="E831" s="6" t="n">
        <v>29</v>
      </c>
      <c r="F831" s="6" t="s">
        <v>47</v>
      </c>
      <c r="G831" s="6" t="n">
        <v>1</v>
      </c>
      <c r="H831" s="8" t="n">
        <v>300</v>
      </c>
      <c r="I831" s="8" t="n">
        <f aca="false">G831*H831</f>
        <v>300</v>
      </c>
    </row>
    <row r="832" customFormat="false" ht="15" hidden="false" customHeight="false" outlineLevel="0" collapsed="false">
      <c r="A832" s="6" t="n">
        <v>334</v>
      </c>
      <c r="B832" s="7" t="n">
        <v>45231</v>
      </c>
      <c r="C832" s="6" t="s">
        <v>878</v>
      </c>
      <c r="D832" s="6" t="s">
        <v>44</v>
      </c>
      <c r="E832" s="6" t="n">
        <v>31</v>
      </c>
      <c r="F832" s="6" t="s">
        <v>51</v>
      </c>
      <c r="G832" s="6" t="n">
        <v>3</v>
      </c>
      <c r="H832" s="8" t="n">
        <v>300</v>
      </c>
      <c r="I832" s="8" t="n">
        <f aca="false">G832*H832</f>
        <v>900</v>
      </c>
    </row>
    <row r="833" customFormat="false" ht="15" hidden="false" customHeight="false" outlineLevel="0" collapsed="false">
      <c r="A833" s="6" t="n">
        <v>628</v>
      </c>
      <c r="B833" s="7" t="n">
        <v>45231</v>
      </c>
      <c r="C833" s="6" t="s">
        <v>879</v>
      </c>
      <c r="D833" s="6" t="s">
        <v>49</v>
      </c>
      <c r="E833" s="6" t="n">
        <v>19</v>
      </c>
      <c r="F833" s="6" t="s">
        <v>45</v>
      </c>
      <c r="G833" s="6" t="n">
        <v>4</v>
      </c>
      <c r="H833" s="8" t="n">
        <v>50</v>
      </c>
      <c r="I833" s="8" t="n">
        <f aca="false">G833*H833</f>
        <v>200</v>
      </c>
    </row>
    <row r="834" customFormat="false" ht="15" hidden="false" customHeight="false" outlineLevel="0" collapsed="false">
      <c r="A834" s="6" t="n">
        <v>343</v>
      </c>
      <c r="B834" s="7" t="n">
        <v>45231</v>
      </c>
      <c r="C834" s="6" t="s">
        <v>880</v>
      </c>
      <c r="D834" s="6" t="s">
        <v>44</v>
      </c>
      <c r="E834" s="6" t="n">
        <v>21</v>
      </c>
      <c r="F834" s="6" t="s">
        <v>51</v>
      </c>
      <c r="G834" s="6" t="n">
        <v>2</v>
      </c>
      <c r="H834" s="8" t="n">
        <v>25</v>
      </c>
      <c r="I834" s="8" t="n">
        <f aca="false">G834*H834</f>
        <v>50</v>
      </c>
    </row>
    <row r="835" customFormat="false" ht="15" hidden="false" customHeight="false" outlineLevel="0" collapsed="false">
      <c r="A835" s="6" t="n">
        <v>841</v>
      </c>
      <c r="B835" s="7" t="n">
        <v>45232</v>
      </c>
      <c r="C835" s="6" t="s">
        <v>881</v>
      </c>
      <c r="D835" s="6" t="s">
        <v>44</v>
      </c>
      <c r="E835" s="6" t="n">
        <v>31</v>
      </c>
      <c r="F835" s="6" t="s">
        <v>51</v>
      </c>
      <c r="G835" s="6" t="n">
        <v>4</v>
      </c>
      <c r="H835" s="8" t="n">
        <v>25</v>
      </c>
      <c r="I835" s="8" t="n">
        <f aca="false">G835*H835</f>
        <v>100</v>
      </c>
    </row>
    <row r="836" customFormat="false" ht="15" hidden="false" customHeight="false" outlineLevel="0" collapsed="false">
      <c r="A836" s="6" t="n">
        <v>141</v>
      </c>
      <c r="B836" s="7" t="n">
        <v>45232</v>
      </c>
      <c r="C836" s="6" t="s">
        <v>882</v>
      </c>
      <c r="D836" s="6" t="s">
        <v>49</v>
      </c>
      <c r="E836" s="6" t="n">
        <v>22</v>
      </c>
      <c r="F836" s="6" t="s">
        <v>51</v>
      </c>
      <c r="G836" s="6" t="n">
        <v>1</v>
      </c>
      <c r="H836" s="8" t="n">
        <v>50</v>
      </c>
      <c r="I836" s="8" t="n">
        <f aca="false">G836*H836</f>
        <v>50</v>
      </c>
    </row>
    <row r="837" customFormat="false" ht="15" hidden="false" customHeight="false" outlineLevel="0" collapsed="false">
      <c r="A837" s="6" t="n">
        <v>145</v>
      </c>
      <c r="B837" s="7" t="n">
        <v>45232</v>
      </c>
      <c r="C837" s="6" t="s">
        <v>883</v>
      </c>
      <c r="D837" s="6" t="s">
        <v>49</v>
      </c>
      <c r="E837" s="6" t="n">
        <v>39</v>
      </c>
      <c r="F837" s="6" t="s">
        <v>47</v>
      </c>
      <c r="G837" s="6" t="n">
        <v>3</v>
      </c>
      <c r="H837" s="8" t="n">
        <v>25</v>
      </c>
      <c r="I837" s="8" t="n">
        <f aca="false">G837*H837</f>
        <v>75</v>
      </c>
    </row>
    <row r="838" customFormat="false" ht="15" hidden="false" customHeight="false" outlineLevel="0" collapsed="false">
      <c r="A838" s="6" t="n">
        <v>898</v>
      </c>
      <c r="B838" s="7" t="n">
        <v>45232</v>
      </c>
      <c r="C838" s="6" t="s">
        <v>884</v>
      </c>
      <c r="D838" s="6" t="s">
        <v>49</v>
      </c>
      <c r="E838" s="6" t="n">
        <v>42</v>
      </c>
      <c r="F838" s="6" t="s">
        <v>47</v>
      </c>
      <c r="G838" s="6" t="n">
        <v>3</v>
      </c>
      <c r="H838" s="8" t="n">
        <v>30</v>
      </c>
      <c r="I838" s="8" t="n">
        <f aca="false">G838*H838</f>
        <v>90</v>
      </c>
    </row>
    <row r="839" customFormat="false" ht="15" hidden="false" customHeight="false" outlineLevel="0" collapsed="false">
      <c r="A839" s="6" t="n">
        <v>951</v>
      </c>
      <c r="B839" s="7" t="n">
        <v>45232</v>
      </c>
      <c r="C839" s="6" t="s">
        <v>885</v>
      </c>
      <c r="D839" s="6" t="s">
        <v>44</v>
      </c>
      <c r="E839" s="6" t="n">
        <v>33</v>
      </c>
      <c r="F839" s="6" t="s">
        <v>45</v>
      </c>
      <c r="G839" s="6" t="n">
        <v>2</v>
      </c>
      <c r="H839" s="8" t="n">
        <v>50</v>
      </c>
      <c r="I839" s="8" t="n">
        <f aca="false">G839*H839</f>
        <v>100</v>
      </c>
    </row>
    <row r="840" customFormat="false" ht="15" hidden="false" customHeight="false" outlineLevel="0" collapsed="false">
      <c r="A840" s="6" t="n">
        <v>507</v>
      </c>
      <c r="B840" s="7" t="n">
        <v>45232</v>
      </c>
      <c r="C840" s="6" t="s">
        <v>886</v>
      </c>
      <c r="D840" s="6" t="s">
        <v>49</v>
      </c>
      <c r="E840" s="6" t="n">
        <v>37</v>
      </c>
      <c r="F840" s="6" t="s">
        <v>51</v>
      </c>
      <c r="G840" s="6" t="n">
        <v>3</v>
      </c>
      <c r="H840" s="8" t="n">
        <v>500</v>
      </c>
      <c r="I840" s="8" t="n">
        <f aca="false">G840*H840</f>
        <v>1500</v>
      </c>
    </row>
    <row r="841" customFormat="false" ht="15" hidden="false" customHeight="false" outlineLevel="0" collapsed="false">
      <c r="A841" s="6" t="n">
        <v>181</v>
      </c>
      <c r="B841" s="7" t="n">
        <v>45233</v>
      </c>
      <c r="C841" s="6" t="s">
        <v>887</v>
      </c>
      <c r="D841" s="6" t="s">
        <v>44</v>
      </c>
      <c r="E841" s="6" t="n">
        <v>19</v>
      </c>
      <c r="F841" s="6" t="s">
        <v>51</v>
      </c>
      <c r="G841" s="6" t="n">
        <v>4</v>
      </c>
      <c r="H841" s="8" t="n">
        <v>300</v>
      </c>
      <c r="I841" s="8" t="n">
        <f aca="false">G841*H841</f>
        <v>1200</v>
      </c>
    </row>
    <row r="842" customFormat="false" ht="15" hidden="false" customHeight="false" outlineLevel="0" collapsed="false">
      <c r="A842" s="6" t="n">
        <v>784</v>
      </c>
      <c r="B842" s="7" t="n">
        <v>45234</v>
      </c>
      <c r="C842" s="6" t="s">
        <v>888</v>
      </c>
      <c r="D842" s="6" t="s">
        <v>49</v>
      </c>
      <c r="E842" s="6" t="n">
        <v>34</v>
      </c>
      <c r="F842" s="6" t="s">
        <v>51</v>
      </c>
      <c r="G842" s="6" t="n">
        <v>1</v>
      </c>
      <c r="H842" s="8" t="n">
        <v>500</v>
      </c>
      <c r="I842" s="8" t="n">
        <f aca="false">G842*H842</f>
        <v>500</v>
      </c>
    </row>
    <row r="843" customFormat="false" ht="15" hidden="false" customHeight="false" outlineLevel="0" collapsed="false">
      <c r="A843" s="6" t="n">
        <v>690</v>
      </c>
      <c r="B843" s="7" t="n">
        <v>45235</v>
      </c>
      <c r="C843" s="6" t="s">
        <v>889</v>
      </c>
      <c r="D843" s="6" t="s">
        <v>49</v>
      </c>
      <c r="E843" s="6" t="n">
        <v>52</v>
      </c>
      <c r="F843" s="6" t="s">
        <v>47</v>
      </c>
      <c r="G843" s="6" t="n">
        <v>3</v>
      </c>
      <c r="H843" s="8" t="n">
        <v>300</v>
      </c>
      <c r="I843" s="8" t="n">
        <f aca="false">G843*H843</f>
        <v>900</v>
      </c>
    </row>
    <row r="844" customFormat="false" ht="15" hidden="false" customHeight="false" outlineLevel="0" collapsed="false">
      <c r="A844" s="6" t="n">
        <v>20</v>
      </c>
      <c r="B844" s="7" t="n">
        <v>45235</v>
      </c>
      <c r="C844" s="6" t="s">
        <v>890</v>
      </c>
      <c r="D844" s="6" t="s">
        <v>44</v>
      </c>
      <c r="E844" s="6" t="n">
        <v>22</v>
      </c>
      <c r="F844" s="6" t="s">
        <v>47</v>
      </c>
      <c r="G844" s="6" t="n">
        <v>3</v>
      </c>
      <c r="H844" s="8" t="n">
        <v>300</v>
      </c>
      <c r="I844" s="8" t="n">
        <f aca="false">G844*H844</f>
        <v>900</v>
      </c>
    </row>
    <row r="845" customFormat="false" ht="15" hidden="false" customHeight="false" outlineLevel="0" collapsed="false">
      <c r="A845" s="6" t="n">
        <v>47</v>
      </c>
      <c r="B845" s="7" t="n">
        <v>45236</v>
      </c>
      <c r="C845" s="6" t="s">
        <v>891</v>
      </c>
      <c r="D845" s="6" t="s">
        <v>49</v>
      </c>
      <c r="E845" s="6" t="n">
        <v>40</v>
      </c>
      <c r="F845" s="6" t="s">
        <v>45</v>
      </c>
      <c r="G845" s="6" t="n">
        <v>3</v>
      </c>
      <c r="H845" s="8" t="n">
        <v>500</v>
      </c>
      <c r="I845" s="8" t="n">
        <f aca="false">G845*H845</f>
        <v>1500</v>
      </c>
    </row>
    <row r="846" customFormat="false" ht="15" hidden="false" customHeight="false" outlineLevel="0" collapsed="false">
      <c r="A846" s="6" t="n">
        <v>405</v>
      </c>
      <c r="B846" s="7" t="n">
        <v>45236</v>
      </c>
      <c r="C846" s="6" t="s">
        <v>892</v>
      </c>
      <c r="D846" s="6" t="s">
        <v>49</v>
      </c>
      <c r="E846" s="6" t="n">
        <v>25</v>
      </c>
      <c r="F846" s="6" t="s">
        <v>47</v>
      </c>
      <c r="G846" s="6" t="n">
        <v>4</v>
      </c>
      <c r="H846" s="8" t="n">
        <v>300</v>
      </c>
      <c r="I846" s="8" t="n">
        <f aca="false">G846*H846</f>
        <v>1200</v>
      </c>
    </row>
    <row r="847" customFormat="false" ht="15" hidden="false" customHeight="false" outlineLevel="0" collapsed="false">
      <c r="A847" s="6" t="n">
        <v>565</v>
      </c>
      <c r="B847" s="7" t="n">
        <v>45237</v>
      </c>
      <c r="C847" s="6" t="s">
        <v>893</v>
      </c>
      <c r="D847" s="6" t="s">
        <v>49</v>
      </c>
      <c r="E847" s="6" t="n">
        <v>45</v>
      </c>
      <c r="F847" s="6" t="s">
        <v>45</v>
      </c>
      <c r="G847" s="6" t="n">
        <v>2</v>
      </c>
      <c r="H847" s="8" t="n">
        <v>30</v>
      </c>
      <c r="I847" s="8" t="n">
        <f aca="false">G847*H847</f>
        <v>60</v>
      </c>
    </row>
    <row r="848" customFormat="false" ht="15" hidden="false" customHeight="false" outlineLevel="0" collapsed="false">
      <c r="A848" s="6" t="n">
        <v>950</v>
      </c>
      <c r="B848" s="7" t="n">
        <v>45237</v>
      </c>
      <c r="C848" s="6" t="s">
        <v>894</v>
      </c>
      <c r="D848" s="6" t="s">
        <v>44</v>
      </c>
      <c r="E848" s="6" t="n">
        <v>36</v>
      </c>
      <c r="F848" s="6" t="s">
        <v>47</v>
      </c>
      <c r="G848" s="6" t="n">
        <v>3</v>
      </c>
      <c r="H848" s="8" t="n">
        <v>300</v>
      </c>
      <c r="I848" s="8" t="n">
        <f aca="false">G848*H848</f>
        <v>900</v>
      </c>
    </row>
    <row r="849" customFormat="false" ht="15" hidden="false" customHeight="false" outlineLevel="0" collapsed="false">
      <c r="A849" s="6" t="n">
        <v>761</v>
      </c>
      <c r="B849" s="7" t="n">
        <v>45237</v>
      </c>
      <c r="C849" s="6" t="s">
        <v>895</v>
      </c>
      <c r="D849" s="6" t="s">
        <v>49</v>
      </c>
      <c r="E849" s="6" t="n">
        <v>33</v>
      </c>
      <c r="F849" s="6" t="s">
        <v>47</v>
      </c>
      <c r="G849" s="6" t="n">
        <v>1</v>
      </c>
      <c r="H849" s="8" t="n">
        <v>500</v>
      </c>
      <c r="I849" s="8" t="n">
        <f aca="false">G849*H849</f>
        <v>500</v>
      </c>
    </row>
    <row r="850" customFormat="false" ht="15" hidden="false" customHeight="false" outlineLevel="0" collapsed="false">
      <c r="A850" s="6" t="n">
        <v>762</v>
      </c>
      <c r="B850" s="7" t="n">
        <v>45237</v>
      </c>
      <c r="C850" s="6" t="s">
        <v>896</v>
      </c>
      <c r="D850" s="6" t="s">
        <v>49</v>
      </c>
      <c r="E850" s="6" t="n">
        <v>24</v>
      </c>
      <c r="F850" s="6" t="s">
        <v>51</v>
      </c>
      <c r="G850" s="6" t="n">
        <v>2</v>
      </c>
      <c r="H850" s="8" t="n">
        <v>25</v>
      </c>
      <c r="I850" s="8" t="n">
        <f aca="false">G850*H850</f>
        <v>50</v>
      </c>
    </row>
    <row r="851" customFormat="false" ht="15" hidden="false" customHeight="false" outlineLevel="0" collapsed="false">
      <c r="A851" s="6" t="n">
        <v>205</v>
      </c>
      <c r="B851" s="7" t="n">
        <v>45237</v>
      </c>
      <c r="C851" s="6" t="s">
        <v>897</v>
      </c>
      <c r="D851" s="6" t="s">
        <v>49</v>
      </c>
      <c r="E851" s="6" t="n">
        <v>43</v>
      </c>
      <c r="F851" s="6" t="s">
        <v>47</v>
      </c>
      <c r="G851" s="6" t="n">
        <v>1</v>
      </c>
      <c r="H851" s="8" t="n">
        <v>25</v>
      </c>
      <c r="I851" s="8" t="n">
        <f aca="false">G851*H851</f>
        <v>25</v>
      </c>
    </row>
    <row r="852" customFormat="false" ht="15" hidden="false" customHeight="false" outlineLevel="0" collapsed="false">
      <c r="A852" s="6" t="n">
        <v>512</v>
      </c>
      <c r="B852" s="7" t="n">
        <v>45237</v>
      </c>
      <c r="C852" s="6" t="s">
        <v>898</v>
      </c>
      <c r="D852" s="6" t="s">
        <v>49</v>
      </c>
      <c r="E852" s="6" t="n">
        <v>57</v>
      </c>
      <c r="F852" s="6" t="s">
        <v>45</v>
      </c>
      <c r="G852" s="6" t="n">
        <v>1</v>
      </c>
      <c r="H852" s="8" t="n">
        <v>25</v>
      </c>
      <c r="I852" s="8" t="n">
        <f aca="false">G852*H852</f>
        <v>25</v>
      </c>
    </row>
    <row r="853" customFormat="false" ht="15" hidden="false" customHeight="false" outlineLevel="0" collapsed="false">
      <c r="A853" s="6" t="n">
        <v>173</v>
      </c>
      <c r="B853" s="7" t="n">
        <v>45238</v>
      </c>
      <c r="C853" s="6" t="s">
        <v>899</v>
      </c>
      <c r="D853" s="6" t="s">
        <v>44</v>
      </c>
      <c r="E853" s="6" t="n">
        <v>64</v>
      </c>
      <c r="F853" s="6" t="s">
        <v>51</v>
      </c>
      <c r="G853" s="6" t="n">
        <v>4</v>
      </c>
      <c r="H853" s="8" t="n">
        <v>30</v>
      </c>
      <c r="I853" s="8" t="n">
        <f aca="false">G853*H853</f>
        <v>120</v>
      </c>
    </row>
    <row r="854" customFormat="false" ht="15" hidden="false" customHeight="false" outlineLevel="0" collapsed="false">
      <c r="A854" s="6" t="n">
        <v>86</v>
      </c>
      <c r="B854" s="7" t="n">
        <v>45238</v>
      </c>
      <c r="C854" s="6" t="s">
        <v>900</v>
      </c>
      <c r="D854" s="6" t="s">
        <v>44</v>
      </c>
      <c r="E854" s="6" t="n">
        <v>19</v>
      </c>
      <c r="F854" s="6" t="s">
        <v>45</v>
      </c>
      <c r="G854" s="6" t="n">
        <v>3</v>
      </c>
      <c r="H854" s="8" t="n">
        <v>30</v>
      </c>
      <c r="I854" s="8" t="n">
        <f aca="false">G854*H854</f>
        <v>90</v>
      </c>
    </row>
    <row r="855" customFormat="false" ht="15" hidden="false" customHeight="false" outlineLevel="0" collapsed="false">
      <c r="A855" s="6" t="n">
        <v>595</v>
      </c>
      <c r="B855" s="7" t="n">
        <v>45239</v>
      </c>
      <c r="C855" s="6" t="s">
        <v>901</v>
      </c>
      <c r="D855" s="6" t="s">
        <v>49</v>
      </c>
      <c r="E855" s="6" t="n">
        <v>18</v>
      </c>
      <c r="F855" s="6" t="s">
        <v>47</v>
      </c>
      <c r="G855" s="6" t="n">
        <v>4</v>
      </c>
      <c r="H855" s="8" t="n">
        <v>500</v>
      </c>
      <c r="I855" s="8" t="n">
        <f aca="false">G855*H855</f>
        <v>2000</v>
      </c>
    </row>
    <row r="856" customFormat="false" ht="15" hidden="false" customHeight="false" outlineLevel="0" collapsed="false">
      <c r="A856" s="6" t="n">
        <v>827</v>
      </c>
      <c r="B856" s="7" t="n">
        <v>45239</v>
      </c>
      <c r="C856" s="6" t="s">
        <v>902</v>
      </c>
      <c r="D856" s="6" t="s">
        <v>44</v>
      </c>
      <c r="E856" s="6" t="n">
        <v>61</v>
      </c>
      <c r="F856" s="6" t="s">
        <v>45</v>
      </c>
      <c r="G856" s="6" t="n">
        <v>3</v>
      </c>
      <c r="H856" s="8" t="n">
        <v>300</v>
      </c>
      <c r="I856" s="8" t="n">
        <f aca="false">G856*H856</f>
        <v>900</v>
      </c>
    </row>
    <row r="857" customFormat="false" ht="15" hidden="false" customHeight="false" outlineLevel="0" collapsed="false">
      <c r="A857" s="6" t="n">
        <v>965</v>
      </c>
      <c r="B857" s="7" t="n">
        <v>45239</v>
      </c>
      <c r="C857" s="6" t="s">
        <v>903</v>
      </c>
      <c r="D857" s="6" t="s">
        <v>44</v>
      </c>
      <c r="E857" s="6" t="n">
        <v>22</v>
      </c>
      <c r="F857" s="6" t="s">
        <v>47</v>
      </c>
      <c r="G857" s="6" t="n">
        <v>4</v>
      </c>
      <c r="H857" s="8" t="n">
        <v>50</v>
      </c>
      <c r="I857" s="8" t="n">
        <f aca="false">G857*H857</f>
        <v>200</v>
      </c>
    </row>
    <row r="858" customFormat="false" ht="15" hidden="false" customHeight="false" outlineLevel="0" collapsed="false">
      <c r="A858" s="6" t="n">
        <v>388</v>
      </c>
      <c r="B858" s="7" t="n">
        <v>45240</v>
      </c>
      <c r="C858" s="6" t="s">
        <v>904</v>
      </c>
      <c r="D858" s="6" t="s">
        <v>44</v>
      </c>
      <c r="E858" s="6" t="n">
        <v>50</v>
      </c>
      <c r="F858" s="6" t="s">
        <v>51</v>
      </c>
      <c r="G858" s="6" t="n">
        <v>1</v>
      </c>
      <c r="H858" s="8" t="n">
        <v>25</v>
      </c>
      <c r="I858" s="8" t="n">
        <f aca="false">G858*H858</f>
        <v>25</v>
      </c>
    </row>
    <row r="859" customFormat="false" ht="15" hidden="false" customHeight="false" outlineLevel="0" collapsed="false">
      <c r="A859" s="6" t="n">
        <v>631</v>
      </c>
      <c r="B859" s="7" t="n">
        <v>45240</v>
      </c>
      <c r="C859" s="6" t="s">
        <v>905</v>
      </c>
      <c r="D859" s="6" t="s">
        <v>44</v>
      </c>
      <c r="E859" s="6" t="n">
        <v>56</v>
      </c>
      <c r="F859" s="6" t="s">
        <v>51</v>
      </c>
      <c r="G859" s="6" t="n">
        <v>3</v>
      </c>
      <c r="H859" s="8" t="n">
        <v>30</v>
      </c>
      <c r="I859" s="8" t="n">
        <f aca="false">G859*H859</f>
        <v>90</v>
      </c>
    </row>
    <row r="860" customFormat="false" ht="15" hidden="false" customHeight="false" outlineLevel="0" collapsed="false">
      <c r="A860" s="6" t="n">
        <v>812</v>
      </c>
      <c r="B860" s="7" t="n">
        <v>45242</v>
      </c>
      <c r="C860" s="6" t="s">
        <v>906</v>
      </c>
      <c r="D860" s="6" t="s">
        <v>44</v>
      </c>
      <c r="E860" s="6" t="n">
        <v>19</v>
      </c>
      <c r="F860" s="6" t="s">
        <v>51</v>
      </c>
      <c r="G860" s="6" t="n">
        <v>3</v>
      </c>
      <c r="H860" s="8" t="n">
        <v>25</v>
      </c>
      <c r="I860" s="8" t="n">
        <f aca="false">G860*H860</f>
        <v>75</v>
      </c>
    </row>
    <row r="861" customFormat="false" ht="15" hidden="false" customHeight="false" outlineLevel="0" collapsed="false">
      <c r="A861" s="6" t="n">
        <v>554</v>
      </c>
      <c r="B861" s="7" t="n">
        <v>45242</v>
      </c>
      <c r="C861" s="6" t="s">
        <v>907</v>
      </c>
      <c r="D861" s="6" t="s">
        <v>49</v>
      </c>
      <c r="E861" s="6" t="n">
        <v>46</v>
      </c>
      <c r="F861" s="6" t="s">
        <v>45</v>
      </c>
      <c r="G861" s="6" t="n">
        <v>3</v>
      </c>
      <c r="H861" s="8" t="n">
        <v>50</v>
      </c>
      <c r="I861" s="8" t="n">
        <f aca="false">G861*H861</f>
        <v>150</v>
      </c>
    </row>
    <row r="862" customFormat="false" ht="15" hidden="false" customHeight="false" outlineLevel="0" collapsed="false">
      <c r="A862" s="6" t="n">
        <v>952</v>
      </c>
      <c r="B862" s="7" t="n">
        <v>45243</v>
      </c>
      <c r="C862" s="6" t="s">
        <v>908</v>
      </c>
      <c r="D862" s="6" t="s">
        <v>49</v>
      </c>
      <c r="E862" s="6" t="n">
        <v>57</v>
      </c>
      <c r="F862" s="6" t="s">
        <v>47</v>
      </c>
      <c r="G862" s="6" t="n">
        <v>1</v>
      </c>
      <c r="H862" s="8" t="n">
        <v>25</v>
      </c>
      <c r="I862" s="8" t="n">
        <f aca="false">G862*H862</f>
        <v>25</v>
      </c>
    </row>
    <row r="863" customFormat="false" ht="15" hidden="false" customHeight="false" outlineLevel="0" collapsed="false">
      <c r="A863" s="6" t="n">
        <v>58</v>
      </c>
      <c r="B863" s="7" t="n">
        <v>45243</v>
      </c>
      <c r="C863" s="6" t="s">
        <v>909</v>
      </c>
      <c r="D863" s="6" t="s">
        <v>44</v>
      </c>
      <c r="E863" s="6" t="n">
        <v>18</v>
      </c>
      <c r="F863" s="6" t="s">
        <v>47</v>
      </c>
      <c r="G863" s="6" t="n">
        <v>4</v>
      </c>
      <c r="H863" s="8" t="n">
        <v>300</v>
      </c>
      <c r="I863" s="8" t="n">
        <f aca="false">G863*H863</f>
        <v>1200</v>
      </c>
    </row>
    <row r="864" customFormat="false" ht="15" hidden="false" customHeight="false" outlineLevel="0" collapsed="false">
      <c r="A864" s="6" t="n">
        <v>582</v>
      </c>
      <c r="B864" s="7" t="n">
        <v>45244</v>
      </c>
      <c r="C864" s="6" t="s">
        <v>910</v>
      </c>
      <c r="D864" s="6" t="s">
        <v>44</v>
      </c>
      <c r="E864" s="6" t="n">
        <v>35</v>
      </c>
      <c r="F864" s="6" t="s">
        <v>47</v>
      </c>
      <c r="G864" s="6" t="n">
        <v>3</v>
      </c>
      <c r="H864" s="8" t="n">
        <v>300</v>
      </c>
      <c r="I864" s="8" t="n">
        <f aca="false">G864*H864</f>
        <v>900</v>
      </c>
    </row>
    <row r="865" customFormat="false" ht="15" hidden="false" customHeight="false" outlineLevel="0" collapsed="false">
      <c r="A865" s="6" t="n">
        <v>458</v>
      </c>
      <c r="B865" s="7" t="n">
        <v>45244</v>
      </c>
      <c r="C865" s="6" t="s">
        <v>911</v>
      </c>
      <c r="D865" s="6" t="s">
        <v>49</v>
      </c>
      <c r="E865" s="6" t="n">
        <v>39</v>
      </c>
      <c r="F865" s="6" t="s">
        <v>51</v>
      </c>
      <c r="G865" s="6" t="n">
        <v>4</v>
      </c>
      <c r="H865" s="8" t="n">
        <v>25</v>
      </c>
      <c r="I865" s="8" t="n">
        <f aca="false">G865*H865</f>
        <v>100</v>
      </c>
    </row>
    <row r="866" customFormat="false" ht="15" hidden="false" customHeight="false" outlineLevel="0" collapsed="false">
      <c r="A866" s="6" t="n">
        <v>345</v>
      </c>
      <c r="B866" s="7" t="n">
        <v>45244</v>
      </c>
      <c r="C866" s="6" t="s">
        <v>912</v>
      </c>
      <c r="D866" s="6" t="s">
        <v>44</v>
      </c>
      <c r="E866" s="6" t="n">
        <v>62</v>
      </c>
      <c r="F866" s="6" t="s">
        <v>51</v>
      </c>
      <c r="G866" s="6" t="n">
        <v>1</v>
      </c>
      <c r="H866" s="8" t="n">
        <v>30</v>
      </c>
      <c r="I866" s="8" t="n">
        <f aca="false">G866*H866</f>
        <v>30</v>
      </c>
    </row>
    <row r="867" customFormat="false" ht="15" hidden="false" customHeight="false" outlineLevel="0" collapsed="false">
      <c r="A867" s="6" t="n">
        <v>963</v>
      </c>
      <c r="B867" s="7" t="n">
        <v>45244</v>
      </c>
      <c r="C867" s="6" t="s">
        <v>913</v>
      </c>
      <c r="D867" s="6" t="s">
        <v>49</v>
      </c>
      <c r="E867" s="6" t="n">
        <v>55</v>
      </c>
      <c r="F867" s="6" t="s">
        <v>45</v>
      </c>
      <c r="G867" s="6" t="n">
        <v>1</v>
      </c>
      <c r="H867" s="8" t="n">
        <v>50</v>
      </c>
      <c r="I867" s="8" t="n">
        <f aca="false">G867*H867</f>
        <v>50</v>
      </c>
    </row>
    <row r="868" customFormat="false" ht="15" hidden="false" customHeight="false" outlineLevel="0" collapsed="false">
      <c r="A868" s="6" t="n">
        <v>747</v>
      </c>
      <c r="B868" s="7" t="n">
        <v>45245</v>
      </c>
      <c r="C868" s="6" t="s">
        <v>914</v>
      </c>
      <c r="D868" s="6" t="s">
        <v>44</v>
      </c>
      <c r="E868" s="6" t="n">
        <v>23</v>
      </c>
      <c r="F868" s="6" t="s">
        <v>45</v>
      </c>
      <c r="G868" s="6" t="n">
        <v>1</v>
      </c>
      <c r="H868" s="8" t="n">
        <v>30</v>
      </c>
      <c r="I868" s="8" t="n">
        <f aca="false">G868*H868</f>
        <v>30</v>
      </c>
    </row>
    <row r="869" customFormat="false" ht="15" hidden="false" customHeight="false" outlineLevel="0" collapsed="false">
      <c r="A869" s="6" t="n">
        <v>369</v>
      </c>
      <c r="B869" s="7" t="n">
        <v>45245</v>
      </c>
      <c r="C869" s="6" t="s">
        <v>915</v>
      </c>
      <c r="D869" s="6" t="s">
        <v>44</v>
      </c>
      <c r="E869" s="6" t="n">
        <v>23</v>
      </c>
      <c r="F869" s="6" t="s">
        <v>51</v>
      </c>
      <c r="G869" s="6" t="n">
        <v>3</v>
      </c>
      <c r="H869" s="8" t="n">
        <v>500</v>
      </c>
      <c r="I869" s="8" t="n">
        <f aca="false">G869*H869</f>
        <v>1500</v>
      </c>
    </row>
    <row r="870" customFormat="false" ht="15" hidden="false" customHeight="false" outlineLevel="0" collapsed="false">
      <c r="A870" s="6" t="n">
        <v>706</v>
      </c>
      <c r="B870" s="7" t="n">
        <v>45245</v>
      </c>
      <c r="C870" s="6" t="s">
        <v>916</v>
      </c>
      <c r="D870" s="6" t="s">
        <v>44</v>
      </c>
      <c r="E870" s="6" t="n">
        <v>51</v>
      </c>
      <c r="F870" s="6" t="s">
        <v>51</v>
      </c>
      <c r="G870" s="6" t="n">
        <v>4</v>
      </c>
      <c r="H870" s="8" t="n">
        <v>25</v>
      </c>
      <c r="I870" s="8" t="n">
        <f aca="false">G870*H870</f>
        <v>100</v>
      </c>
    </row>
    <row r="871" customFormat="false" ht="15" hidden="false" customHeight="false" outlineLevel="0" collapsed="false">
      <c r="A871" s="6" t="n">
        <v>533</v>
      </c>
      <c r="B871" s="7" t="n">
        <v>45246</v>
      </c>
      <c r="C871" s="6" t="s">
        <v>917</v>
      </c>
      <c r="D871" s="6" t="s">
        <v>44</v>
      </c>
      <c r="E871" s="6" t="n">
        <v>19</v>
      </c>
      <c r="F871" s="6" t="s">
        <v>51</v>
      </c>
      <c r="G871" s="6" t="n">
        <v>3</v>
      </c>
      <c r="H871" s="8" t="n">
        <v>500</v>
      </c>
      <c r="I871" s="8" t="n">
        <f aca="false">G871*H871</f>
        <v>1500</v>
      </c>
    </row>
    <row r="872" customFormat="false" ht="15" hidden="false" customHeight="false" outlineLevel="0" collapsed="false">
      <c r="A872" s="6" t="n">
        <v>997</v>
      </c>
      <c r="B872" s="7" t="n">
        <v>45247</v>
      </c>
      <c r="C872" s="6" t="s">
        <v>918</v>
      </c>
      <c r="D872" s="6" t="s">
        <v>44</v>
      </c>
      <c r="E872" s="6" t="n">
        <v>52</v>
      </c>
      <c r="F872" s="6" t="s">
        <v>45</v>
      </c>
      <c r="G872" s="6" t="n">
        <v>3</v>
      </c>
      <c r="H872" s="8" t="n">
        <v>30</v>
      </c>
      <c r="I872" s="8" t="n">
        <f aca="false">G872*H872</f>
        <v>90</v>
      </c>
    </row>
    <row r="873" customFormat="false" ht="15" hidden="false" customHeight="false" outlineLevel="0" collapsed="false">
      <c r="A873" s="6" t="n">
        <v>645</v>
      </c>
      <c r="B873" s="7" t="n">
        <v>45247</v>
      </c>
      <c r="C873" s="6" t="s">
        <v>919</v>
      </c>
      <c r="D873" s="6" t="s">
        <v>49</v>
      </c>
      <c r="E873" s="6" t="n">
        <v>35</v>
      </c>
      <c r="F873" s="6" t="s">
        <v>51</v>
      </c>
      <c r="G873" s="6" t="n">
        <v>4</v>
      </c>
      <c r="H873" s="8" t="n">
        <v>30</v>
      </c>
      <c r="I873" s="8" t="n">
        <f aca="false">G873*H873</f>
        <v>120</v>
      </c>
    </row>
    <row r="874" customFormat="false" ht="15" hidden="false" customHeight="false" outlineLevel="0" collapsed="false">
      <c r="A874" s="6" t="n">
        <v>968</v>
      </c>
      <c r="B874" s="7" t="n">
        <v>45247</v>
      </c>
      <c r="C874" s="6" t="s">
        <v>920</v>
      </c>
      <c r="D874" s="6" t="s">
        <v>49</v>
      </c>
      <c r="E874" s="6" t="n">
        <v>48</v>
      </c>
      <c r="F874" s="6" t="s">
        <v>47</v>
      </c>
      <c r="G874" s="6" t="n">
        <v>3</v>
      </c>
      <c r="H874" s="8" t="n">
        <v>300</v>
      </c>
      <c r="I874" s="8" t="n">
        <f aca="false">G874*H874</f>
        <v>900</v>
      </c>
    </row>
    <row r="875" customFormat="false" ht="15" hidden="false" customHeight="false" outlineLevel="0" collapsed="false">
      <c r="A875" s="6" t="n">
        <v>169</v>
      </c>
      <c r="B875" s="7" t="n">
        <v>45247</v>
      </c>
      <c r="C875" s="6" t="s">
        <v>921</v>
      </c>
      <c r="D875" s="6" t="s">
        <v>44</v>
      </c>
      <c r="E875" s="6" t="n">
        <v>18</v>
      </c>
      <c r="F875" s="6" t="s">
        <v>45</v>
      </c>
      <c r="G875" s="6" t="n">
        <v>3</v>
      </c>
      <c r="H875" s="8" t="n">
        <v>500</v>
      </c>
      <c r="I875" s="8" t="n">
        <f aca="false">G875*H875</f>
        <v>1500</v>
      </c>
    </row>
    <row r="876" customFormat="false" ht="15" hidden="false" customHeight="false" outlineLevel="0" collapsed="false">
      <c r="A876" s="6" t="n">
        <v>57</v>
      </c>
      <c r="B876" s="7" t="n">
        <v>45248</v>
      </c>
      <c r="C876" s="6" t="s">
        <v>922</v>
      </c>
      <c r="D876" s="6" t="s">
        <v>49</v>
      </c>
      <c r="E876" s="6" t="n">
        <v>63</v>
      </c>
      <c r="F876" s="6" t="s">
        <v>45</v>
      </c>
      <c r="G876" s="6" t="n">
        <v>1</v>
      </c>
      <c r="H876" s="8" t="n">
        <v>30</v>
      </c>
      <c r="I876" s="8" t="n">
        <f aca="false">G876*H876</f>
        <v>30</v>
      </c>
    </row>
    <row r="877" customFormat="false" ht="15" hidden="false" customHeight="false" outlineLevel="0" collapsed="false">
      <c r="A877" s="6" t="n">
        <v>137</v>
      </c>
      <c r="B877" s="7" t="n">
        <v>45248</v>
      </c>
      <c r="C877" s="6" t="s">
        <v>923</v>
      </c>
      <c r="D877" s="6" t="s">
        <v>44</v>
      </c>
      <c r="E877" s="6" t="n">
        <v>46</v>
      </c>
      <c r="F877" s="6" t="s">
        <v>45</v>
      </c>
      <c r="G877" s="6" t="n">
        <v>2</v>
      </c>
      <c r="H877" s="8" t="n">
        <v>500</v>
      </c>
      <c r="I877" s="8" t="n">
        <f aca="false">G877*H877</f>
        <v>1000</v>
      </c>
    </row>
    <row r="878" customFormat="false" ht="15" hidden="false" customHeight="false" outlineLevel="0" collapsed="false">
      <c r="A878" s="6" t="n">
        <v>778</v>
      </c>
      <c r="B878" s="7" t="n">
        <v>45248</v>
      </c>
      <c r="C878" s="6" t="s">
        <v>924</v>
      </c>
      <c r="D878" s="6" t="s">
        <v>49</v>
      </c>
      <c r="E878" s="6" t="n">
        <v>47</v>
      </c>
      <c r="F878" s="6" t="s">
        <v>45</v>
      </c>
      <c r="G878" s="6" t="n">
        <v>4</v>
      </c>
      <c r="H878" s="8" t="n">
        <v>25</v>
      </c>
      <c r="I878" s="8" t="n">
        <f aca="false">G878*H878</f>
        <v>100</v>
      </c>
    </row>
    <row r="879" customFormat="false" ht="15" hidden="false" customHeight="false" outlineLevel="0" collapsed="false">
      <c r="A879" s="6" t="n">
        <v>938</v>
      </c>
      <c r="B879" s="7" t="n">
        <v>45249</v>
      </c>
      <c r="C879" s="6" t="s">
        <v>925</v>
      </c>
      <c r="D879" s="6" t="s">
        <v>44</v>
      </c>
      <c r="E879" s="6" t="n">
        <v>49</v>
      </c>
      <c r="F879" s="6" t="s">
        <v>47</v>
      </c>
      <c r="G879" s="6" t="n">
        <v>4</v>
      </c>
      <c r="H879" s="8" t="n">
        <v>50</v>
      </c>
      <c r="I879" s="8" t="n">
        <f aca="false">G879*H879</f>
        <v>200</v>
      </c>
    </row>
    <row r="880" customFormat="false" ht="15" hidden="false" customHeight="false" outlineLevel="0" collapsed="false">
      <c r="A880" s="6" t="n">
        <v>599</v>
      </c>
      <c r="B880" s="7" t="n">
        <v>45249</v>
      </c>
      <c r="C880" s="6" t="s">
        <v>926</v>
      </c>
      <c r="D880" s="6" t="s">
        <v>49</v>
      </c>
      <c r="E880" s="6" t="n">
        <v>28</v>
      </c>
      <c r="F880" s="6" t="s">
        <v>45</v>
      </c>
      <c r="G880" s="6" t="n">
        <v>2</v>
      </c>
      <c r="H880" s="8" t="n">
        <v>50</v>
      </c>
      <c r="I880" s="8" t="n">
        <f aca="false">G880*H880</f>
        <v>100</v>
      </c>
    </row>
    <row r="881" customFormat="false" ht="15" hidden="false" customHeight="false" outlineLevel="0" collapsed="false">
      <c r="A881" s="6" t="n">
        <v>234</v>
      </c>
      <c r="B881" s="7" t="n">
        <v>45250</v>
      </c>
      <c r="C881" s="6" t="s">
        <v>927</v>
      </c>
      <c r="D881" s="6" t="s">
        <v>49</v>
      </c>
      <c r="E881" s="6" t="n">
        <v>62</v>
      </c>
      <c r="F881" s="6" t="s">
        <v>51</v>
      </c>
      <c r="G881" s="6" t="n">
        <v>2</v>
      </c>
      <c r="H881" s="8" t="n">
        <v>25</v>
      </c>
      <c r="I881" s="8" t="n">
        <f aca="false">G881*H881</f>
        <v>50</v>
      </c>
    </row>
    <row r="882" customFormat="false" ht="15" hidden="false" customHeight="false" outlineLevel="0" collapsed="false">
      <c r="A882" s="6" t="n">
        <v>410</v>
      </c>
      <c r="B882" s="7" t="n">
        <v>45251</v>
      </c>
      <c r="C882" s="6" t="s">
        <v>928</v>
      </c>
      <c r="D882" s="6" t="s">
        <v>49</v>
      </c>
      <c r="E882" s="6" t="n">
        <v>29</v>
      </c>
      <c r="F882" s="6" t="s">
        <v>47</v>
      </c>
      <c r="G882" s="6" t="n">
        <v>2</v>
      </c>
      <c r="H882" s="8" t="n">
        <v>50</v>
      </c>
      <c r="I882" s="8" t="n">
        <f aca="false">G882*H882</f>
        <v>100</v>
      </c>
    </row>
    <row r="883" customFormat="false" ht="15" hidden="false" customHeight="false" outlineLevel="0" collapsed="false">
      <c r="A883" s="6" t="n">
        <v>581</v>
      </c>
      <c r="B883" s="7" t="n">
        <v>45251</v>
      </c>
      <c r="C883" s="6" t="s">
        <v>929</v>
      </c>
      <c r="D883" s="6" t="s">
        <v>49</v>
      </c>
      <c r="E883" s="6" t="n">
        <v>48</v>
      </c>
      <c r="F883" s="6" t="s">
        <v>45</v>
      </c>
      <c r="G883" s="6" t="n">
        <v>2</v>
      </c>
      <c r="H883" s="8" t="n">
        <v>30</v>
      </c>
      <c r="I883" s="8" t="n">
        <f aca="false">G883*H883</f>
        <v>60</v>
      </c>
    </row>
    <row r="884" customFormat="false" ht="15" hidden="false" customHeight="false" outlineLevel="0" collapsed="false">
      <c r="A884" s="6" t="n">
        <v>417</v>
      </c>
      <c r="B884" s="7" t="n">
        <v>45251</v>
      </c>
      <c r="C884" s="6" t="s">
        <v>930</v>
      </c>
      <c r="D884" s="6" t="s">
        <v>44</v>
      </c>
      <c r="E884" s="6" t="n">
        <v>43</v>
      </c>
      <c r="F884" s="6" t="s">
        <v>51</v>
      </c>
      <c r="G884" s="6" t="n">
        <v>3</v>
      </c>
      <c r="H884" s="8" t="n">
        <v>300</v>
      </c>
      <c r="I884" s="8" t="n">
        <f aca="false">G884*H884</f>
        <v>900</v>
      </c>
    </row>
    <row r="885" customFormat="false" ht="15" hidden="false" customHeight="false" outlineLevel="0" collapsed="false">
      <c r="A885" s="6" t="n">
        <v>74</v>
      </c>
      <c r="B885" s="7" t="n">
        <v>45252</v>
      </c>
      <c r="C885" s="6" t="s">
        <v>931</v>
      </c>
      <c r="D885" s="6" t="s">
        <v>49</v>
      </c>
      <c r="E885" s="6" t="n">
        <v>18</v>
      </c>
      <c r="F885" s="6" t="s">
        <v>45</v>
      </c>
      <c r="G885" s="6" t="n">
        <v>4</v>
      </c>
      <c r="H885" s="8" t="n">
        <v>500</v>
      </c>
      <c r="I885" s="8" t="n">
        <f aca="false">G885*H885</f>
        <v>2000</v>
      </c>
    </row>
    <row r="886" customFormat="false" ht="15" hidden="false" customHeight="false" outlineLevel="0" collapsed="false">
      <c r="A886" s="6" t="n">
        <v>87</v>
      </c>
      <c r="B886" s="7" t="n">
        <v>45252</v>
      </c>
      <c r="C886" s="6" t="s">
        <v>932</v>
      </c>
      <c r="D886" s="6" t="s">
        <v>49</v>
      </c>
      <c r="E886" s="6" t="n">
        <v>28</v>
      </c>
      <c r="F886" s="6" t="s">
        <v>45</v>
      </c>
      <c r="G886" s="6" t="n">
        <v>2</v>
      </c>
      <c r="H886" s="8" t="n">
        <v>50</v>
      </c>
      <c r="I886" s="8" t="n">
        <f aca="false">G886*H886</f>
        <v>100</v>
      </c>
    </row>
    <row r="887" customFormat="false" ht="15" hidden="false" customHeight="false" outlineLevel="0" collapsed="false">
      <c r="A887" s="6" t="n">
        <v>803</v>
      </c>
      <c r="B887" s="7" t="n">
        <v>45252</v>
      </c>
      <c r="C887" s="6" t="s">
        <v>933</v>
      </c>
      <c r="D887" s="6" t="s">
        <v>44</v>
      </c>
      <c r="E887" s="6" t="n">
        <v>39</v>
      </c>
      <c r="F887" s="6" t="s">
        <v>47</v>
      </c>
      <c r="G887" s="6" t="n">
        <v>4</v>
      </c>
      <c r="H887" s="8" t="n">
        <v>25</v>
      </c>
      <c r="I887" s="8" t="n">
        <f aca="false">G887*H887</f>
        <v>100</v>
      </c>
    </row>
    <row r="888" customFormat="false" ht="15" hidden="false" customHeight="false" outlineLevel="0" collapsed="false">
      <c r="A888" s="6" t="n">
        <v>424</v>
      </c>
      <c r="B888" s="7" t="n">
        <v>45253</v>
      </c>
      <c r="C888" s="6" t="s">
        <v>934</v>
      </c>
      <c r="D888" s="6" t="s">
        <v>44</v>
      </c>
      <c r="E888" s="6" t="n">
        <v>57</v>
      </c>
      <c r="F888" s="6" t="s">
        <v>45</v>
      </c>
      <c r="G888" s="6" t="n">
        <v>4</v>
      </c>
      <c r="H888" s="8" t="n">
        <v>300</v>
      </c>
      <c r="I888" s="8" t="n">
        <f aca="false">G888*H888</f>
        <v>1200</v>
      </c>
    </row>
    <row r="889" customFormat="false" ht="15" hidden="false" customHeight="false" outlineLevel="0" collapsed="false">
      <c r="A889" s="6" t="n">
        <v>641</v>
      </c>
      <c r="B889" s="7" t="n">
        <v>45253</v>
      </c>
      <c r="C889" s="6" t="s">
        <v>935</v>
      </c>
      <c r="D889" s="6" t="s">
        <v>49</v>
      </c>
      <c r="E889" s="6" t="n">
        <v>40</v>
      </c>
      <c r="F889" s="6" t="s">
        <v>51</v>
      </c>
      <c r="G889" s="6" t="n">
        <v>1</v>
      </c>
      <c r="H889" s="8" t="n">
        <v>300</v>
      </c>
      <c r="I889" s="8" t="n">
        <f aca="false">G889*H889</f>
        <v>300</v>
      </c>
    </row>
    <row r="890" customFormat="false" ht="15" hidden="false" customHeight="false" outlineLevel="0" collapsed="false">
      <c r="A890" s="6" t="n">
        <v>918</v>
      </c>
      <c r="B890" s="7" t="n">
        <v>45253</v>
      </c>
      <c r="C890" s="6" t="s">
        <v>936</v>
      </c>
      <c r="D890" s="6" t="s">
        <v>49</v>
      </c>
      <c r="E890" s="6" t="n">
        <v>42</v>
      </c>
      <c r="F890" s="6" t="s">
        <v>51</v>
      </c>
      <c r="G890" s="6" t="n">
        <v>3</v>
      </c>
      <c r="H890" s="8" t="n">
        <v>30</v>
      </c>
      <c r="I890" s="8" t="n">
        <f aca="false">G890*H890</f>
        <v>90</v>
      </c>
    </row>
    <row r="891" customFormat="false" ht="15" hidden="false" customHeight="false" outlineLevel="0" collapsed="false">
      <c r="A891" s="6" t="n">
        <v>1</v>
      </c>
      <c r="B891" s="7" t="n">
        <v>45254</v>
      </c>
      <c r="C891" s="6" t="s">
        <v>937</v>
      </c>
      <c r="D891" s="6" t="s">
        <v>44</v>
      </c>
      <c r="E891" s="6" t="n">
        <v>34</v>
      </c>
      <c r="F891" s="6" t="s">
        <v>45</v>
      </c>
      <c r="G891" s="6" t="n">
        <v>3</v>
      </c>
      <c r="H891" s="8" t="n">
        <v>50</v>
      </c>
      <c r="I891" s="8" t="n">
        <f aca="false">G891*H891</f>
        <v>150</v>
      </c>
    </row>
    <row r="892" customFormat="false" ht="15" hidden="false" customHeight="false" outlineLevel="0" collapsed="false">
      <c r="A892" s="6" t="n">
        <v>95</v>
      </c>
      <c r="B892" s="7" t="n">
        <v>45254</v>
      </c>
      <c r="C892" s="6" t="s">
        <v>938</v>
      </c>
      <c r="D892" s="6" t="s">
        <v>49</v>
      </c>
      <c r="E892" s="6" t="n">
        <v>32</v>
      </c>
      <c r="F892" s="6" t="s">
        <v>47</v>
      </c>
      <c r="G892" s="6" t="n">
        <v>2</v>
      </c>
      <c r="H892" s="8" t="n">
        <v>30</v>
      </c>
      <c r="I892" s="8" t="n">
        <f aca="false">G892*H892</f>
        <v>60</v>
      </c>
    </row>
    <row r="893" customFormat="false" ht="15" hidden="false" customHeight="false" outlineLevel="0" collapsed="false">
      <c r="A893" s="6" t="n">
        <v>171</v>
      </c>
      <c r="B893" s="7" t="n">
        <v>45254</v>
      </c>
      <c r="C893" s="6" t="s">
        <v>939</v>
      </c>
      <c r="D893" s="6" t="s">
        <v>49</v>
      </c>
      <c r="E893" s="6" t="n">
        <v>52</v>
      </c>
      <c r="F893" s="6" t="s">
        <v>47</v>
      </c>
      <c r="G893" s="6" t="n">
        <v>3</v>
      </c>
      <c r="H893" s="8" t="n">
        <v>300</v>
      </c>
      <c r="I893" s="8" t="n">
        <f aca="false">G893*H893</f>
        <v>900</v>
      </c>
    </row>
    <row r="894" customFormat="false" ht="15" hidden="false" customHeight="false" outlineLevel="0" collapsed="false">
      <c r="A894" s="6" t="n">
        <v>156</v>
      </c>
      <c r="B894" s="7" t="n">
        <v>45255</v>
      </c>
      <c r="C894" s="6" t="s">
        <v>940</v>
      </c>
      <c r="D894" s="6" t="s">
        <v>49</v>
      </c>
      <c r="E894" s="6" t="n">
        <v>43</v>
      </c>
      <c r="F894" s="6" t="s">
        <v>47</v>
      </c>
      <c r="G894" s="6" t="n">
        <v>4</v>
      </c>
      <c r="H894" s="8" t="n">
        <v>25</v>
      </c>
      <c r="I894" s="8" t="n">
        <f aca="false">G894*H894</f>
        <v>100</v>
      </c>
    </row>
    <row r="895" customFormat="false" ht="15" hidden="false" customHeight="false" outlineLevel="0" collapsed="false">
      <c r="A895" s="6" t="n">
        <v>493</v>
      </c>
      <c r="B895" s="7" t="n">
        <v>45255</v>
      </c>
      <c r="C895" s="6" t="s">
        <v>941</v>
      </c>
      <c r="D895" s="6" t="s">
        <v>44</v>
      </c>
      <c r="E895" s="6" t="n">
        <v>41</v>
      </c>
      <c r="F895" s="6" t="s">
        <v>45</v>
      </c>
      <c r="G895" s="6" t="n">
        <v>2</v>
      </c>
      <c r="H895" s="8" t="n">
        <v>25</v>
      </c>
      <c r="I895" s="8" t="n">
        <f aca="false">G895*H895</f>
        <v>50</v>
      </c>
    </row>
    <row r="896" customFormat="false" ht="15" hidden="false" customHeight="false" outlineLevel="0" collapsed="false">
      <c r="A896" s="6" t="n">
        <v>715</v>
      </c>
      <c r="B896" s="7" t="n">
        <v>45256</v>
      </c>
      <c r="C896" s="6" t="s">
        <v>942</v>
      </c>
      <c r="D896" s="6" t="s">
        <v>49</v>
      </c>
      <c r="E896" s="6" t="n">
        <v>42</v>
      </c>
      <c r="F896" s="6" t="s">
        <v>45</v>
      </c>
      <c r="G896" s="6" t="n">
        <v>4</v>
      </c>
      <c r="H896" s="8" t="n">
        <v>25</v>
      </c>
      <c r="I896" s="8" t="n">
        <f aca="false">G896*H896</f>
        <v>100</v>
      </c>
    </row>
    <row r="897" customFormat="false" ht="15" hidden="false" customHeight="false" outlineLevel="0" collapsed="false">
      <c r="A897" s="6" t="n">
        <v>115</v>
      </c>
      <c r="B897" s="7" t="n">
        <v>45256</v>
      </c>
      <c r="C897" s="6" t="s">
        <v>943</v>
      </c>
      <c r="D897" s="6" t="s">
        <v>44</v>
      </c>
      <c r="E897" s="6" t="n">
        <v>51</v>
      </c>
      <c r="F897" s="6" t="s">
        <v>47</v>
      </c>
      <c r="G897" s="6" t="n">
        <v>3</v>
      </c>
      <c r="H897" s="8" t="n">
        <v>500</v>
      </c>
      <c r="I897" s="8" t="n">
        <f aca="false">G897*H897</f>
        <v>1500</v>
      </c>
    </row>
    <row r="898" customFormat="false" ht="15" hidden="false" customHeight="false" outlineLevel="0" collapsed="false">
      <c r="A898" s="6" t="n">
        <v>362</v>
      </c>
      <c r="B898" s="7" t="n">
        <v>45257</v>
      </c>
      <c r="C898" s="6" t="s">
        <v>944</v>
      </c>
      <c r="D898" s="6" t="s">
        <v>44</v>
      </c>
      <c r="E898" s="6" t="n">
        <v>50</v>
      </c>
      <c r="F898" s="6" t="s">
        <v>47</v>
      </c>
      <c r="G898" s="6" t="n">
        <v>1</v>
      </c>
      <c r="H898" s="8" t="n">
        <v>25</v>
      </c>
      <c r="I898" s="8" t="n">
        <f aca="false">G898*H898</f>
        <v>25</v>
      </c>
    </row>
    <row r="899" customFormat="false" ht="15" hidden="false" customHeight="false" outlineLevel="0" collapsed="false">
      <c r="A899" s="6" t="n">
        <v>267</v>
      </c>
      <c r="B899" s="7" t="n">
        <v>45257</v>
      </c>
      <c r="C899" s="6" t="s">
        <v>945</v>
      </c>
      <c r="D899" s="6" t="s">
        <v>49</v>
      </c>
      <c r="E899" s="6" t="n">
        <v>32</v>
      </c>
      <c r="F899" s="6" t="s">
        <v>45</v>
      </c>
      <c r="G899" s="6" t="n">
        <v>3</v>
      </c>
      <c r="H899" s="8" t="n">
        <v>30</v>
      </c>
      <c r="I899" s="8" t="n">
        <f aca="false">G899*H899</f>
        <v>90</v>
      </c>
    </row>
    <row r="900" customFormat="false" ht="15" hidden="false" customHeight="false" outlineLevel="0" collapsed="false">
      <c r="A900" s="6" t="n">
        <v>856</v>
      </c>
      <c r="B900" s="7" t="n">
        <v>45257</v>
      </c>
      <c r="C900" s="6" t="s">
        <v>946</v>
      </c>
      <c r="D900" s="6" t="s">
        <v>44</v>
      </c>
      <c r="E900" s="6" t="n">
        <v>54</v>
      </c>
      <c r="F900" s="6" t="s">
        <v>51</v>
      </c>
      <c r="G900" s="6" t="n">
        <v>4</v>
      </c>
      <c r="H900" s="8" t="n">
        <v>30</v>
      </c>
      <c r="I900" s="8" t="n">
        <f aca="false">G900*H900</f>
        <v>120</v>
      </c>
    </row>
    <row r="901" customFormat="false" ht="15" hidden="false" customHeight="false" outlineLevel="0" collapsed="false">
      <c r="A901" s="6" t="n">
        <v>84</v>
      </c>
      <c r="B901" s="7" t="n">
        <v>45258</v>
      </c>
      <c r="C901" s="6" t="s">
        <v>947</v>
      </c>
      <c r="D901" s="6" t="s">
        <v>49</v>
      </c>
      <c r="E901" s="6" t="n">
        <v>38</v>
      </c>
      <c r="F901" s="6" t="s">
        <v>51</v>
      </c>
      <c r="G901" s="6" t="n">
        <v>3</v>
      </c>
      <c r="H901" s="8" t="n">
        <v>30</v>
      </c>
      <c r="I901" s="8" t="n">
        <f aca="false">G901*H901</f>
        <v>90</v>
      </c>
    </row>
    <row r="902" customFormat="false" ht="15" hidden="false" customHeight="false" outlineLevel="0" collapsed="false">
      <c r="A902" s="6" t="n">
        <v>795</v>
      </c>
      <c r="B902" s="7" t="n">
        <v>45258</v>
      </c>
      <c r="C902" s="6" t="s">
        <v>948</v>
      </c>
      <c r="D902" s="6" t="s">
        <v>44</v>
      </c>
      <c r="E902" s="6" t="n">
        <v>57</v>
      </c>
      <c r="F902" s="6" t="s">
        <v>51</v>
      </c>
      <c r="G902" s="6" t="n">
        <v>1</v>
      </c>
      <c r="H902" s="8" t="n">
        <v>300</v>
      </c>
      <c r="I902" s="8" t="n">
        <f aca="false">G902*H902</f>
        <v>300</v>
      </c>
    </row>
    <row r="903" customFormat="false" ht="15" hidden="false" customHeight="false" outlineLevel="0" collapsed="false">
      <c r="A903" s="6" t="n">
        <v>739</v>
      </c>
      <c r="B903" s="7" t="n">
        <v>45259</v>
      </c>
      <c r="C903" s="6" t="s">
        <v>949</v>
      </c>
      <c r="D903" s="6" t="s">
        <v>44</v>
      </c>
      <c r="E903" s="6" t="n">
        <v>36</v>
      </c>
      <c r="F903" s="6" t="s">
        <v>45</v>
      </c>
      <c r="G903" s="6" t="n">
        <v>1</v>
      </c>
      <c r="H903" s="8" t="n">
        <v>25</v>
      </c>
      <c r="I903" s="8" t="n">
        <f aca="false">G903*H903</f>
        <v>25</v>
      </c>
    </row>
    <row r="904" customFormat="false" ht="15" hidden="false" customHeight="false" outlineLevel="0" collapsed="false">
      <c r="A904" s="6" t="n">
        <v>215</v>
      </c>
      <c r="B904" s="7" t="n">
        <v>45259</v>
      </c>
      <c r="C904" s="6" t="s">
        <v>950</v>
      </c>
      <c r="D904" s="6" t="s">
        <v>44</v>
      </c>
      <c r="E904" s="6" t="n">
        <v>58</v>
      </c>
      <c r="F904" s="6" t="s">
        <v>47</v>
      </c>
      <c r="G904" s="6" t="n">
        <v>3</v>
      </c>
      <c r="H904" s="8" t="n">
        <v>500</v>
      </c>
      <c r="I904" s="8" t="n">
        <f aca="false">G904*H904</f>
        <v>1500</v>
      </c>
    </row>
    <row r="905" customFormat="false" ht="15" hidden="false" customHeight="false" outlineLevel="0" collapsed="false">
      <c r="A905" s="6" t="n">
        <v>24</v>
      </c>
      <c r="B905" s="7" t="n">
        <v>45259</v>
      </c>
      <c r="C905" s="6" t="s">
        <v>951</v>
      </c>
      <c r="D905" s="6" t="s">
        <v>49</v>
      </c>
      <c r="E905" s="6" t="n">
        <v>49</v>
      </c>
      <c r="F905" s="6" t="s">
        <v>47</v>
      </c>
      <c r="G905" s="6" t="n">
        <v>1</v>
      </c>
      <c r="H905" s="8" t="n">
        <v>300</v>
      </c>
      <c r="I905" s="8" t="n">
        <f aca="false">G905*H905</f>
        <v>300</v>
      </c>
    </row>
    <row r="906" customFormat="false" ht="15" hidden="false" customHeight="false" outlineLevel="0" collapsed="false">
      <c r="A906" s="6" t="n">
        <v>289</v>
      </c>
      <c r="B906" s="7" t="n">
        <v>45260</v>
      </c>
      <c r="C906" s="6" t="s">
        <v>952</v>
      </c>
      <c r="D906" s="6" t="s">
        <v>44</v>
      </c>
      <c r="E906" s="6" t="n">
        <v>53</v>
      </c>
      <c r="F906" s="6" t="s">
        <v>51</v>
      </c>
      <c r="G906" s="6" t="n">
        <v>2</v>
      </c>
      <c r="H906" s="8" t="n">
        <v>30</v>
      </c>
      <c r="I906" s="8" t="n">
        <f aca="false">G906*H906</f>
        <v>60</v>
      </c>
    </row>
    <row r="907" customFormat="false" ht="15" hidden="false" customHeight="false" outlineLevel="0" collapsed="false">
      <c r="A907" s="6" t="n">
        <v>741</v>
      </c>
      <c r="B907" s="7" t="n">
        <v>45260</v>
      </c>
      <c r="C907" s="6" t="s">
        <v>953</v>
      </c>
      <c r="D907" s="6" t="s">
        <v>44</v>
      </c>
      <c r="E907" s="6" t="n">
        <v>48</v>
      </c>
      <c r="F907" s="6" t="s">
        <v>47</v>
      </c>
      <c r="G907" s="6" t="n">
        <v>1</v>
      </c>
      <c r="H907" s="8" t="n">
        <v>300</v>
      </c>
      <c r="I907" s="8" t="n">
        <f aca="false">G907*H907</f>
        <v>300</v>
      </c>
    </row>
    <row r="908" customFormat="false" ht="15" hidden="false" customHeight="false" outlineLevel="0" collapsed="false">
      <c r="A908" s="6" t="n">
        <v>810</v>
      </c>
      <c r="B908" s="7" t="n">
        <v>45260</v>
      </c>
      <c r="C908" s="6" t="s">
        <v>954</v>
      </c>
      <c r="D908" s="6" t="s">
        <v>44</v>
      </c>
      <c r="E908" s="6" t="n">
        <v>59</v>
      </c>
      <c r="F908" s="6" t="s">
        <v>51</v>
      </c>
      <c r="G908" s="6" t="n">
        <v>4</v>
      </c>
      <c r="H908" s="8" t="n">
        <v>25</v>
      </c>
      <c r="I908" s="8" t="n">
        <f aca="false">G908*H908</f>
        <v>100</v>
      </c>
    </row>
    <row r="909" customFormat="false" ht="15" hidden="false" customHeight="false" outlineLevel="0" collapsed="false">
      <c r="A909" s="6" t="n">
        <v>266</v>
      </c>
      <c r="B909" s="7" t="n">
        <v>45261</v>
      </c>
      <c r="C909" s="6" t="s">
        <v>955</v>
      </c>
      <c r="D909" s="6" t="s">
        <v>49</v>
      </c>
      <c r="E909" s="6" t="n">
        <v>19</v>
      </c>
      <c r="F909" s="6" t="s">
        <v>51</v>
      </c>
      <c r="G909" s="6" t="n">
        <v>2</v>
      </c>
      <c r="H909" s="8" t="n">
        <v>30</v>
      </c>
      <c r="I909" s="8" t="n">
        <f aca="false">G909*H909</f>
        <v>60</v>
      </c>
    </row>
    <row r="910" customFormat="false" ht="15" hidden="false" customHeight="false" outlineLevel="0" collapsed="false">
      <c r="A910" s="6" t="n">
        <v>389</v>
      </c>
      <c r="B910" s="7" t="n">
        <v>45261</v>
      </c>
      <c r="C910" s="6" t="s">
        <v>956</v>
      </c>
      <c r="D910" s="6" t="s">
        <v>44</v>
      </c>
      <c r="E910" s="6" t="n">
        <v>21</v>
      </c>
      <c r="F910" s="6" t="s">
        <v>47</v>
      </c>
      <c r="G910" s="6" t="n">
        <v>2</v>
      </c>
      <c r="H910" s="8" t="n">
        <v>25</v>
      </c>
      <c r="I910" s="8" t="n">
        <f aca="false">G910*H910</f>
        <v>50</v>
      </c>
    </row>
    <row r="911" customFormat="false" ht="15" hidden="false" customHeight="false" outlineLevel="0" collapsed="false">
      <c r="A911" s="6" t="n">
        <v>112</v>
      </c>
      <c r="B911" s="7" t="n">
        <v>45262</v>
      </c>
      <c r="C911" s="6" t="s">
        <v>957</v>
      </c>
      <c r="D911" s="6" t="s">
        <v>44</v>
      </c>
      <c r="E911" s="6" t="n">
        <v>37</v>
      </c>
      <c r="F911" s="6" t="s">
        <v>47</v>
      </c>
      <c r="G911" s="6" t="n">
        <v>3</v>
      </c>
      <c r="H911" s="8" t="n">
        <v>500</v>
      </c>
      <c r="I911" s="8" t="n">
        <f aca="false">G911*H911</f>
        <v>1500</v>
      </c>
    </row>
    <row r="912" customFormat="false" ht="15" hidden="false" customHeight="false" outlineLevel="0" collapsed="false">
      <c r="A912" s="6" t="n">
        <v>608</v>
      </c>
      <c r="B912" s="7" t="n">
        <v>45262</v>
      </c>
      <c r="C912" s="6" t="s">
        <v>958</v>
      </c>
      <c r="D912" s="6" t="s">
        <v>49</v>
      </c>
      <c r="E912" s="6" t="n">
        <v>55</v>
      </c>
      <c r="F912" s="6" t="s">
        <v>51</v>
      </c>
      <c r="G912" s="6" t="n">
        <v>3</v>
      </c>
      <c r="H912" s="8" t="n">
        <v>500</v>
      </c>
      <c r="I912" s="8" t="n">
        <f aca="false">G912*H912</f>
        <v>1500</v>
      </c>
    </row>
    <row r="913" customFormat="false" ht="15" hidden="false" customHeight="false" outlineLevel="0" collapsed="false">
      <c r="A913" s="6" t="n">
        <v>566</v>
      </c>
      <c r="B913" s="7" t="n">
        <v>45262</v>
      </c>
      <c r="C913" s="6" t="s">
        <v>959</v>
      </c>
      <c r="D913" s="6" t="s">
        <v>49</v>
      </c>
      <c r="E913" s="6" t="n">
        <v>64</v>
      </c>
      <c r="F913" s="6" t="s">
        <v>47</v>
      </c>
      <c r="G913" s="6" t="n">
        <v>1</v>
      </c>
      <c r="H913" s="8" t="n">
        <v>30</v>
      </c>
      <c r="I913" s="8" t="n">
        <f aca="false">G913*H913</f>
        <v>30</v>
      </c>
    </row>
    <row r="914" customFormat="false" ht="15" hidden="false" customHeight="false" outlineLevel="0" collapsed="false">
      <c r="A914" s="6" t="n">
        <v>348</v>
      </c>
      <c r="B914" s="7" t="n">
        <v>45263</v>
      </c>
      <c r="C914" s="6" t="s">
        <v>960</v>
      </c>
      <c r="D914" s="6" t="s">
        <v>49</v>
      </c>
      <c r="E914" s="6" t="n">
        <v>35</v>
      </c>
      <c r="F914" s="6" t="s">
        <v>51</v>
      </c>
      <c r="G914" s="6" t="n">
        <v>2</v>
      </c>
      <c r="H914" s="8" t="n">
        <v>300</v>
      </c>
      <c r="I914" s="8" t="n">
        <f aca="false">G914*H914</f>
        <v>600</v>
      </c>
    </row>
    <row r="915" customFormat="false" ht="15" hidden="false" customHeight="false" outlineLevel="0" collapsed="false">
      <c r="A915" s="6" t="n">
        <v>576</v>
      </c>
      <c r="B915" s="7" t="n">
        <v>45264</v>
      </c>
      <c r="C915" s="6" t="s">
        <v>961</v>
      </c>
      <c r="D915" s="6" t="s">
        <v>49</v>
      </c>
      <c r="E915" s="6" t="n">
        <v>33</v>
      </c>
      <c r="F915" s="6" t="s">
        <v>45</v>
      </c>
      <c r="G915" s="6" t="n">
        <v>3</v>
      </c>
      <c r="H915" s="8" t="n">
        <v>50</v>
      </c>
      <c r="I915" s="8" t="n">
        <f aca="false">G915*H915</f>
        <v>150</v>
      </c>
    </row>
    <row r="916" customFormat="false" ht="15" hidden="false" customHeight="false" outlineLevel="0" collapsed="false">
      <c r="A916" s="6" t="n">
        <v>258</v>
      </c>
      <c r="B916" s="7" t="n">
        <v>45264</v>
      </c>
      <c r="C916" s="6" t="s">
        <v>962</v>
      </c>
      <c r="D916" s="6" t="s">
        <v>49</v>
      </c>
      <c r="E916" s="6" t="n">
        <v>37</v>
      </c>
      <c r="F916" s="6" t="s">
        <v>47</v>
      </c>
      <c r="G916" s="6" t="n">
        <v>1</v>
      </c>
      <c r="H916" s="8" t="n">
        <v>50</v>
      </c>
      <c r="I916" s="8" t="n">
        <f aca="false">G916*H916</f>
        <v>50</v>
      </c>
    </row>
    <row r="917" customFormat="false" ht="15" hidden="false" customHeight="false" outlineLevel="0" collapsed="false">
      <c r="A917" s="6" t="n">
        <v>485</v>
      </c>
      <c r="B917" s="7" t="n">
        <v>45264</v>
      </c>
      <c r="C917" s="6" t="s">
        <v>963</v>
      </c>
      <c r="D917" s="6" t="s">
        <v>44</v>
      </c>
      <c r="E917" s="6" t="n">
        <v>24</v>
      </c>
      <c r="F917" s="6" t="s">
        <v>51</v>
      </c>
      <c r="G917" s="6" t="n">
        <v>1</v>
      </c>
      <c r="H917" s="8" t="n">
        <v>30</v>
      </c>
      <c r="I917" s="8" t="n">
        <f aca="false">G917*H917</f>
        <v>30</v>
      </c>
    </row>
    <row r="918" customFormat="false" ht="15" hidden="false" customHeight="false" outlineLevel="0" collapsed="false">
      <c r="A918" s="6" t="n">
        <v>199</v>
      </c>
      <c r="B918" s="7" t="n">
        <v>45264</v>
      </c>
      <c r="C918" s="6" t="s">
        <v>964</v>
      </c>
      <c r="D918" s="6" t="s">
        <v>44</v>
      </c>
      <c r="E918" s="6" t="n">
        <v>45</v>
      </c>
      <c r="F918" s="6" t="s">
        <v>45</v>
      </c>
      <c r="G918" s="6" t="n">
        <v>3</v>
      </c>
      <c r="H918" s="8" t="n">
        <v>500</v>
      </c>
      <c r="I918" s="8" t="n">
        <f aca="false">G918*H918</f>
        <v>1500</v>
      </c>
    </row>
    <row r="919" customFormat="false" ht="15" hidden="false" customHeight="false" outlineLevel="0" collapsed="false">
      <c r="A919" s="6" t="n">
        <v>311</v>
      </c>
      <c r="B919" s="7" t="n">
        <v>45265</v>
      </c>
      <c r="C919" s="6" t="s">
        <v>965</v>
      </c>
      <c r="D919" s="6" t="s">
        <v>49</v>
      </c>
      <c r="E919" s="6" t="n">
        <v>32</v>
      </c>
      <c r="F919" s="6" t="s">
        <v>45</v>
      </c>
      <c r="G919" s="6" t="n">
        <v>4</v>
      </c>
      <c r="H919" s="8" t="n">
        <v>25</v>
      </c>
      <c r="I919" s="8" t="n">
        <f aca="false">G919*H919</f>
        <v>100</v>
      </c>
    </row>
    <row r="920" customFormat="false" ht="15" hidden="false" customHeight="false" outlineLevel="0" collapsed="false">
      <c r="A920" s="6" t="n">
        <v>999</v>
      </c>
      <c r="B920" s="7" t="n">
        <v>45265</v>
      </c>
      <c r="C920" s="6" t="s">
        <v>966</v>
      </c>
      <c r="D920" s="6" t="s">
        <v>49</v>
      </c>
      <c r="E920" s="6" t="n">
        <v>36</v>
      </c>
      <c r="F920" s="6" t="s">
        <v>51</v>
      </c>
      <c r="G920" s="6" t="n">
        <v>3</v>
      </c>
      <c r="H920" s="8" t="n">
        <v>50</v>
      </c>
      <c r="I920" s="8" t="n">
        <f aca="false">G920*H920</f>
        <v>150</v>
      </c>
    </row>
    <row r="921" customFormat="false" ht="15" hidden="false" customHeight="false" outlineLevel="0" collapsed="false">
      <c r="A921" s="6" t="n">
        <v>65</v>
      </c>
      <c r="B921" s="7" t="n">
        <v>45265</v>
      </c>
      <c r="C921" s="6" t="s">
        <v>967</v>
      </c>
      <c r="D921" s="6" t="s">
        <v>44</v>
      </c>
      <c r="E921" s="6" t="n">
        <v>51</v>
      </c>
      <c r="F921" s="6" t="s">
        <v>51</v>
      </c>
      <c r="G921" s="6" t="n">
        <v>4</v>
      </c>
      <c r="H921" s="8" t="n">
        <v>500</v>
      </c>
      <c r="I921" s="8" t="n">
        <f aca="false">G921*H921</f>
        <v>2000</v>
      </c>
    </row>
    <row r="922" customFormat="false" ht="15" hidden="false" customHeight="false" outlineLevel="0" collapsed="false">
      <c r="A922" s="6" t="n">
        <v>971</v>
      </c>
      <c r="B922" s="7" t="n">
        <v>45265</v>
      </c>
      <c r="C922" s="6" t="s">
        <v>968</v>
      </c>
      <c r="D922" s="6" t="s">
        <v>49</v>
      </c>
      <c r="E922" s="6" t="n">
        <v>27</v>
      </c>
      <c r="F922" s="6" t="s">
        <v>51</v>
      </c>
      <c r="G922" s="6" t="n">
        <v>4</v>
      </c>
      <c r="H922" s="8" t="n">
        <v>50</v>
      </c>
      <c r="I922" s="8" t="n">
        <f aca="false">G922*H922</f>
        <v>200</v>
      </c>
    </row>
    <row r="923" customFormat="false" ht="15" hidden="false" customHeight="false" outlineLevel="0" collapsed="false">
      <c r="A923" s="6" t="n">
        <v>791</v>
      </c>
      <c r="B923" s="7" t="n">
        <v>45265</v>
      </c>
      <c r="C923" s="6" t="s">
        <v>969</v>
      </c>
      <c r="D923" s="6" t="s">
        <v>49</v>
      </c>
      <c r="E923" s="6" t="n">
        <v>51</v>
      </c>
      <c r="F923" s="6" t="s">
        <v>45</v>
      </c>
      <c r="G923" s="6" t="n">
        <v>1</v>
      </c>
      <c r="H923" s="8" t="n">
        <v>25</v>
      </c>
      <c r="I923" s="8" t="n">
        <f aca="false">G923*H923</f>
        <v>25</v>
      </c>
    </row>
    <row r="924" customFormat="false" ht="15" hidden="false" customHeight="false" outlineLevel="0" collapsed="false">
      <c r="A924" s="6" t="n">
        <v>868</v>
      </c>
      <c r="B924" s="7" t="n">
        <v>45266</v>
      </c>
      <c r="C924" s="6" t="s">
        <v>970</v>
      </c>
      <c r="D924" s="6" t="s">
        <v>49</v>
      </c>
      <c r="E924" s="6" t="n">
        <v>25</v>
      </c>
      <c r="F924" s="6" t="s">
        <v>51</v>
      </c>
      <c r="G924" s="6" t="n">
        <v>1</v>
      </c>
      <c r="H924" s="8" t="n">
        <v>300</v>
      </c>
      <c r="I924" s="8" t="n">
        <f aca="false">G924*H924</f>
        <v>300</v>
      </c>
    </row>
    <row r="925" customFormat="false" ht="15" hidden="false" customHeight="false" outlineLevel="0" collapsed="false">
      <c r="A925" s="6" t="n">
        <v>535</v>
      </c>
      <c r="B925" s="7" t="n">
        <v>45266</v>
      </c>
      <c r="C925" s="6" t="s">
        <v>971</v>
      </c>
      <c r="D925" s="6" t="s">
        <v>44</v>
      </c>
      <c r="E925" s="6" t="n">
        <v>47</v>
      </c>
      <c r="F925" s="6" t="s">
        <v>45</v>
      </c>
      <c r="G925" s="6" t="n">
        <v>3</v>
      </c>
      <c r="H925" s="8" t="n">
        <v>30</v>
      </c>
      <c r="I925" s="8" t="n">
        <f aca="false">G925*H925</f>
        <v>90</v>
      </c>
    </row>
    <row r="926" customFormat="false" ht="15" hidden="false" customHeight="false" outlineLevel="0" collapsed="false">
      <c r="A926" s="6" t="n">
        <v>580</v>
      </c>
      <c r="B926" s="7" t="n">
        <v>45266</v>
      </c>
      <c r="C926" s="6" t="s">
        <v>972</v>
      </c>
      <c r="D926" s="6" t="s">
        <v>49</v>
      </c>
      <c r="E926" s="6" t="n">
        <v>31</v>
      </c>
      <c r="F926" s="6" t="s">
        <v>47</v>
      </c>
      <c r="G926" s="6" t="n">
        <v>3</v>
      </c>
      <c r="H926" s="8" t="n">
        <v>500</v>
      </c>
      <c r="I926" s="8" t="n">
        <f aca="false">G926*H926</f>
        <v>1500</v>
      </c>
    </row>
    <row r="927" customFormat="false" ht="15" hidden="false" customHeight="false" outlineLevel="0" collapsed="false">
      <c r="A927" s="6" t="n">
        <v>395</v>
      </c>
      <c r="B927" s="7" t="n">
        <v>45266</v>
      </c>
      <c r="C927" s="6" t="s">
        <v>973</v>
      </c>
      <c r="D927" s="6" t="s">
        <v>44</v>
      </c>
      <c r="E927" s="6" t="n">
        <v>50</v>
      </c>
      <c r="F927" s="6" t="s">
        <v>51</v>
      </c>
      <c r="G927" s="6" t="n">
        <v>2</v>
      </c>
      <c r="H927" s="8" t="n">
        <v>500</v>
      </c>
      <c r="I927" s="8" t="n">
        <f aca="false">G927*H927</f>
        <v>1000</v>
      </c>
    </row>
    <row r="928" customFormat="false" ht="15" hidden="false" customHeight="false" outlineLevel="0" collapsed="false">
      <c r="A928" s="6" t="n">
        <v>712</v>
      </c>
      <c r="B928" s="7" t="n">
        <v>45266</v>
      </c>
      <c r="C928" s="6" t="s">
        <v>974</v>
      </c>
      <c r="D928" s="6" t="s">
        <v>49</v>
      </c>
      <c r="E928" s="6" t="n">
        <v>57</v>
      </c>
      <c r="F928" s="6" t="s">
        <v>45</v>
      </c>
      <c r="G928" s="6" t="n">
        <v>2</v>
      </c>
      <c r="H928" s="8" t="n">
        <v>25</v>
      </c>
      <c r="I928" s="8" t="n">
        <f aca="false">G928*H928</f>
        <v>50</v>
      </c>
    </row>
    <row r="929" customFormat="false" ht="15" hidden="false" customHeight="false" outlineLevel="0" collapsed="false">
      <c r="A929" s="6" t="n">
        <v>531</v>
      </c>
      <c r="B929" s="7" t="n">
        <v>45267</v>
      </c>
      <c r="C929" s="6" t="s">
        <v>975</v>
      </c>
      <c r="D929" s="6" t="s">
        <v>44</v>
      </c>
      <c r="E929" s="6" t="n">
        <v>31</v>
      </c>
      <c r="F929" s="6" t="s">
        <v>51</v>
      </c>
      <c r="G929" s="6" t="n">
        <v>1</v>
      </c>
      <c r="H929" s="8" t="n">
        <v>500</v>
      </c>
      <c r="I929" s="8" t="n">
        <f aca="false">G929*H929</f>
        <v>500</v>
      </c>
    </row>
    <row r="930" customFormat="false" ht="15" hidden="false" customHeight="false" outlineLevel="0" collapsed="false">
      <c r="A930" s="6" t="n">
        <v>550</v>
      </c>
      <c r="B930" s="7" t="n">
        <v>45267</v>
      </c>
      <c r="C930" s="6" t="s">
        <v>976</v>
      </c>
      <c r="D930" s="6" t="s">
        <v>44</v>
      </c>
      <c r="E930" s="6" t="n">
        <v>40</v>
      </c>
      <c r="F930" s="6" t="s">
        <v>47</v>
      </c>
      <c r="G930" s="6" t="n">
        <v>3</v>
      </c>
      <c r="H930" s="8" t="n">
        <v>300</v>
      </c>
      <c r="I930" s="8" t="n">
        <f aca="false">G930*H930</f>
        <v>900</v>
      </c>
    </row>
    <row r="931" customFormat="false" ht="15" hidden="false" customHeight="false" outlineLevel="0" collapsed="false">
      <c r="A931" s="6" t="n">
        <v>453</v>
      </c>
      <c r="B931" s="7" t="n">
        <v>45268</v>
      </c>
      <c r="C931" s="6" t="s">
        <v>977</v>
      </c>
      <c r="D931" s="6" t="s">
        <v>49</v>
      </c>
      <c r="E931" s="6" t="n">
        <v>26</v>
      </c>
      <c r="F931" s="6" t="s">
        <v>47</v>
      </c>
      <c r="G931" s="6" t="n">
        <v>2</v>
      </c>
      <c r="H931" s="8" t="n">
        <v>500</v>
      </c>
      <c r="I931" s="8" t="n">
        <f aca="false">G931*H931</f>
        <v>1000</v>
      </c>
    </row>
    <row r="932" customFormat="false" ht="15" hidden="false" customHeight="false" outlineLevel="0" collapsed="false">
      <c r="A932" s="6" t="n">
        <v>625</v>
      </c>
      <c r="B932" s="7" t="n">
        <v>45268</v>
      </c>
      <c r="C932" s="6" t="s">
        <v>978</v>
      </c>
      <c r="D932" s="6" t="s">
        <v>44</v>
      </c>
      <c r="E932" s="6" t="n">
        <v>31</v>
      </c>
      <c r="F932" s="6" t="s">
        <v>47</v>
      </c>
      <c r="G932" s="6" t="n">
        <v>1</v>
      </c>
      <c r="H932" s="8" t="n">
        <v>300</v>
      </c>
      <c r="I932" s="8" t="n">
        <f aca="false">G932*H932</f>
        <v>300</v>
      </c>
    </row>
    <row r="933" customFormat="false" ht="15" hidden="false" customHeight="false" outlineLevel="0" collapsed="false">
      <c r="A933" s="6" t="n">
        <v>392</v>
      </c>
      <c r="B933" s="7" t="n">
        <v>45268</v>
      </c>
      <c r="C933" s="6" t="s">
        <v>979</v>
      </c>
      <c r="D933" s="6" t="s">
        <v>44</v>
      </c>
      <c r="E933" s="6" t="n">
        <v>27</v>
      </c>
      <c r="F933" s="6" t="s">
        <v>47</v>
      </c>
      <c r="G933" s="6" t="n">
        <v>2</v>
      </c>
      <c r="H933" s="8" t="n">
        <v>300</v>
      </c>
      <c r="I933" s="8" t="n">
        <f aca="false">G933*H933</f>
        <v>600</v>
      </c>
    </row>
    <row r="934" customFormat="false" ht="15" hidden="false" customHeight="false" outlineLevel="0" collapsed="false">
      <c r="A934" s="6" t="n">
        <v>540</v>
      </c>
      <c r="B934" s="7" t="n">
        <v>45268</v>
      </c>
      <c r="C934" s="6" t="s">
        <v>980</v>
      </c>
      <c r="D934" s="6" t="s">
        <v>49</v>
      </c>
      <c r="E934" s="6" t="n">
        <v>46</v>
      </c>
      <c r="F934" s="6" t="s">
        <v>51</v>
      </c>
      <c r="G934" s="6" t="n">
        <v>3</v>
      </c>
      <c r="H934" s="8" t="n">
        <v>300</v>
      </c>
      <c r="I934" s="8" t="n">
        <f aca="false">G934*H934</f>
        <v>900</v>
      </c>
    </row>
    <row r="935" customFormat="false" ht="15" hidden="false" customHeight="false" outlineLevel="0" collapsed="false">
      <c r="A935" s="6" t="n">
        <v>468</v>
      </c>
      <c r="B935" s="7" t="n">
        <v>45269</v>
      </c>
      <c r="C935" s="6" t="s">
        <v>981</v>
      </c>
      <c r="D935" s="6" t="s">
        <v>44</v>
      </c>
      <c r="E935" s="6" t="n">
        <v>40</v>
      </c>
      <c r="F935" s="6" t="s">
        <v>51</v>
      </c>
      <c r="G935" s="6" t="n">
        <v>1</v>
      </c>
      <c r="H935" s="8" t="n">
        <v>25</v>
      </c>
      <c r="I935" s="8" t="n">
        <f aca="false">G935*H935</f>
        <v>25</v>
      </c>
    </row>
    <row r="936" customFormat="false" ht="15" hidden="false" customHeight="false" outlineLevel="0" collapsed="false">
      <c r="A936" s="6" t="n">
        <v>355</v>
      </c>
      <c r="B936" s="7" t="n">
        <v>45269</v>
      </c>
      <c r="C936" s="6" t="s">
        <v>982</v>
      </c>
      <c r="D936" s="6" t="s">
        <v>49</v>
      </c>
      <c r="E936" s="6" t="n">
        <v>55</v>
      </c>
      <c r="F936" s="6" t="s">
        <v>51</v>
      </c>
      <c r="G936" s="6" t="n">
        <v>1</v>
      </c>
      <c r="H936" s="8" t="n">
        <v>500</v>
      </c>
      <c r="I936" s="8" t="n">
        <f aca="false">G936*H936</f>
        <v>500</v>
      </c>
    </row>
    <row r="937" customFormat="false" ht="15" hidden="false" customHeight="false" outlineLevel="0" collapsed="false">
      <c r="A937" s="6" t="n">
        <v>828</v>
      </c>
      <c r="B937" s="7" t="n">
        <v>45269</v>
      </c>
      <c r="C937" s="6" t="s">
        <v>983</v>
      </c>
      <c r="D937" s="6" t="s">
        <v>49</v>
      </c>
      <c r="E937" s="6" t="n">
        <v>33</v>
      </c>
      <c r="F937" s="6" t="s">
        <v>51</v>
      </c>
      <c r="G937" s="6" t="n">
        <v>4</v>
      </c>
      <c r="H937" s="8" t="n">
        <v>300</v>
      </c>
      <c r="I937" s="8" t="n">
        <f aca="false">G937*H937</f>
        <v>1200</v>
      </c>
    </row>
    <row r="938" customFormat="false" ht="15" hidden="false" customHeight="false" outlineLevel="0" collapsed="false">
      <c r="A938" s="6" t="n">
        <v>244</v>
      </c>
      <c r="B938" s="7" t="n">
        <v>45269</v>
      </c>
      <c r="C938" s="6" t="s">
        <v>984</v>
      </c>
      <c r="D938" s="6" t="s">
        <v>44</v>
      </c>
      <c r="E938" s="6" t="n">
        <v>28</v>
      </c>
      <c r="F938" s="6" t="s">
        <v>45</v>
      </c>
      <c r="G938" s="6" t="n">
        <v>2</v>
      </c>
      <c r="H938" s="8" t="n">
        <v>50</v>
      </c>
      <c r="I938" s="8" t="n">
        <f aca="false">G938*H938</f>
        <v>100</v>
      </c>
    </row>
    <row r="939" customFormat="false" ht="15" hidden="false" customHeight="false" outlineLevel="0" collapsed="false">
      <c r="A939" s="6" t="n">
        <v>752</v>
      </c>
      <c r="B939" s="7" t="n">
        <v>45269</v>
      </c>
      <c r="C939" s="6" t="s">
        <v>985</v>
      </c>
      <c r="D939" s="6" t="s">
        <v>44</v>
      </c>
      <c r="E939" s="6" t="n">
        <v>29</v>
      </c>
      <c r="F939" s="6" t="s">
        <v>47</v>
      </c>
      <c r="G939" s="6" t="n">
        <v>2</v>
      </c>
      <c r="H939" s="8" t="n">
        <v>50</v>
      </c>
      <c r="I939" s="8" t="n">
        <f aca="false">G939*H939</f>
        <v>100</v>
      </c>
    </row>
    <row r="940" customFormat="false" ht="15" hidden="false" customHeight="false" outlineLevel="0" collapsed="false">
      <c r="A940" s="6" t="n">
        <v>700</v>
      </c>
      <c r="B940" s="7" t="n">
        <v>45269</v>
      </c>
      <c r="C940" s="6" t="s">
        <v>986</v>
      </c>
      <c r="D940" s="6" t="s">
        <v>44</v>
      </c>
      <c r="E940" s="6" t="n">
        <v>36</v>
      </c>
      <c r="F940" s="6" t="s">
        <v>51</v>
      </c>
      <c r="G940" s="6" t="n">
        <v>4</v>
      </c>
      <c r="H940" s="8" t="n">
        <v>500</v>
      </c>
      <c r="I940" s="8" t="n">
        <f aca="false">G940*H940</f>
        <v>2000</v>
      </c>
    </row>
    <row r="941" customFormat="false" ht="15" hidden="false" customHeight="false" outlineLevel="0" collapsed="false">
      <c r="A941" s="6" t="n">
        <v>80</v>
      </c>
      <c r="B941" s="7" t="n">
        <v>45270</v>
      </c>
      <c r="C941" s="6" t="s">
        <v>987</v>
      </c>
      <c r="D941" s="6" t="s">
        <v>49</v>
      </c>
      <c r="E941" s="6" t="n">
        <v>64</v>
      </c>
      <c r="F941" s="6" t="s">
        <v>47</v>
      </c>
      <c r="G941" s="6" t="n">
        <v>2</v>
      </c>
      <c r="H941" s="8" t="n">
        <v>30</v>
      </c>
      <c r="I941" s="8" t="n">
        <f aca="false">G941*H941</f>
        <v>60</v>
      </c>
    </row>
    <row r="942" customFormat="false" ht="15" hidden="false" customHeight="false" outlineLevel="0" collapsed="false">
      <c r="A942" s="6" t="n">
        <v>214</v>
      </c>
      <c r="B942" s="7" t="n">
        <v>45270</v>
      </c>
      <c r="C942" s="6" t="s">
        <v>988</v>
      </c>
      <c r="D942" s="6" t="s">
        <v>44</v>
      </c>
      <c r="E942" s="6" t="n">
        <v>20</v>
      </c>
      <c r="F942" s="6" t="s">
        <v>45</v>
      </c>
      <c r="G942" s="6" t="n">
        <v>2</v>
      </c>
      <c r="H942" s="8" t="n">
        <v>30</v>
      </c>
      <c r="I942" s="8" t="n">
        <f aca="false">G942*H942</f>
        <v>60</v>
      </c>
    </row>
    <row r="943" customFormat="false" ht="15" hidden="false" customHeight="false" outlineLevel="0" collapsed="false">
      <c r="A943" s="6" t="n">
        <v>361</v>
      </c>
      <c r="B943" s="7" t="n">
        <v>45270</v>
      </c>
      <c r="C943" s="6" t="s">
        <v>989</v>
      </c>
      <c r="D943" s="6" t="s">
        <v>49</v>
      </c>
      <c r="E943" s="6" t="n">
        <v>34</v>
      </c>
      <c r="F943" s="6" t="s">
        <v>51</v>
      </c>
      <c r="G943" s="6" t="n">
        <v>4</v>
      </c>
      <c r="H943" s="8" t="n">
        <v>300</v>
      </c>
      <c r="I943" s="8" t="n">
        <f aca="false">G943*H943</f>
        <v>1200</v>
      </c>
    </row>
    <row r="944" customFormat="false" ht="15" hidden="false" customHeight="false" outlineLevel="0" collapsed="false">
      <c r="A944" s="6" t="n">
        <v>526</v>
      </c>
      <c r="B944" s="7" t="n">
        <v>45270</v>
      </c>
      <c r="C944" s="6" t="s">
        <v>990</v>
      </c>
      <c r="D944" s="6" t="s">
        <v>44</v>
      </c>
      <c r="E944" s="6" t="n">
        <v>33</v>
      </c>
      <c r="F944" s="6" t="s">
        <v>47</v>
      </c>
      <c r="G944" s="6" t="n">
        <v>2</v>
      </c>
      <c r="H944" s="8" t="n">
        <v>50</v>
      </c>
      <c r="I944" s="8" t="n">
        <f aca="false">G944*H944</f>
        <v>100</v>
      </c>
    </row>
    <row r="945" customFormat="false" ht="15" hidden="false" customHeight="false" outlineLevel="0" collapsed="false">
      <c r="A945" s="6" t="n">
        <v>586</v>
      </c>
      <c r="B945" s="7" t="n">
        <v>45271</v>
      </c>
      <c r="C945" s="6" t="s">
        <v>991</v>
      </c>
      <c r="D945" s="6" t="s">
        <v>44</v>
      </c>
      <c r="E945" s="6" t="n">
        <v>50</v>
      </c>
      <c r="F945" s="6" t="s">
        <v>51</v>
      </c>
      <c r="G945" s="6" t="n">
        <v>1</v>
      </c>
      <c r="H945" s="8" t="n">
        <v>50</v>
      </c>
      <c r="I945" s="8" t="n">
        <f aca="false">G945*H945</f>
        <v>50</v>
      </c>
    </row>
    <row r="946" customFormat="false" ht="15" hidden="false" customHeight="false" outlineLevel="0" collapsed="false">
      <c r="A946" s="6" t="n">
        <v>265</v>
      </c>
      <c r="B946" s="7" t="n">
        <v>45271</v>
      </c>
      <c r="C946" s="6" t="s">
        <v>992</v>
      </c>
      <c r="D946" s="6" t="s">
        <v>44</v>
      </c>
      <c r="E946" s="6" t="n">
        <v>55</v>
      </c>
      <c r="F946" s="6" t="s">
        <v>47</v>
      </c>
      <c r="G946" s="6" t="n">
        <v>3</v>
      </c>
      <c r="H946" s="8" t="n">
        <v>300</v>
      </c>
      <c r="I946" s="8" t="n">
        <f aca="false">G946*H946</f>
        <v>900</v>
      </c>
    </row>
    <row r="947" customFormat="false" ht="15" hidden="false" customHeight="false" outlineLevel="0" collapsed="false">
      <c r="A947" s="6" t="n">
        <v>336</v>
      </c>
      <c r="B947" s="7" t="n">
        <v>45272</v>
      </c>
      <c r="C947" s="6" t="s">
        <v>993</v>
      </c>
      <c r="D947" s="6" t="s">
        <v>49</v>
      </c>
      <c r="E947" s="6" t="n">
        <v>52</v>
      </c>
      <c r="F947" s="6" t="s">
        <v>45</v>
      </c>
      <c r="G947" s="6" t="n">
        <v>3</v>
      </c>
      <c r="H947" s="8" t="n">
        <v>50</v>
      </c>
      <c r="I947" s="8" t="n">
        <f aca="false">G947*H947</f>
        <v>150</v>
      </c>
    </row>
    <row r="948" customFormat="false" ht="15" hidden="false" customHeight="false" outlineLevel="0" collapsed="false">
      <c r="A948" s="6" t="n">
        <v>571</v>
      </c>
      <c r="B948" s="7" t="n">
        <v>45272</v>
      </c>
      <c r="C948" s="6" t="s">
        <v>994</v>
      </c>
      <c r="D948" s="6" t="s">
        <v>49</v>
      </c>
      <c r="E948" s="6" t="n">
        <v>41</v>
      </c>
      <c r="F948" s="6" t="s">
        <v>51</v>
      </c>
      <c r="G948" s="6" t="n">
        <v>1</v>
      </c>
      <c r="H948" s="8" t="n">
        <v>50</v>
      </c>
      <c r="I948" s="8" t="n">
        <f aca="false">G948*H948</f>
        <v>50</v>
      </c>
    </row>
    <row r="949" customFormat="false" ht="15" hidden="false" customHeight="false" outlineLevel="0" collapsed="false">
      <c r="A949" s="6" t="n">
        <v>771</v>
      </c>
      <c r="B949" s="7" t="n">
        <v>45273</v>
      </c>
      <c r="C949" s="6" t="s">
        <v>995</v>
      </c>
      <c r="D949" s="6" t="s">
        <v>44</v>
      </c>
      <c r="E949" s="6" t="n">
        <v>24</v>
      </c>
      <c r="F949" s="6" t="s">
        <v>51</v>
      </c>
      <c r="G949" s="6" t="n">
        <v>2</v>
      </c>
      <c r="H949" s="8" t="n">
        <v>25</v>
      </c>
      <c r="I949" s="8" t="n">
        <f aca="false">G949*H949</f>
        <v>50</v>
      </c>
    </row>
    <row r="950" customFormat="false" ht="15" hidden="false" customHeight="false" outlineLevel="0" collapsed="false">
      <c r="A950" s="6" t="n">
        <v>9</v>
      </c>
      <c r="B950" s="7" t="n">
        <v>45273</v>
      </c>
      <c r="C950" s="6" t="s">
        <v>996</v>
      </c>
      <c r="D950" s="6" t="s">
        <v>44</v>
      </c>
      <c r="E950" s="6" t="n">
        <v>63</v>
      </c>
      <c r="F950" s="6" t="s">
        <v>51</v>
      </c>
      <c r="G950" s="6" t="n">
        <v>2</v>
      </c>
      <c r="H950" s="8" t="n">
        <v>300</v>
      </c>
      <c r="I950" s="8" t="n">
        <f aca="false">G950*H950</f>
        <v>600</v>
      </c>
    </row>
    <row r="951" customFormat="false" ht="15" hidden="false" customHeight="false" outlineLevel="0" collapsed="false">
      <c r="A951" s="6" t="n">
        <v>552</v>
      </c>
      <c r="B951" s="7" t="n">
        <v>45273</v>
      </c>
      <c r="C951" s="6" t="s">
        <v>997</v>
      </c>
      <c r="D951" s="6" t="s">
        <v>49</v>
      </c>
      <c r="E951" s="6" t="n">
        <v>49</v>
      </c>
      <c r="F951" s="6" t="s">
        <v>51</v>
      </c>
      <c r="G951" s="6" t="n">
        <v>3</v>
      </c>
      <c r="H951" s="8" t="n">
        <v>25</v>
      </c>
      <c r="I951" s="8" t="n">
        <f aca="false">G951*H951</f>
        <v>75</v>
      </c>
    </row>
    <row r="952" customFormat="false" ht="15" hidden="false" customHeight="false" outlineLevel="0" collapsed="false">
      <c r="A952" s="6" t="n">
        <v>701</v>
      </c>
      <c r="B952" s="7" t="n">
        <v>45274</v>
      </c>
      <c r="C952" s="6" t="s">
        <v>998</v>
      </c>
      <c r="D952" s="6" t="s">
        <v>49</v>
      </c>
      <c r="E952" s="6" t="n">
        <v>52</v>
      </c>
      <c r="F952" s="6" t="s">
        <v>45</v>
      </c>
      <c r="G952" s="6" t="n">
        <v>2</v>
      </c>
      <c r="H952" s="8" t="n">
        <v>30</v>
      </c>
      <c r="I952" s="8" t="n">
        <f aca="false">G952*H952</f>
        <v>60</v>
      </c>
    </row>
    <row r="953" customFormat="false" ht="15" hidden="false" customHeight="false" outlineLevel="0" collapsed="false">
      <c r="A953" s="6" t="n">
        <v>496</v>
      </c>
      <c r="B953" s="7" t="n">
        <v>45274</v>
      </c>
      <c r="C953" s="6" t="s">
        <v>999</v>
      </c>
      <c r="D953" s="6" t="s">
        <v>44</v>
      </c>
      <c r="E953" s="6" t="n">
        <v>23</v>
      </c>
      <c r="F953" s="6" t="s">
        <v>47</v>
      </c>
      <c r="G953" s="6" t="n">
        <v>2</v>
      </c>
      <c r="H953" s="8" t="n">
        <v>300</v>
      </c>
      <c r="I953" s="8" t="n">
        <f aca="false">G953*H953</f>
        <v>600</v>
      </c>
    </row>
    <row r="954" customFormat="false" ht="15" hidden="false" customHeight="false" outlineLevel="0" collapsed="false">
      <c r="A954" s="6" t="n">
        <v>139</v>
      </c>
      <c r="B954" s="7" t="n">
        <v>45275</v>
      </c>
      <c r="C954" s="6" t="s">
        <v>1000</v>
      </c>
      <c r="D954" s="6" t="s">
        <v>44</v>
      </c>
      <c r="E954" s="6" t="n">
        <v>36</v>
      </c>
      <c r="F954" s="6" t="s">
        <v>45</v>
      </c>
      <c r="G954" s="6" t="n">
        <v>4</v>
      </c>
      <c r="H954" s="8" t="n">
        <v>500</v>
      </c>
      <c r="I954" s="8" t="n">
        <f aca="false">G954*H954</f>
        <v>2000</v>
      </c>
    </row>
    <row r="955" customFormat="false" ht="15" hidden="false" customHeight="false" outlineLevel="0" collapsed="false">
      <c r="A955" s="6" t="n">
        <v>151</v>
      </c>
      <c r="B955" s="7" t="n">
        <v>45275</v>
      </c>
      <c r="C955" s="6" t="s">
        <v>1001</v>
      </c>
      <c r="D955" s="6" t="s">
        <v>44</v>
      </c>
      <c r="E955" s="6" t="n">
        <v>29</v>
      </c>
      <c r="F955" s="6" t="s">
        <v>47</v>
      </c>
      <c r="G955" s="6" t="n">
        <v>1</v>
      </c>
      <c r="H955" s="8" t="n">
        <v>50</v>
      </c>
      <c r="I955" s="8" t="n">
        <f aca="false">G955*H955</f>
        <v>50</v>
      </c>
    </row>
    <row r="956" customFormat="false" ht="15" hidden="false" customHeight="false" outlineLevel="0" collapsed="false">
      <c r="A956" s="6" t="n">
        <v>83</v>
      </c>
      <c r="B956" s="7" t="n">
        <v>45276</v>
      </c>
      <c r="C956" s="6" t="s">
        <v>1002</v>
      </c>
      <c r="D956" s="6" t="s">
        <v>44</v>
      </c>
      <c r="E956" s="6" t="n">
        <v>54</v>
      </c>
      <c r="F956" s="6" t="s">
        <v>51</v>
      </c>
      <c r="G956" s="6" t="n">
        <v>2</v>
      </c>
      <c r="H956" s="8" t="n">
        <v>50</v>
      </c>
      <c r="I956" s="8" t="n">
        <f aca="false">G956*H956</f>
        <v>100</v>
      </c>
    </row>
    <row r="957" customFormat="false" ht="15" hidden="false" customHeight="false" outlineLevel="0" collapsed="false">
      <c r="A957" s="6" t="n">
        <v>153</v>
      </c>
      <c r="B957" s="7" t="n">
        <v>45276</v>
      </c>
      <c r="C957" s="6" t="s">
        <v>1003</v>
      </c>
      <c r="D957" s="6" t="s">
        <v>44</v>
      </c>
      <c r="E957" s="6" t="n">
        <v>63</v>
      </c>
      <c r="F957" s="6" t="s">
        <v>51</v>
      </c>
      <c r="G957" s="6" t="n">
        <v>2</v>
      </c>
      <c r="H957" s="8" t="n">
        <v>500</v>
      </c>
      <c r="I957" s="8" t="n">
        <f aca="false">G957*H957</f>
        <v>1000</v>
      </c>
    </row>
    <row r="958" customFormat="false" ht="15" hidden="false" customHeight="false" outlineLevel="0" collapsed="false">
      <c r="A958" s="6" t="n">
        <v>451</v>
      </c>
      <c r="B958" s="7" t="n">
        <v>45276</v>
      </c>
      <c r="C958" s="6" t="s">
        <v>1004</v>
      </c>
      <c r="D958" s="6" t="s">
        <v>49</v>
      </c>
      <c r="E958" s="6" t="n">
        <v>45</v>
      </c>
      <c r="F958" s="6" t="s">
        <v>51</v>
      </c>
      <c r="G958" s="6" t="n">
        <v>1</v>
      </c>
      <c r="H958" s="8" t="n">
        <v>30</v>
      </c>
      <c r="I958" s="8" t="n">
        <f aca="false">G958*H958</f>
        <v>30</v>
      </c>
    </row>
    <row r="959" customFormat="false" ht="15" hidden="false" customHeight="false" outlineLevel="0" collapsed="false">
      <c r="A959" s="6" t="n">
        <v>783</v>
      </c>
      <c r="B959" s="7" t="n">
        <v>45277</v>
      </c>
      <c r="C959" s="6" t="s">
        <v>1005</v>
      </c>
      <c r="D959" s="6" t="s">
        <v>49</v>
      </c>
      <c r="E959" s="6" t="n">
        <v>56</v>
      </c>
      <c r="F959" s="6" t="s">
        <v>47</v>
      </c>
      <c r="G959" s="6" t="n">
        <v>1</v>
      </c>
      <c r="H959" s="8" t="n">
        <v>300</v>
      </c>
      <c r="I959" s="8" t="n">
        <f aca="false">G959*H959</f>
        <v>300</v>
      </c>
    </row>
    <row r="960" customFormat="false" ht="15" hidden="false" customHeight="false" outlineLevel="0" collapsed="false">
      <c r="A960" s="6" t="n">
        <v>99</v>
      </c>
      <c r="B960" s="7" t="n">
        <v>45277</v>
      </c>
      <c r="C960" s="6" t="s">
        <v>1006</v>
      </c>
      <c r="D960" s="6" t="s">
        <v>49</v>
      </c>
      <c r="E960" s="6" t="n">
        <v>50</v>
      </c>
      <c r="F960" s="6" t="s">
        <v>51</v>
      </c>
      <c r="G960" s="6" t="n">
        <v>4</v>
      </c>
      <c r="H960" s="8" t="n">
        <v>300</v>
      </c>
      <c r="I960" s="8" t="n">
        <f aca="false">G960*H960</f>
        <v>1200</v>
      </c>
    </row>
    <row r="961" customFormat="false" ht="15" hidden="false" customHeight="false" outlineLevel="0" collapsed="false">
      <c r="A961" s="6" t="n">
        <v>525</v>
      </c>
      <c r="B961" s="7" t="n">
        <v>45278</v>
      </c>
      <c r="C961" s="6" t="s">
        <v>1007</v>
      </c>
      <c r="D961" s="6" t="s">
        <v>49</v>
      </c>
      <c r="E961" s="6" t="n">
        <v>47</v>
      </c>
      <c r="F961" s="6" t="s">
        <v>45</v>
      </c>
      <c r="G961" s="6" t="n">
        <v>2</v>
      </c>
      <c r="H961" s="8" t="n">
        <v>25</v>
      </c>
      <c r="I961" s="8" t="n">
        <f aca="false">G961*H961</f>
        <v>50</v>
      </c>
    </row>
    <row r="962" customFormat="false" ht="15" hidden="false" customHeight="false" outlineLevel="0" collapsed="false">
      <c r="A962" s="6" t="n">
        <v>994</v>
      </c>
      <c r="B962" s="7" t="n">
        <v>45278</v>
      </c>
      <c r="C962" s="6" t="s">
        <v>1008</v>
      </c>
      <c r="D962" s="6" t="s">
        <v>49</v>
      </c>
      <c r="E962" s="6" t="n">
        <v>51</v>
      </c>
      <c r="F962" s="6" t="s">
        <v>45</v>
      </c>
      <c r="G962" s="6" t="n">
        <v>2</v>
      </c>
      <c r="H962" s="8" t="n">
        <v>500</v>
      </c>
      <c r="I962" s="8" t="n">
        <f aca="false">G962*H962</f>
        <v>1000</v>
      </c>
    </row>
    <row r="963" customFormat="false" ht="15" hidden="false" customHeight="false" outlineLevel="0" collapsed="false">
      <c r="A963" s="6" t="n">
        <v>409</v>
      </c>
      <c r="B963" s="7" t="n">
        <v>45278</v>
      </c>
      <c r="C963" s="6" t="s">
        <v>1009</v>
      </c>
      <c r="D963" s="6" t="s">
        <v>49</v>
      </c>
      <c r="E963" s="6" t="n">
        <v>21</v>
      </c>
      <c r="F963" s="6" t="s">
        <v>51</v>
      </c>
      <c r="G963" s="6" t="n">
        <v>3</v>
      </c>
      <c r="H963" s="8" t="n">
        <v>300</v>
      </c>
      <c r="I963" s="8" t="n">
        <f aca="false">G963*H963</f>
        <v>900</v>
      </c>
    </row>
    <row r="964" customFormat="false" ht="15" hidden="false" customHeight="false" outlineLevel="0" collapsed="false">
      <c r="A964" s="6" t="n">
        <v>939</v>
      </c>
      <c r="B964" s="7" t="n">
        <v>45278</v>
      </c>
      <c r="C964" s="6" t="s">
        <v>1010</v>
      </c>
      <c r="D964" s="6" t="s">
        <v>49</v>
      </c>
      <c r="E964" s="6" t="n">
        <v>46</v>
      </c>
      <c r="F964" s="6" t="s">
        <v>51</v>
      </c>
      <c r="G964" s="6" t="n">
        <v>1</v>
      </c>
      <c r="H964" s="8" t="n">
        <v>300</v>
      </c>
      <c r="I964" s="8" t="n">
        <f aca="false">G964*H964</f>
        <v>300</v>
      </c>
    </row>
    <row r="965" customFormat="false" ht="15" hidden="false" customHeight="false" outlineLevel="0" collapsed="false">
      <c r="A965" s="6" t="n">
        <v>96</v>
      </c>
      <c r="B965" s="7" t="n">
        <v>45279</v>
      </c>
      <c r="C965" s="6" t="s">
        <v>1011</v>
      </c>
      <c r="D965" s="6" t="s">
        <v>49</v>
      </c>
      <c r="E965" s="6" t="n">
        <v>44</v>
      </c>
      <c r="F965" s="6" t="s">
        <v>47</v>
      </c>
      <c r="G965" s="6" t="n">
        <v>2</v>
      </c>
      <c r="H965" s="8" t="n">
        <v>300</v>
      </c>
      <c r="I965" s="8" t="n">
        <f aca="false">G965*H965</f>
        <v>600</v>
      </c>
    </row>
    <row r="966" customFormat="false" ht="15" hidden="false" customHeight="false" outlineLevel="0" collapsed="false">
      <c r="A966" s="6" t="n">
        <v>982</v>
      </c>
      <c r="B966" s="7" t="n">
        <v>45279</v>
      </c>
      <c r="C966" s="6" t="s">
        <v>1012</v>
      </c>
      <c r="D966" s="6" t="s">
        <v>49</v>
      </c>
      <c r="E966" s="6" t="n">
        <v>46</v>
      </c>
      <c r="F966" s="6" t="s">
        <v>45</v>
      </c>
      <c r="G966" s="6" t="n">
        <v>3</v>
      </c>
      <c r="H966" s="8" t="n">
        <v>30</v>
      </c>
      <c r="I966" s="8" t="n">
        <f aca="false">G966*H966</f>
        <v>90</v>
      </c>
    </row>
    <row r="967" customFormat="false" ht="15" hidden="false" customHeight="false" outlineLevel="0" collapsed="false">
      <c r="A967" s="6" t="n">
        <v>609</v>
      </c>
      <c r="B967" s="7" t="n">
        <v>45279</v>
      </c>
      <c r="C967" s="6" t="s">
        <v>1013</v>
      </c>
      <c r="D967" s="6" t="s">
        <v>49</v>
      </c>
      <c r="E967" s="6" t="n">
        <v>47</v>
      </c>
      <c r="F967" s="6" t="s">
        <v>47</v>
      </c>
      <c r="G967" s="6" t="n">
        <v>2</v>
      </c>
      <c r="H967" s="8" t="n">
        <v>50</v>
      </c>
      <c r="I967" s="8" t="n">
        <f aca="false">G967*H967</f>
        <v>100</v>
      </c>
    </row>
    <row r="968" customFormat="false" ht="15" hidden="false" customHeight="false" outlineLevel="0" collapsed="false">
      <c r="A968" s="6" t="n">
        <v>777</v>
      </c>
      <c r="B968" s="7" t="n">
        <v>45280</v>
      </c>
      <c r="C968" s="6" t="s">
        <v>1014</v>
      </c>
      <c r="D968" s="6" t="s">
        <v>44</v>
      </c>
      <c r="E968" s="6" t="n">
        <v>48</v>
      </c>
      <c r="F968" s="6" t="s">
        <v>51</v>
      </c>
      <c r="G968" s="6" t="n">
        <v>3</v>
      </c>
      <c r="H968" s="8" t="n">
        <v>50</v>
      </c>
      <c r="I968" s="8" t="n">
        <f aca="false">G968*H968</f>
        <v>150</v>
      </c>
    </row>
    <row r="969" customFormat="false" ht="15" hidden="false" customHeight="false" outlineLevel="0" collapsed="false">
      <c r="A969" s="6" t="n">
        <v>209</v>
      </c>
      <c r="B969" s="7" t="n">
        <v>45280</v>
      </c>
      <c r="C969" s="6" t="s">
        <v>1015</v>
      </c>
      <c r="D969" s="6" t="s">
        <v>49</v>
      </c>
      <c r="E969" s="6" t="n">
        <v>30</v>
      </c>
      <c r="F969" s="6" t="s">
        <v>51</v>
      </c>
      <c r="G969" s="6" t="n">
        <v>4</v>
      </c>
      <c r="H969" s="8" t="n">
        <v>50</v>
      </c>
      <c r="I969" s="8" t="n">
        <f aca="false">G969*H969</f>
        <v>200</v>
      </c>
    </row>
    <row r="970" customFormat="false" ht="15" hidden="false" customHeight="false" outlineLevel="0" collapsed="false">
      <c r="A970" s="6" t="n">
        <v>890</v>
      </c>
      <c r="B970" s="7" t="n">
        <v>45280</v>
      </c>
      <c r="C970" s="6" t="s">
        <v>1016</v>
      </c>
      <c r="D970" s="6" t="s">
        <v>44</v>
      </c>
      <c r="E970" s="6" t="n">
        <v>34</v>
      </c>
      <c r="F970" s="6" t="s">
        <v>51</v>
      </c>
      <c r="G970" s="6" t="n">
        <v>2</v>
      </c>
      <c r="H970" s="8" t="n">
        <v>25</v>
      </c>
      <c r="I970" s="8" t="n">
        <f aca="false">G970*H970</f>
        <v>50</v>
      </c>
    </row>
    <row r="971" customFormat="false" ht="15" hidden="false" customHeight="false" outlineLevel="0" collapsed="false">
      <c r="A971" s="6" t="n">
        <v>435</v>
      </c>
      <c r="B971" s="7" t="n">
        <v>45280</v>
      </c>
      <c r="C971" s="6" t="s">
        <v>1017</v>
      </c>
      <c r="D971" s="6" t="s">
        <v>49</v>
      </c>
      <c r="E971" s="6" t="n">
        <v>30</v>
      </c>
      <c r="F971" s="6" t="s">
        <v>45</v>
      </c>
      <c r="G971" s="6" t="n">
        <v>3</v>
      </c>
      <c r="H971" s="8" t="n">
        <v>300</v>
      </c>
      <c r="I971" s="8" t="n">
        <f aca="false">G971*H971</f>
        <v>900</v>
      </c>
    </row>
    <row r="972" customFormat="false" ht="15" hidden="false" customHeight="false" outlineLevel="0" collapsed="false">
      <c r="A972" s="6" t="n">
        <v>854</v>
      </c>
      <c r="B972" s="7" t="n">
        <v>45280</v>
      </c>
      <c r="C972" s="6" t="s">
        <v>1018</v>
      </c>
      <c r="D972" s="6" t="s">
        <v>44</v>
      </c>
      <c r="E972" s="6" t="n">
        <v>29</v>
      </c>
      <c r="F972" s="6" t="s">
        <v>47</v>
      </c>
      <c r="G972" s="6" t="n">
        <v>1</v>
      </c>
      <c r="H972" s="8" t="n">
        <v>50</v>
      </c>
      <c r="I972" s="8" t="n">
        <f aca="false">G972*H972</f>
        <v>50</v>
      </c>
    </row>
    <row r="973" customFormat="false" ht="15" hidden="false" customHeight="false" outlineLevel="0" collapsed="false">
      <c r="A973" s="6" t="n">
        <v>865</v>
      </c>
      <c r="B973" s="7" t="n">
        <v>45281</v>
      </c>
      <c r="C973" s="6" t="s">
        <v>1019</v>
      </c>
      <c r="D973" s="6" t="s">
        <v>49</v>
      </c>
      <c r="E973" s="6" t="n">
        <v>42</v>
      </c>
      <c r="F973" s="6" t="s">
        <v>47</v>
      </c>
      <c r="G973" s="6" t="n">
        <v>1</v>
      </c>
      <c r="H973" s="8" t="n">
        <v>300</v>
      </c>
      <c r="I973" s="8" t="n">
        <f aca="false">G973*H973</f>
        <v>300</v>
      </c>
    </row>
    <row r="974" customFormat="false" ht="15" hidden="false" customHeight="false" outlineLevel="0" collapsed="false">
      <c r="A974" s="6" t="n">
        <v>662</v>
      </c>
      <c r="B974" s="7" t="n">
        <v>45282</v>
      </c>
      <c r="C974" s="6" t="s">
        <v>1020</v>
      </c>
      <c r="D974" s="6" t="s">
        <v>44</v>
      </c>
      <c r="E974" s="6" t="n">
        <v>48</v>
      </c>
      <c r="F974" s="6" t="s">
        <v>45</v>
      </c>
      <c r="G974" s="6" t="n">
        <v>2</v>
      </c>
      <c r="H974" s="8" t="n">
        <v>500</v>
      </c>
      <c r="I974" s="8" t="n">
        <f aca="false">G974*H974</f>
        <v>1000</v>
      </c>
    </row>
    <row r="975" customFormat="false" ht="15" hidden="false" customHeight="false" outlineLevel="0" collapsed="false">
      <c r="A975" s="6" t="n">
        <v>678</v>
      </c>
      <c r="B975" s="7" t="n">
        <v>45283</v>
      </c>
      <c r="C975" s="6" t="s">
        <v>1021</v>
      </c>
      <c r="D975" s="6" t="s">
        <v>49</v>
      </c>
      <c r="E975" s="6" t="n">
        <v>60</v>
      </c>
      <c r="F975" s="6" t="s">
        <v>51</v>
      </c>
      <c r="G975" s="6" t="n">
        <v>3</v>
      </c>
      <c r="H975" s="8" t="n">
        <v>300</v>
      </c>
      <c r="I975" s="8" t="n">
        <f aca="false">G975*H975</f>
        <v>900</v>
      </c>
    </row>
    <row r="976" customFormat="false" ht="15" hidden="false" customHeight="false" outlineLevel="0" collapsed="false">
      <c r="A976" s="6" t="n">
        <v>615</v>
      </c>
      <c r="B976" s="7" t="n">
        <v>45283</v>
      </c>
      <c r="C976" s="6" t="s">
        <v>1022</v>
      </c>
      <c r="D976" s="6" t="s">
        <v>49</v>
      </c>
      <c r="E976" s="6" t="n">
        <v>61</v>
      </c>
      <c r="F976" s="6" t="s">
        <v>47</v>
      </c>
      <c r="G976" s="6" t="n">
        <v>4</v>
      </c>
      <c r="H976" s="8" t="n">
        <v>25</v>
      </c>
      <c r="I976" s="8" t="n">
        <f aca="false">G976*H976</f>
        <v>100</v>
      </c>
    </row>
    <row r="977" customFormat="false" ht="15" hidden="false" customHeight="false" outlineLevel="0" collapsed="false">
      <c r="A977" s="6" t="n">
        <v>602</v>
      </c>
      <c r="B977" s="7" t="n">
        <v>45283</v>
      </c>
      <c r="C977" s="6" t="s">
        <v>1023</v>
      </c>
      <c r="D977" s="6" t="s">
        <v>49</v>
      </c>
      <c r="E977" s="6" t="n">
        <v>20</v>
      </c>
      <c r="F977" s="6" t="s">
        <v>51</v>
      </c>
      <c r="G977" s="6" t="n">
        <v>1</v>
      </c>
      <c r="H977" s="8" t="n">
        <v>300</v>
      </c>
      <c r="I977" s="8" t="n">
        <f aca="false">G977*H977</f>
        <v>300</v>
      </c>
    </row>
    <row r="978" customFormat="false" ht="15" hidden="false" customHeight="false" outlineLevel="0" collapsed="false">
      <c r="A978" s="6" t="n">
        <v>544</v>
      </c>
      <c r="B978" s="7" t="n">
        <v>45283</v>
      </c>
      <c r="C978" s="6" t="s">
        <v>1024</v>
      </c>
      <c r="D978" s="6" t="s">
        <v>49</v>
      </c>
      <c r="E978" s="6" t="n">
        <v>27</v>
      </c>
      <c r="F978" s="6" t="s">
        <v>51</v>
      </c>
      <c r="G978" s="6" t="n">
        <v>1</v>
      </c>
      <c r="H978" s="8" t="n">
        <v>25</v>
      </c>
      <c r="I978" s="8" t="n">
        <f aca="false">G978*H978</f>
        <v>25</v>
      </c>
    </row>
    <row r="979" customFormat="false" ht="15" hidden="false" customHeight="false" outlineLevel="0" collapsed="false">
      <c r="A979" s="6" t="n">
        <v>781</v>
      </c>
      <c r="B979" s="7" t="n">
        <v>45283</v>
      </c>
      <c r="C979" s="6" t="s">
        <v>1025</v>
      </c>
      <c r="D979" s="6" t="s">
        <v>44</v>
      </c>
      <c r="E979" s="6" t="n">
        <v>35</v>
      </c>
      <c r="F979" s="6" t="s">
        <v>45</v>
      </c>
      <c r="G979" s="6" t="n">
        <v>1</v>
      </c>
      <c r="H979" s="8" t="n">
        <v>500</v>
      </c>
      <c r="I979" s="8" t="n">
        <f aca="false">G979*H979</f>
        <v>500</v>
      </c>
    </row>
    <row r="980" customFormat="false" ht="15" hidden="false" customHeight="false" outlineLevel="0" collapsed="false">
      <c r="A980" s="6" t="n">
        <v>309</v>
      </c>
      <c r="B980" s="7" t="n">
        <v>45283</v>
      </c>
      <c r="C980" s="6" t="s">
        <v>1026</v>
      </c>
      <c r="D980" s="6" t="s">
        <v>49</v>
      </c>
      <c r="E980" s="6" t="n">
        <v>26</v>
      </c>
      <c r="F980" s="6" t="s">
        <v>45</v>
      </c>
      <c r="G980" s="6" t="n">
        <v>1</v>
      </c>
      <c r="H980" s="8" t="n">
        <v>25</v>
      </c>
      <c r="I980" s="8" t="n">
        <f aca="false">G980*H980</f>
        <v>25</v>
      </c>
    </row>
    <row r="981" customFormat="false" ht="15" hidden="false" customHeight="false" outlineLevel="0" collapsed="false">
      <c r="A981" s="6" t="n">
        <v>34</v>
      </c>
      <c r="B981" s="7" t="n">
        <v>45284</v>
      </c>
      <c r="C981" s="6" t="s">
        <v>1027</v>
      </c>
      <c r="D981" s="6" t="s">
        <v>49</v>
      </c>
      <c r="E981" s="6" t="n">
        <v>51</v>
      </c>
      <c r="F981" s="6" t="s">
        <v>47</v>
      </c>
      <c r="G981" s="6" t="n">
        <v>3</v>
      </c>
      <c r="H981" s="8" t="n">
        <v>50</v>
      </c>
      <c r="I981" s="8" t="n">
        <f aca="false">G981*H981</f>
        <v>150</v>
      </c>
    </row>
    <row r="982" customFormat="false" ht="15" hidden="false" customHeight="false" outlineLevel="0" collapsed="false">
      <c r="A982" s="6" t="n">
        <v>916</v>
      </c>
      <c r="B982" s="7" t="n">
        <v>45284</v>
      </c>
      <c r="C982" s="6" t="s">
        <v>1028</v>
      </c>
      <c r="D982" s="6" t="s">
        <v>49</v>
      </c>
      <c r="E982" s="6" t="n">
        <v>32</v>
      </c>
      <c r="F982" s="6" t="s">
        <v>51</v>
      </c>
      <c r="G982" s="6" t="n">
        <v>1</v>
      </c>
      <c r="H982" s="8" t="n">
        <v>50</v>
      </c>
      <c r="I982" s="8" t="n">
        <f aca="false">G982*H982</f>
        <v>50</v>
      </c>
    </row>
    <row r="983" customFormat="false" ht="15" hidden="false" customHeight="false" outlineLevel="0" collapsed="false">
      <c r="A983" s="6" t="n">
        <v>757</v>
      </c>
      <c r="B983" s="7" t="n">
        <v>45285</v>
      </c>
      <c r="C983" s="6" t="s">
        <v>1029</v>
      </c>
      <c r="D983" s="6" t="s">
        <v>49</v>
      </c>
      <c r="E983" s="6" t="n">
        <v>43</v>
      </c>
      <c r="F983" s="6" t="s">
        <v>51</v>
      </c>
      <c r="G983" s="6" t="n">
        <v>4</v>
      </c>
      <c r="H983" s="8" t="n">
        <v>300</v>
      </c>
      <c r="I983" s="8" t="n">
        <f aca="false">G983*H983</f>
        <v>1200</v>
      </c>
    </row>
    <row r="984" customFormat="false" ht="15" hidden="false" customHeight="false" outlineLevel="0" collapsed="false">
      <c r="A984" s="6" t="n">
        <v>82</v>
      </c>
      <c r="B984" s="7" t="n">
        <v>45286</v>
      </c>
      <c r="C984" s="6" t="s">
        <v>1030</v>
      </c>
      <c r="D984" s="6" t="s">
        <v>49</v>
      </c>
      <c r="E984" s="6" t="n">
        <v>32</v>
      </c>
      <c r="F984" s="6" t="s">
        <v>45</v>
      </c>
      <c r="G984" s="6" t="n">
        <v>4</v>
      </c>
      <c r="H984" s="8" t="n">
        <v>50</v>
      </c>
      <c r="I984" s="8" t="n">
        <f aca="false">G984*H984</f>
        <v>200</v>
      </c>
    </row>
    <row r="985" customFormat="false" ht="15" hidden="false" customHeight="false" outlineLevel="0" collapsed="false">
      <c r="A985" s="6" t="n">
        <v>25</v>
      </c>
      <c r="B985" s="7" t="n">
        <v>45286</v>
      </c>
      <c r="C985" s="6" t="s">
        <v>1031</v>
      </c>
      <c r="D985" s="6" t="s">
        <v>49</v>
      </c>
      <c r="E985" s="6" t="n">
        <v>64</v>
      </c>
      <c r="F985" s="6" t="s">
        <v>45</v>
      </c>
      <c r="G985" s="6" t="n">
        <v>1</v>
      </c>
      <c r="H985" s="8" t="n">
        <v>50</v>
      </c>
      <c r="I985" s="8" t="n">
        <f aca="false">G985*H985</f>
        <v>50</v>
      </c>
    </row>
    <row r="986" customFormat="false" ht="15" hidden="false" customHeight="false" outlineLevel="0" collapsed="false">
      <c r="A986" s="6" t="n">
        <v>842</v>
      </c>
      <c r="B986" s="7" t="n">
        <v>45286</v>
      </c>
      <c r="C986" s="6" t="s">
        <v>1032</v>
      </c>
      <c r="D986" s="6" t="s">
        <v>49</v>
      </c>
      <c r="E986" s="6" t="n">
        <v>47</v>
      </c>
      <c r="F986" s="6" t="s">
        <v>47</v>
      </c>
      <c r="G986" s="6" t="n">
        <v>2</v>
      </c>
      <c r="H986" s="8" t="n">
        <v>300</v>
      </c>
      <c r="I986" s="8" t="n">
        <f aca="false">G986*H986</f>
        <v>600</v>
      </c>
    </row>
    <row r="987" customFormat="false" ht="15" hidden="false" customHeight="false" outlineLevel="0" collapsed="false">
      <c r="A987" s="6" t="n">
        <v>472</v>
      </c>
      <c r="B987" s="7" t="n">
        <v>45286</v>
      </c>
      <c r="C987" s="6" t="s">
        <v>1033</v>
      </c>
      <c r="D987" s="6" t="s">
        <v>49</v>
      </c>
      <c r="E987" s="6" t="n">
        <v>38</v>
      </c>
      <c r="F987" s="6" t="s">
        <v>45</v>
      </c>
      <c r="G987" s="6" t="n">
        <v>3</v>
      </c>
      <c r="H987" s="8" t="n">
        <v>300</v>
      </c>
      <c r="I987" s="8" t="n">
        <f aca="false">G987*H987</f>
        <v>900</v>
      </c>
    </row>
    <row r="988" customFormat="false" ht="15" hidden="false" customHeight="false" outlineLevel="0" collapsed="false">
      <c r="A988" s="6" t="n">
        <v>991</v>
      </c>
      <c r="B988" s="7" t="n">
        <v>45286</v>
      </c>
      <c r="C988" s="6" t="s">
        <v>1034</v>
      </c>
      <c r="D988" s="6" t="s">
        <v>49</v>
      </c>
      <c r="E988" s="6" t="n">
        <v>34</v>
      </c>
      <c r="F988" s="6" t="s">
        <v>47</v>
      </c>
      <c r="G988" s="6" t="n">
        <v>2</v>
      </c>
      <c r="H988" s="8" t="n">
        <v>50</v>
      </c>
      <c r="I988" s="8" t="n">
        <f aca="false">G988*H988</f>
        <v>100</v>
      </c>
    </row>
    <row r="989" customFormat="false" ht="15" hidden="false" customHeight="false" outlineLevel="0" collapsed="false">
      <c r="A989" s="6" t="n">
        <v>879</v>
      </c>
      <c r="B989" s="7" t="n">
        <v>45286</v>
      </c>
      <c r="C989" s="6" t="s">
        <v>1035</v>
      </c>
      <c r="D989" s="6" t="s">
        <v>44</v>
      </c>
      <c r="E989" s="6" t="n">
        <v>23</v>
      </c>
      <c r="F989" s="6" t="s">
        <v>47</v>
      </c>
      <c r="G989" s="6" t="n">
        <v>1</v>
      </c>
      <c r="H989" s="8" t="n">
        <v>30</v>
      </c>
      <c r="I989" s="8" t="n">
        <f aca="false">G989*H989</f>
        <v>30</v>
      </c>
    </row>
    <row r="990" customFormat="false" ht="15" hidden="false" customHeight="false" outlineLevel="0" collapsed="false">
      <c r="A990" s="6" t="n">
        <v>62</v>
      </c>
      <c r="B990" s="7" t="n">
        <v>45287</v>
      </c>
      <c r="C990" s="6" t="s">
        <v>1036</v>
      </c>
      <c r="D990" s="6" t="s">
        <v>44</v>
      </c>
      <c r="E990" s="6" t="n">
        <v>18</v>
      </c>
      <c r="F990" s="6" t="s">
        <v>45</v>
      </c>
      <c r="G990" s="6" t="n">
        <v>2</v>
      </c>
      <c r="H990" s="8" t="n">
        <v>50</v>
      </c>
      <c r="I990" s="8" t="n">
        <f aca="false">G990*H990</f>
        <v>100</v>
      </c>
    </row>
    <row r="991" customFormat="false" ht="15" hidden="false" customHeight="false" outlineLevel="0" collapsed="false">
      <c r="A991" s="6" t="n">
        <v>386</v>
      </c>
      <c r="B991" s="7" t="n">
        <v>45287</v>
      </c>
      <c r="C991" s="6" t="s">
        <v>1037</v>
      </c>
      <c r="D991" s="6" t="s">
        <v>49</v>
      </c>
      <c r="E991" s="6" t="n">
        <v>54</v>
      </c>
      <c r="F991" s="6" t="s">
        <v>51</v>
      </c>
      <c r="G991" s="6" t="n">
        <v>2</v>
      </c>
      <c r="H991" s="8" t="n">
        <v>300</v>
      </c>
      <c r="I991" s="8" t="n">
        <f aca="false">G991*H991</f>
        <v>600</v>
      </c>
    </row>
    <row r="992" customFormat="false" ht="15" hidden="false" customHeight="false" outlineLevel="0" collapsed="false">
      <c r="A992" s="6" t="n">
        <v>989</v>
      </c>
      <c r="B992" s="7" t="n">
        <v>45288</v>
      </c>
      <c r="C992" s="6" t="s">
        <v>1038</v>
      </c>
      <c r="D992" s="6" t="s">
        <v>49</v>
      </c>
      <c r="E992" s="6" t="n">
        <v>44</v>
      </c>
      <c r="F992" s="6" t="s">
        <v>51</v>
      </c>
      <c r="G992" s="6" t="n">
        <v>1</v>
      </c>
      <c r="H992" s="8" t="n">
        <v>25</v>
      </c>
      <c r="I992" s="8" t="n">
        <f aca="false">G992*H992</f>
        <v>25</v>
      </c>
    </row>
    <row r="993" customFormat="false" ht="15" hidden="false" customHeight="false" outlineLevel="0" collapsed="false">
      <c r="A993" s="6" t="n">
        <v>664</v>
      </c>
      <c r="B993" s="7" t="n">
        <v>45288</v>
      </c>
      <c r="C993" s="6" t="s">
        <v>1039</v>
      </c>
      <c r="D993" s="6" t="s">
        <v>49</v>
      </c>
      <c r="E993" s="6" t="n">
        <v>44</v>
      </c>
      <c r="F993" s="6" t="s">
        <v>47</v>
      </c>
      <c r="G993" s="6" t="n">
        <v>4</v>
      </c>
      <c r="H993" s="8" t="n">
        <v>500</v>
      </c>
      <c r="I993" s="8" t="n">
        <f aca="false">G993*H993</f>
        <v>2000</v>
      </c>
    </row>
    <row r="994" customFormat="false" ht="15" hidden="false" customHeight="false" outlineLevel="0" collapsed="false">
      <c r="A994" s="6" t="n">
        <v>429</v>
      </c>
      <c r="B994" s="7" t="n">
        <v>45288</v>
      </c>
      <c r="C994" s="6" t="s">
        <v>1040</v>
      </c>
      <c r="D994" s="6" t="s">
        <v>44</v>
      </c>
      <c r="E994" s="6" t="n">
        <v>64</v>
      </c>
      <c r="F994" s="6" t="s">
        <v>51</v>
      </c>
      <c r="G994" s="6" t="n">
        <v>2</v>
      </c>
      <c r="H994" s="8" t="n">
        <v>25</v>
      </c>
      <c r="I994" s="8" t="n">
        <f aca="false">G994*H994</f>
        <v>50</v>
      </c>
    </row>
    <row r="995" customFormat="false" ht="15" hidden="false" customHeight="false" outlineLevel="0" collapsed="false">
      <c r="A995" s="6" t="n">
        <v>908</v>
      </c>
      <c r="B995" s="7" t="n">
        <v>45289</v>
      </c>
      <c r="C995" s="6" t="s">
        <v>1041</v>
      </c>
      <c r="D995" s="6" t="s">
        <v>44</v>
      </c>
      <c r="E995" s="6" t="n">
        <v>46</v>
      </c>
      <c r="F995" s="6" t="s">
        <v>45</v>
      </c>
      <c r="G995" s="6" t="n">
        <v>4</v>
      </c>
      <c r="H995" s="8" t="n">
        <v>300</v>
      </c>
      <c r="I995" s="8" t="n">
        <f aca="false">G995*H995</f>
        <v>1200</v>
      </c>
    </row>
    <row r="996" customFormat="false" ht="15" hidden="false" customHeight="false" outlineLevel="0" collapsed="false">
      <c r="A996" s="6" t="n">
        <v>520</v>
      </c>
      <c r="B996" s="7" t="n">
        <v>45289</v>
      </c>
      <c r="C996" s="6" t="s">
        <v>1042</v>
      </c>
      <c r="D996" s="6" t="s">
        <v>49</v>
      </c>
      <c r="E996" s="6" t="n">
        <v>49</v>
      </c>
      <c r="F996" s="6" t="s">
        <v>51</v>
      </c>
      <c r="G996" s="6" t="n">
        <v>4</v>
      </c>
      <c r="H996" s="8" t="n">
        <v>25</v>
      </c>
      <c r="I996" s="8" t="n">
        <f aca="false">G996*H996</f>
        <v>100</v>
      </c>
    </row>
    <row r="997" customFormat="false" ht="15" hidden="false" customHeight="false" outlineLevel="0" collapsed="false">
      <c r="A997" s="6" t="n">
        <v>233</v>
      </c>
      <c r="B997" s="7" t="n">
        <v>45289</v>
      </c>
      <c r="C997" s="6" t="s">
        <v>1043</v>
      </c>
      <c r="D997" s="6" t="s">
        <v>49</v>
      </c>
      <c r="E997" s="6" t="n">
        <v>51</v>
      </c>
      <c r="F997" s="6" t="s">
        <v>45</v>
      </c>
      <c r="G997" s="6" t="n">
        <v>2</v>
      </c>
      <c r="H997" s="8" t="n">
        <v>300</v>
      </c>
      <c r="I997" s="8" t="n">
        <f aca="false">G997*H997</f>
        <v>600</v>
      </c>
    </row>
    <row r="998" customFormat="false" ht="15" hidden="false" customHeight="false" outlineLevel="0" collapsed="false">
      <c r="A998" s="6" t="n">
        <v>805</v>
      </c>
      <c r="B998" s="7" t="n">
        <v>45289</v>
      </c>
      <c r="C998" s="6" t="s">
        <v>1044</v>
      </c>
      <c r="D998" s="6" t="s">
        <v>49</v>
      </c>
      <c r="E998" s="6" t="n">
        <v>30</v>
      </c>
      <c r="F998" s="6" t="s">
        <v>45</v>
      </c>
      <c r="G998" s="6" t="n">
        <v>3</v>
      </c>
      <c r="H998" s="8" t="n">
        <v>500</v>
      </c>
      <c r="I998" s="8" t="n">
        <f aca="false">G998*H998</f>
        <v>1500</v>
      </c>
    </row>
    <row r="999" customFormat="false" ht="15" hidden="false" customHeight="false" outlineLevel="0" collapsed="false">
      <c r="A999" s="6" t="n">
        <v>857</v>
      </c>
      <c r="B999" s="7" t="n">
        <v>45291</v>
      </c>
      <c r="C999" s="6" t="s">
        <v>1045</v>
      </c>
      <c r="D999" s="6" t="s">
        <v>44</v>
      </c>
      <c r="E999" s="6" t="n">
        <v>60</v>
      </c>
      <c r="F999" s="6" t="s">
        <v>51</v>
      </c>
      <c r="G999" s="6" t="n">
        <v>2</v>
      </c>
      <c r="H999" s="8" t="n">
        <v>25</v>
      </c>
      <c r="I999" s="8" t="n">
        <f aca="false">G999*H999</f>
        <v>50</v>
      </c>
    </row>
    <row r="1000" customFormat="false" ht="15" hidden="false" customHeight="false" outlineLevel="0" collapsed="false">
      <c r="A1000" s="6" t="n">
        <v>211</v>
      </c>
      <c r="B1000" s="7" t="n">
        <v>45292</v>
      </c>
      <c r="C1000" s="6" t="s">
        <v>1046</v>
      </c>
      <c r="D1000" s="6" t="s">
        <v>44</v>
      </c>
      <c r="E1000" s="6" t="n">
        <v>42</v>
      </c>
      <c r="F1000" s="6" t="s">
        <v>45</v>
      </c>
      <c r="G1000" s="6" t="n">
        <v>3</v>
      </c>
      <c r="H1000" s="8" t="n">
        <v>500</v>
      </c>
      <c r="I1000" s="8" t="n">
        <f aca="false">G1000*H1000</f>
        <v>1500</v>
      </c>
    </row>
    <row r="1001" customFormat="false" ht="15" hidden="false" customHeight="false" outlineLevel="0" collapsed="false">
      <c r="A1001" s="6" t="n">
        <v>650</v>
      </c>
      <c r="B1001" s="7" t="n">
        <v>45292</v>
      </c>
      <c r="C1001" s="6" t="s">
        <v>1047</v>
      </c>
      <c r="D1001" s="6" t="s">
        <v>44</v>
      </c>
      <c r="E1001" s="6" t="n">
        <v>55</v>
      </c>
      <c r="F1001" s="6" t="s">
        <v>51</v>
      </c>
      <c r="G1001" s="6" t="n">
        <v>1</v>
      </c>
      <c r="H1001" s="8" t="n">
        <v>30</v>
      </c>
      <c r="I1001" s="8" t="n">
        <f aca="false">G1001*H1001</f>
        <v>30</v>
      </c>
    </row>
    <row r="1002" customFormat="false" ht="15" hidden="false" customHeight="false" outlineLevel="0" collapsed="false">
      <c r="A1002" s="9"/>
      <c r="B1002" s="10"/>
      <c r="C1002" s="9"/>
      <c r="D1002" s="9"/>
      <c r="E1002" s="9"/>
      <c r="F1002" s="9"/>
      <c r="G1002" s="9"/>
      <c r="H1002" s="11"/>
      <c r="I1002" s="8" t="str">
        <f aca="false">IF(AND(G1002&lt;&gt;"",H1002&lt;&gt;""),G1002*H1002,"")</f>
        <v/>
      </c>
    </row>
    <row r="1003" customFormat="false" ht="15" hidden="false" customHeight="false" outlineLevel="0" collapsed="false">
      <c r="A1003" s="9"/>
      <c r="B1003" s="10"/>
      <c r="C1003" s="9"/>
      <c r="D1003" s="9"/>
      <c r="E1003" s="9"/>
      <c r="F1003" s="9"/>
      <c r="G1003" s="9"/>
      <c r="H1003" s="11"/>
      <c r="I1003" s="8" t="str">
        <f aca="false">IF(AND(G1003&lt;&gt;"",H1003&lt;&gt;""),G1003*H1003,"")</f>
        <v/>
      </c>
    </row>
    <row r="1004" customFormat="false" ht="15" hidden="false" customHeight="false" outlineLevel="0" collapsed="false">
      <c r="A1004" s="9"/>
      <c r="B1004" s="10"/>
      <c r="C1004" s="9"/>
      <c r="D1004" s="9"/>
      <c r="E1004" s="9"/>
      <c r="F1004" s="9"/>
      <c r="G1004" s="9"/>
      <c r="H1004" s="11"/>
      <c r="I1004" s="8" t="str">
        <f aca="false">IF(AND(G1004&lt;&gt;"",H1004&lt;&gt;""),G1004*H1004,"")</f>
        <v/>
      </c>
    </row>
    <row r="1005" customFormat="false" ht="15" hidden="false" customHeight="false" outlineLevel="0" collapsed="false">
      <c r="A1005" s="9"/>
      <c r="B1005" s="10"/>
      <c r="C1005" s="9"/>
      <c r="D1005" s="9"/>
      <c r="E1005" s="9"/>
      <c r="F1005" s="9"/>
      <c r="G1005" s="9"/>
      <c r="H1005" s="11"/>
      <c r="I1005" s="8" t="str">
        <f aca="false">IF(AND(G1005&lt;&gt;"",H1005&lt;&gt;""),G1005*H1005,"")</f>
        <v/>
      </c>
    </row>
    <row r="1006" customFormat="false" ht="15" hidden="false" customHeight="false" outlineLevel="0" collapsed="false">
      <c r="A1006" s="9"/>
      <c r="B1006" s="10"/>
      <c r="C1006" s="9"/>
      <c r="D1006" s="9"/>
      <c r="E1006" s="9"/>
      <c r="F1006" s="9"/>
      <c r="G1006" s="9"/>
      <c r="H1006" s="11"/>
      <c r="I1006" s="8" t="str">
        <f aca="false">IF(AND(G1006&lt;&gt;"",H1006&lt;&gt;""),G1006*H1006,"")</f>
        <v/>
      </c>
    </row>
    <row r="1007" customFormat="false" ht="15" hidden="false" customHeight="false" outlineLevel="0" collapsed="false">
      <c r="A1007" s="9"/>
      <c r="B1007" s="10"/>
      <c r="C1007" s="9"/>
      <c r="D1007" s="9"/>
      <c r="E1007" s="9"/>
      <c r="F1007" s="9"/>
      <c r="G1007" s="9"/>
      <c r="H1007" s="11"/>
      <c r="I1007" s="8" t="str">
        <f aca="false">IF(AND(G1007&lt;&gt;"",H1007&lt;&gt;""),G1007*H1007,"")</f>
        <v/>
      </c>
    </row>
    <row r="1008" customFormat="false" ht="15" hidden="false" customHeight="false" outlineLevel="0" collapsed="false">
      <c r="A1008" s="9"/>
      <c r="B1008" s="10"/>
      <c r="C1008" s="9"/>
      <c r="D1008" s="9"/>
      <c r="E1008" s="9"/>
      <c r="F1008" s="9"/>
      <c r="G1008" s="9"/>
      <c r="H1008" s="11"/>
      <c r="I1008" s="8" t="str">
        <f aca="false">IF(AND(G1008&lt;&gt;"",H1008&lt;&gt;""),G1008*H1008,"")</f>
        <v/>
      </c>
    </row>
    <row r="1009" customFormat="false" ht="15" hidden="false" customHeight="false" outlineLevel="0" collapsed="false">
      <c r="A1009" s="9"/>
      <c r="B1009" s="10"/>
      <c r="C1009" s="9"/>
      <c r="D1009" s="9"/>
      <c r="E1009" s="9"/>
      <c r="F1009" s="9"/>
      <c r="G1009" s="9"/>
      <c r="H1009" s="11"/>
      <c r="I1009" s="8" t="str">
        <f aca="false">IF(AND(G1009&lt;&gt;"",H1009&lt;&gt;""),G1009*H1009,"")</f>
        <v/>
      </c>
    </row>
    <row r="1010" customFormat="false" ht="15" hidden="false" customHeight="false" outlineLevel="0" collapsed="false">
      <c r="A1010" s="9"/>
      <c r="B1010" s="10"/>
      <c r="C1010" s="9"/>
      <c r="D1010" s="9"/>
      <c r="E1010" s="9"/>
      <c r="F1010" s="9"/>
      <c r="G1010" s="9"/>
      <c r="H1010" s="11"/>
      <c r="I1010" s="8" t="str">
        <f aca="false">IF(AND(G1010&lt;&gt;"",H1010&lt;&gt;""),G1010*H1010,"")</f>
        <v/>
      </c>
    </row>
    <row r="1011" customFormat="false" ht="15" hidden="false" customHeight="false" outlineLevel="0" collapsed="false">
      <c r="A1011" s="9"/>
      <c r="B1011" s="10"/>
      <c r="C1011" s="9"/>
      <c r="D1011" s="9"/>
      <c r="E1011" s="9"/>
      <c r="F1011" s="9"/>
      <c r="G1011" s="9"/>
      <c r="H1011" s="11"/>
      <c r="I1011" s="8" t="str">
        <f aca="false">IF(AND(G1011&lt;&gt;"",H1011&lt;&gt;""),G1011*H1011,"")</f>
        <v/>
      </c>
    </row>
    <row r="1012" customFormat="false" ht="15" hidden="false" customHeight="false" outlineLevel="0" collapsed="false">
      <c r="A1012" s="9"/>
      <c r="B1012" s="10"/>
      <c r="C1012" s="9"/>
      <c r="D1012" s="9"/>
      <c r="E1012" s="9"/>
      <c r="F1012" s="9"/>
      <c r="G1012" s="9"/>
      <c r="H1012" s="11"/>
      <c r="I1012" s="8" t="str">
        <f aca="false">IF(AND(G1012&lt;&gt;"",H1012&lt;&gt;""),G1012*H1012,"")</f>
        <v/>
      </c>
    </row>
    <row r="1013" customFormat="false" ht="15" hidden="false" customHeight="false" outlineLevel="0" collapsed="false">
      <c r="A1013" s="9"/>
      <c r="B1013" s="10"/>
      <c r="C1013" s="9"/>
      <c r="D1013" s="9"/>
      <c r="E1013" s="9"/>
      <c r="F1013" s="9"/>
      <c r="G1013" s="9"/>
      <c r="H1013" s="11"/>
      <c r="I1013" s="8" t="str">
        <f aca="false">IF(AND(G1013&lt;&gt;"",H1013&lt;&gt;""),G1013*H1013,"")</f>
        <v/>
      </c>
    </row>
    <row r="1014" customFormat="false" ht="15" hidden="false" customHeight="false" outlineLevel="0" collapsed="false">
      <c r="A1014" s="9"/>
      <c r="B1014" s="10"/>
      <c r="C1014" s="9"/>
      <c r="D1014" s="9"/>
      <c r="E1014" s="9"/>
      <c r="F1014" s="9"/>
      <c r="G1014" s="9"/>
      <c r="H1014" s="11"/>
      <c r="I1014" s="8" t="str">
        <f aca="false">IF(AND(G1014&lt;&gt;"",H1014&lt;&gt;""),G1014*H1014,"")</f>
        <v/>
      </c>
    </row>
    <row r="1015" customFormat="false" ht="15" hidden="false" customHeight="false" outlineLevel="0" collapsed="false">
      <c r="A1015" s="9"/>
      <c r="B1015" s="10"/>
      <c r="C1015" s="9"/>
      <c r="D1015" s="9"/>
      <c r="E1015" s="9"/>
      <c r="F1015" s="9"/>
      <c r="G1015" s="9"/>
      <c r="H1015" s="11"/>
      <c r="I1015" s="8" t="str">
        <f aca="false">IF(AND(G1015&lt;&gt;"",H1015&lt;&gt;""),G1015*H1015,"")</f>
        <v/>
      </c>
    </row>
    <row r="1016" customFormat="false" ht="15" hidden="false" customHeight="false" outlineLevel="0" collapsed="false">
      <c r="A1016" s="9"/>
      <c r="B1016" s="10"/>
      <c r="C1016" s="9"/>
      <c r="D1016" s="9"/>
      <c r="E1016" s="9"/>
      <c r="F1016" s="9"/>
      <c r="G1016" s="9"/>
      <c r="H1016" s="11"/>
      <c r="I1016" s="8" t="str">
        <f aca="false">IF(AND(G1016&lt;&gt;"",H1016&lt;&gt;""),G1016*H1016,"")</f>
        <v/>
      </c>
    </row>
    <row r="1017" customFormat="false" ht="15" hidden="false" customHeight="false" outlineLevel="0" collapsed="false">
      <c r="A1017" s="9"/>
      <c r="B1017" s="10"/>
      <c r="C1017" s="9"/>
      <c r="D1017" s="9"/>
      <c r="E1017" s="9"/>
      <c r="F1017" s="9"/>
      <c r="G1017" s="9"/>
      <c r="H1017" s="11"/>
      <c r="I1017" s="8" t="str">
        <f aca="false">IF(AND(G1017&lt;&gt;"",H1017&lt;&gt;""),G1017*H1017,"")</f>
        <v/>
      </c>
    </row>
    <row r="1018" customFormat="false" ht="15" hidden="false" customHeight="false" outlineLevel="0" collapsed="false">
      <c r="A1018" s="9"/>
      <c r="B1018" s="10"/>
      <c r="C1018" s="9"/>
      <c r="D1018" s="9"/>
      <c r="E1018" s="9"/>
      <c r="F1018" s="9"/>
      <c r="G1018" s="9"/>
      <c r="H1018" s="11"/>
      <c r="I1018" s="8" t="str">
        <f aca="false">IF(AND(G1018&lt;&gt;"",H1018&lt;&gt;""),G1018*H1018,"")</f>
        <v/>
      </c>
    </row>
    <row r="1019" customFormat="false" ht="15" hidden="false" customHeight="false" outlineLevel="0" collapsed="false">
      <c r="A1019" s="9"/>
      <c r="B1019" s="10"/>
      <c r="C1019" s="9"/>
      <c r="D1019" s="9"/>
      <c r="E1019" s="9"/>
      <c r="F1019" s="9"/>
      <c r="G1019" s="9"/>
      <c r="H1019" s="11"/>
      <c r="I1019" s="8" t="str">
        <f aca="false">IF(AND(G1019&lt;&gt;"",H1019&lt;&gt;""),G1019*H1019,"")</f>
        <v/>
      </c>
    </row>
    <row r="1020" customFormat="false" ht="15" hidden="false" customHeight="false" outlineLevel="0" collapsed="false">
      <c r="A1020" s="9"/>
      <c r="B1020" s="10"/>
      <c r="C1020" s="9"/>
      <c r="D1020" s="9"/>
      <c r="E1020" s="9"/>
      <c r="F1020" s="9"/>
      <c r="G1020" s="9"/>
      <c r="H1020" s="11"/>
      <c r="I1020" s="8" t="str">
        <f aca="false">IF(AND(G1020&lt;&gt;"",H1020&lt;&gt;""),G1020*H1020,"")</f>
        <v/>
      </c>
    </row>
    <row r="1021" customFormat="false" ht="15" hidden="false" customHeight="false" outlineLevel="0" collapsed="false">
      <c r="A1021" s="9"/>
      <c r="B1021" s="10"/>
      <c r="C1021" s="9"/>
      <c r="D1021" s="9"/>
      <c r="E1021" s="9"/>
      <c r="F1021" s="9"/>
      <c r="G1021" s="9"/>
      <c r="H1021" s="11"/>
      <c r="I1021" s="8" t="str">
        <f aca="false">IF(AND(G1021&lt;&gt;"",H1021&lt;&gt;""),G1021*H1021,"")</f>
        <v/>
      </c>
    </row>
    <row r="1022" customFormat="false" ht="15" hidden="false" customHeight="false" outlineLevel="0" collapsed="false">
      <c r="A1022" s="9"/>
      <c r="B1022" s="10"/>
      <c r="C1022" s="9"/>
      <c r="D1022" s="9"/>
      <c r="E1022" s="9"/>
      <c r="F1022" s="9"/>
      <c r="G1022" s="9"/>
      <c r="H1022" s="11"/>
      <c r="I1022" s="8" t="str">
        <f aca="false">IF(AND(G1022&lt;&gt;"",H1022&lt;&gt;""),G1022*H1022,"")</f>
        <v/>
      </c>
    </row>
    <row r="1023" customFormat="false" ht="15" hidden="false" customHeight="false" outlineLevel="0" collapsed="false">
      <c r="A1023" s="9"/>
      <c r="B1023" s="10"/>
      <c r="C1023" s="9"/>
      <c r="D1023" s="9"/>
      <c r="E1023" s="9"/>
      <c r="F1023" s="9"/>
      <c r="G1023" s="9"/>
      <c r="H1023" s="11"/>
      <c r="I1023" s="8" t="str">
        <f aca="false">IF(AND(G1023&lt;&gt;"",H1023&lt;&gt;""),G1023*H1023,"")</f>
        <v/>
      </c>
    </row>
    <row r="1024" customFormat="false" ht="15" hidden="false" customHeight="false" outlineLevel="0" collapsed="false">
      <c r="A1024" s="9"/>
      <c r="B1024" s="10"/>
      <c r="C1024" s="9"/>
      <c r="D1024" s="9"/>
      <c r="E1024" s="9"/>
      <c r="F1024" s="9"/>
      <c r="G1024" s="9"/>
      <c r="H1024" s="11"/>
      <c r="I1024" s="8" t="str">
        <f aca="false">IF(AND(G1024&lt;&gt;"",H1024&lt;&gt;""),G1024*H1024,"")</f>
        <v/>
      </c>
    </row>
    <row r="1025" customFormat="false" ht="15" hidden="false" customHeight="false" outlineLevel="0" collapsed="false">
      <c r="A1025" s="9"/>
      <c r="B1025" s="10"/>
      <c r="C1025" s="9"/>
      <c r="D1025" s="9"/>
      <c r="E1025" s="9"/>
      <c r="F1025" s="9"/>
      <c r="G1025" s="9"/>
      <c r="H1025" s="11"/>
      <c r="I1025" s="8" t="str">
        <f aca="false">IF(AND(G1025&lt;&gt;"",H1025&lt;&gt;""),G1025*H1025,"")</f>
        <v/>
      </c>
    </row>
    <row r="1026" customFormat="false" ht="15" hidden="false" customHeight="false" outlineLevel="0" collapsed="false">
      <c r="A1026" s="9"/>
      <c r="B1026" s="10"/>
      <c r="C1026" s="9"/>
      <c r="D1026" s="9"/>
      <c r="E1026" s="9"/>
      <c r="F1026" s="9"/>
      <c r="G1026" s="9"/>
      <c r="H1026" s="11"/>
      <c r="I1026" s="8" t="str">
        <f aca="false">IF(AND(G1026&lt;&gt;"",H1026&lt;&gt;""),G1026*H1026,"")</f>
        <v/>
      </c>
    </row>
    <row r="1027" customFormat="false" ht="15" hidden="false" customHeight="false" outlineLevel="0" collapsed="false">
      <c r="A1027" s="9"/>
      <c r="B1027" s="10"/>
      <c r="C1027" s="9"/>
      <c r="D1027" s="9"/>
      <c r="E1027" s="9"/>
      <c r="F1027" s="9"/>
      <c r="G1027" s="9"/>
      <c r="H1027" s="11"/>
      <c r="I1027" s="8" t="str">
        <f aca="false">IF(AND(G1027&lt;&gt;"",H1027&lt;&gt;""),G1027*H1027,"")</f>
        <v/>
      </c>
    </row>
    <row r="1028" customFormat="false" ht="15" hidden="false" customHeight="false" outlineLevel="0" collapsed="false">
      <c r="A1028" s="9"/>
      <c r="B1028" s="10"/>
      <c r="C1028" s="9"/>
      <c r="D1028" s="9"/>
      <c r="E1028" s="9"/>
      <c r="F1028" s="9"/>
      <c r="G1028" s="9"/>
      <c r="H1028" s="11"/>
      <c r="I1028" s="8" t="str">
        <f aca="false">IF(AND(G1028&lt;&gt;"",H1028&lt;&gt;""),G1028*H1028,"")</f>
        <v/>
      </c>
    </row>
    <row r="1029" customFormat="false" ht="15" hidden="false" customHeight="false" outlineLevel="0" collapsed="false">
      <c r="A1029" s="9"/>
      <c r="B1029" s="10"/>
      <c r="C1029" s="9"/>
      <c r="D1029" s="9"/>
      <c r="E1029" s="9"/>
      <c r="F1029" s="9"/>
      <c r="G1029" s="9"/>
      <c r="H1029" s="11"/>
      <c r="I1029" s="8" t="str">
        <f aca="false">IF(AND(G1029&lt;&gt;"",H1029&lt;&gt;""),G1029*H1029,"")</f>
        <v/>
      </c>
    </row>
    <row r="1030" customFormat="false" ht="15" hidden="false" customHeight="false" outlineLevel="0" collapsed="false">
      <c r="A1030" s="9"/>
      <c r="B1030" s="10"/>
      <c r="C1030" s="9"/>
      <c r="D1030" s="9"/>
      <c r="E1030" s="9"/>
      <c r="F1030" s="9"/>
      <c r="G1030" s="9"/>
      <c r="H1030" s="11"/>
      <c r="I1030" s="8" t="str">
        <f aca="false">IF(AND(G1030&lt;&gt;"",H1030&lt;&gt;""),G1030*H1030,"")</f>
        <v/>
      </c>
    </row>
    <row r="1031" customFormat="false" ht="15" hidden="false" customHeight="false" outlineLevel="0" collapsed="false">
      <c r="A1031" s="9"/>
      <c r="B1031" s="10"/>
      <c r="C1031" s="9"/>
      <c r="D1031" s="9"/>
      <c r="E1031" s="9"/>
      <c r="F1031" s="9"/>
      <c r="G1031" s="9"/>
      <c r="H1031" s="11"/>
      <c r="I1031" s="8" t="str">
        <f aca="false">IF(AND(G1031&lt;&gt;"",H1031&lt;&gt;""),G1031*H1031,"")</f>
        <v/>
      </c>
    </row>
    <row r="1032" customFormat="false" ht="15" hidden="false" customHeight="false" outlineLevel="0" collapsed="false">
      <c r="A1032" s="9"/>
      <c r="B1032" s="10"/>
      <c r="C1032" s="9"/>
      <c r="D1032" s="9"/>
      <c r="E1032" s="9"/>
      <c r="F1032" s="9"/>
      <c r="G1032" s="9"/>
      <c r="H1032" s="11"/>
      <c r="I1032" s="8" t="str">
        <f aca="false">IF(AND(G1032&lt;&gt;"",H1032&lt;&gt;""),G1032*H1032,"")</f>
        <v/>
      </c>
    </row>
    <row r="1033" customFormat="false" ht="15" hidden="false" customHeight="false" outlineLevel="0" collapsed="false">
      <c r="A1033" s="9"/>
      <c r="B1033" s="10"/>
      <c r="C1033" s="9"/>
      <c r="D1033" s="9"/>
      <c r="E1033" s="9"/>
      <c r="F1033" s="9"/>
      <c r="G1033" s="9"/>
      <c r="H1033" s="11"/>
      <c r="I1033" s="8" t="str">
        <f aca="false">IF(AND(G1033&lt;&gt;"",H1033&lt;&gt;""),G1033*H1033,"")</f>
        <v/>
      </c>
    </row>
    <row r="1034" customFormat="false" ht="15" hidden="false" customHeight="false" outlineLevel="0" collapsed="false">
      <c r="A1034" s="9"/>
      <c r="B1034" s="10"/>
      <c r="C1034" s="9"/>
      <c r="D1034" s="9"/>
      <c r="E1034" s="9"/>
      <c r="F1034" s="9"/>
      <c r="G1034" s="9"/>
      <c r="H1034" s="11"/>
      <c r="I1034" s="8" t="str">
        <f aca="false">IF(AND(G1034&lt;&gt;"",H1034&lt;&gt;""),G1034*H1034,"")</f>
        <v/>
      </c>
    </row>
    <row r="1035" customFormat="false" ht="15" hidden="false" customHeight="false" outlineLevel="0" collapsed="false">
      <c r="A1035" s="9"/>
      <c r="B1035" s="10"/>
      <c r="C1035" s="9"/>
      <c r="D1035" s="9"/>
      <c r="E1035" s="9"/>
      <c r="F1035" s="9"/>
      <c r="G1035" s="9"/>
      <c r="H1035" s="11"/>
      <c r="I1035" s="8" t="str">
        <f aca="false">IF(AND(G1035&lt;&gt;"",H1035&lt;&gt;""),G1035*H1035,"")</f>
        <v/>
      </c>
    </row>
    <row r="1036" customFormat="false" ht="15" hidden="false" customHeight="false" outlineLevel="0" collapsed="false">
      <c r="A1036" s="9"/>
      <c r="B1036" s="10"/>
      <c r="C1036" s="9"/>
      <c r="D1036" s="9"/>
      <c r="E1036" s="9"/>
      <c r="F1036" s="9"/>
      <c r="G1036" s="9"/>
      <c r="H1036" s="11"/>
      <c r="I1036" s="8" t="str">
        <f aca="false">IF(AND(G1036&lt;&gt;"",H1036&lt;&gt;""),G1036*H1036,"")</f>
        <v/>
      </c>
    </row>
    <row r="1037" customFormat="false" ht="15" hidden="false" customHeight="false" outlineLevel="0" collapsed="false">
      <c r="A1037" s="9"/>
      <c r="B1037" s="10"/>
      <c r="C1037" s="9"/>
      <c r="D1037" s="9"/>
      <c r="E1037" s="9"/>
      <c r="F1037" s="9"/>
      <c r="G1037" s="9"/>
      <c r="H1037" s="11"/>
      <c r="I1037" s="8" t="str">
        <f aca="false">IF(AND(G1037&lt;&gt;"",H1037&lt;&gt;""),G1037*H1037,"")</f>
        <v/>
      </c>
    </row>
    <row r="1038" customFormat="false" ht="15" hidden="false" customHeight="false" outlineLevel="0" collapsed="false">
      <c r="A1038" s="9"/>
      <c r="B1038" s="10"/>
      <c r="C1038" s="9"/>
      <c r="D1038" s="9"/>
      <c r="E1038" s="9"/>
      <c r="F1038" s="9"/>
      <c r="G1038" s="9"/>
      <c r="H1038" s="11"/>
      <c r="I1038" s="8" t="str">
        <f aca="false">IF(AND(G1038&lt;&gt;"",H1038&lt;&gt;""),G1038*H1038,"")</f>
        <v/>
      </c>
    </row>
    <row r="1039" customFormat="false" ht="15" hidden="false" customHeight="false" outlineLevel="0" collapsed="false">
      <c r="A1039" s="9"/>
      <c r="B1039" s="10"/>
      <c r="C1039" s="9"/>
      <c r="D1039" s="9"/>
      <c r="E1039" s="9"/>
      <c r="F1039" s="9"/>
      <c r="G1039" s="9"/>
      <c r="H1039" s="11"/>
      <c r="I1039" s="8" t="str">
        <f aca="false">IF(AND(G1039&lt;&gt;"",H1039&lt;&gt;""),G1039*H1039,"")</f>
        <v/>
      </c>
    </row>
    <row r="1040" customFormat="false" ht="15" hidden="false" customHeight="false" outlineLevel="0" collapsed="false">
      <c r="A1040" s="9"/>
      <c r="B1040" s="10"/>
      <c r="C1040" s="9"/>
      <c r="D1040" s="9"/>
      <c r="E1040" s="9"/>
      <c r="F1040" s="9"/>
      <c r="G1040" s="9"/>
      <c r="H1040" s="11"/>
      <c r="I1040" s="8" t="str">
        <f aca="false">IF(AND(G1040&lt;&gt;"",H1040&lt;&gt;""),G1040*H1040,"")</f>
        <v/>
      </c>
    </row>
    <row r="1041" customFormat="false" ht="15" hidden="false" customHeight="false" outlineLevel="0" collapsed="false">
      <c r="A1041" s="9"/>
      <c r="B1041" s="10"/>
      <c r="C1041" s="9"/>
      <c r="D1041" s="9"/>
      <c r="E1041" s="9"/>
      <c r="F1041" s="9"/>
      <c r="G1041" s="9"/>
      <c r="H1041" s="11"/>
      <c r="I1041" s="8" t="str">
        <f aca="false">IF(AND(G1041&lt;&gt;"",H1041&lt;&gt;""),G1041*H1041,"")</f>
        <v/>
      </c>
    </row>
    <row r="1042" customFormat="false" ht="15" hidden="false" customHeight="false" outlineLevel="0" collapsed="false">
      <c r="A1042" s="9"/>
      <c r="B1042" s="10"/>
      <c r="C1042" s="9"/>
      <c r="D1042" s="9"/>
      <c r="E1042" s="9"/>
      <c r="F1042" s="9"/>
      <c r="G1042" s="9"/>
      <c r="H1042" s="11"/>
      <c r="I1042" s="8" t="str">
        <f aca="false">IF(AND(G1042&lt;&gt;"",H1042&lt;&gt;""),G1042*H1042,"")</f>
        <v/>
      </c>
    </row>
    <row r="1043" customFormat="false" ht="15" hidden="false" customHeight="false" outlineLevel="0" collapsed="false">
      <c r="A1043" s="9"/>
      <c r="B1043" s="10"/>
      <c r="C1043" s="9"/>
      <c r="D1043" s="9"/>
      <c r="E1043" s="9"/>
      <c r="F1043" s="9"/>
      <c r="G1043" s="9"/>
      <c r="H1043" s="11"/>
      <c r="I1043" s="8" t="str">
        <f aca="false">IF(AND(G1043&lt;&gt;"",H1043&lt;&gt;""),G1043*H1043,"")</f>
        <v/>
      </c>
    </row>
    <row r="1044" customFormat="false" ht="15" hidden="false" customHeight="false" outlineLevel="0" collapsed="false">
      <c r="A1044" s="9"/>
      <c r="B1044" s="10"/>
      <c r="C1044" s="9"/>
      <c r="D1044" s="9"/>
      <c r="E1044" s="9"/>
      <c r="F1044" s="9"/>
      <c r="G1044" s="9"/>
      <c r="H1044" s="11"/>
      <c r="I1044" s="8" t="str">
        <f aca="false">IF(AND(G1044&lt;&gt;"",H1044&lt;&gt;""),G1044*H1044,"")</f>
        <v/>
      </c>
    </row>
    <row r="1045" customFormat="false" ht="15" hidden="false" customHeight="false" outlineLevel="0" collapsed="false">
      <c r="A1045" s="9"/>
      <c r="B1045" s="10"/>
      <c r="C1045" s="9"/>
      <c r="D1045" s="9"/>
      <c r="E1045" s="9"/>
      <c r="F1045" s="9"/>
      <c r="G1045" s="9"/>
      <c r="H1045" s="11"/>
      <c r="I1045" s="8" t="str">
        <f aca="false">IF(AND(G1045&lt;&gt;"",H1045&lt;&gt;""),G1045*H1045,"")</f>
        <v/>
      </c>
    </row>
    <row r="1046" customFormat="false" ht="15" hidden="false" customHeight="false" outlineLevel="0" collapsed="false">
      <c r="A1046" s="9"/>
      <c r="B1046" s="10"/>
      <c r="C1046" s="9"/>
      <c r="D1046" s="9"/>
      <c r="E1046" s="9"/>
      <c r="F1046" s="9"/>
      <c r="G1046" s="9"/>
      <c r="H1046" s="11"/>
      <c r="I1046" s="8" t="str">
        <f aca="false">IF(AND(G1046&lt;&gt;"",H1046&lt;&gt;""),G1046*H1046,"")</f>
        <v/>
      </c>
    </row>
    <row r="1047" customFormat="false" ht="15" hidden="false" customHeight="false" outlineLevel="0" collapsed="false">
      <c r="A1047" s="9"/>
      <c r="B1047" s="10"/>
      <c r="C1047" s="9"/>
      <c r="D1047" s="9"/>
      <c r="E1047" s="9"/>
      <c r="F1047" s="9"/>
      <c r="G1047" s="9"/>
      <c r="H1047" s="11"/>
      <c r="I1047" s="8" t="str">
        <f aca="false">IF(AND(G1047&lt;&gt;"",H1047&lt;&gt;""),G1047*H1047,"")</f>
        <v/>
      </c>
    </row>
    <row r="1048" customFormat="false" ht="15" hidden="false" customHeight="false" outlineLevel="0" collapsed="false">
      <c r="A1048" s="9"/>
      <c r="B1048" s="10"/>
      <c r="C1048" s="9"/>
      <c r="D1048" s="9"/>
      <c r="E1048" s="9"/>
      <c r="F1048" s="9"/>
      <c r="G1048" s="9"/>
      <c r="H1048" s="11"/>
      <c r="I1048" s="8" t="str">
        <f aca="false">IF(AND(G1048&lt;&gt;"",H1048&lt;&gt;""),G1048*H1048,"")</f>
        <v/>
      </c>
    </row>
    <row r="1049" customFormat="false" ht="15" hidden="false" customHeight="false" outlineLevel="0" collapsed="false">
      <c r="A1049" s="9"/>
      <c r="B1049" s="10"/>
      <c r="C1049" s="9"/>
      <c r="D1049" s="9"/>
      <c r="E1049" s="9"/>
      <c r="F1049" s="9"/>
      <c r="G1049" s="9"/>
      <c r="H1049" s="11"/>
      <c r="I1049" s="8" t="str">
        <f aca="false">IF(AND(G1049&lt;&gt;"",H1049&lt;&gt;""),G1049*H1049,"")</f>
        <v/>
      </c>
    </row>
    <row r="1050" customFormat="false" ht="15" hidden="false" customHeight="false" outlineLevel="0" collapsed="false">
      <c r="A1050" s="9"/>
      <c r="B1050" s="10"/>
      <c r="C1050" s="9"/>
      <c r="D1050" s="9"/>
      <c r="E1050" s="9"/>
      <c r="F1050" s="9"/>
      <c r="G1050" s="9"/>
      <c r="H1050" s="11"/>
      <c r="I1050" s="8" t="str">
        <f aca="false">IF(AND(G1050&lt;&gt;"",H1050&lt;&gt;""),G1050*H1050,"")</f>
        <v/>
      </c>
    </row>
    <row r="1051" customFormat="false" ht="15" hidden="false" customHeight="false" outlineLevel="0" collapsed="false">
      <c r="A1051" s="9"/>
      <c r="B1051" s="10"/>
      <c r="C1051" s="9"/>
      <c r="D1051" s="9"/>
      <c r="E1051" s="9"/>
      <c r="F1051" s="9"/>
      <c r="G1051" s="9"/>
      <c r="H1051" s="11"/>
      <c r="I1051" s="8" t="str">
        <f aca="false">IF(AND(G1051&lt;&gt;"",H1051&lt;&gt;""),G1051*H1051,"")</f>
        <v/>
      </c>
    </row>
    <row r="1052" customFormat="false" ht="15" hidden="false" customHeight="false" outlineLevel="0" collapsed="false">
      <c r="A1052" s="9"/>
      <c r="B1052" s="10"/>
      <c r="C1052" s="9"/>
      <c r="D1052" s="9"/>
      <c r="E1052" s="9"/>
      <c r="F1052" s="9"/>
      <c r="G1052" s="9"/>
      <c r="H1052" s="11"/>
      <c r="I1052" s="8" t="str">
        <f aca="false">IF(AND(G1052&lt;&gt;"",H1052&lt;&gt;""),G1052*H1052,"")</f>
        <v/>
      </c>
    </row>
    <row r="1053" customFormat="false" ht="15" hidden="false" customHeight="false" outlineLevel="0" collapsed="false">
      <c r="A1053" s="9"/>
      <c r="B1053" s="10"/>
      <c r="C1053" s="9"/>
      <c r="D1053" s="9"/>
      <c r="E1053" s="9"/>
      <c r="F1053" s="9"/>
      <c r="G1053" s="9"/>
      <c r="H1053" s="11"/>
      <c r="I1053" s="8" t="str">
        <f aca="false">IF(AND(G1053&lt;&gt;"",H1053&lt;&gt;""),G1053*H1053,"")</f>
        <v/>
      </c>
    </row>
    <row r="1054" customFormat="false" ht="15" hidden="false" customHeight="false" outlineLevel="0" collapsed="false">
      <c r="A1054" s="9"/>
      <c r="B1054" s="10"/>
      <c r="C1054" s="9"/>
      <c r="D1054" s="9"/>
      <c r="E1054" s="9"/>
      <c r="F1054" s="9"/>
      <c r="G1054" s="9"/>
      <c r="H1054" s="11"/>
      <c r="I1054" s="8" t="str">
        <f aca="false">IF(AND(G1054&lt;&gt;"",H1054&lt;&gt;""),G1054*H1054,"")</f>
        <v/>
      </c>
    </row>
    <row r="1055" customFormat="false" ht="15" hidden="false" customHeight="false" outlineLevel="0" collapsed="false">
      <c r="A1055" s="9"/>
      <c r="B1055" s="10"/>
      <c r="C1055" s="9"/>
      <c r="D1055" s="9"/>
      <c r="E1055" s="9"/>
      <c r="F1055" s="9"/>
      <c r="G1055" s="9"/>
      <c r="H1055" s="11"/>
      <c r="I1055" s="8" t="str">
        <f aca="false">IF(AND(G1055&lt;&gt;"",H1055&lt;&gt;""),G1055*H1055,"")</f>
        <v/>
      </c>
    </row>
    <row r="1056" customFormat="false" ht="15" hidden="false" customHeight="false" outlineLevel="0" collapsed="false">
      <c r="A1056" s="9"/>
      <c r="B1056" s="10"/>
      <c r="C1056" s="9"/>
      <c r="D1056" s="9"/>
      <c r="E1056" s="9"/>
      <c r="F1056" s="9"/>
      <c r="G1056" s="9"/>
      <c r="H1056" s="11"/>
      <c r="I1056" s="8" t="str">
        <f aca="false">IF(AND(G1056&lt;&gt;"",H1056&lt;&gt;""),G1056*H1056,"")</f>
        <v/>
      </c>
    </row>
    <row r="1057" customFormat="false" ht="15" hidden="false" customHeight="false" outlineLevel="0" collapsed="false">
      <c r="A1057" s="9"/>
      <c r="B1057" s="10"/>
      <c r="C1057" s="9"/>
      <c r="D1057" s="9"/>
      <c r="E1057" s="9"/>
      <c r="F1057" s="9"/>
      <c r="G1057" s="9"/>
      <c r="H1057" s="11"/>
      <c r="I1057" s="8" t="str">
        <f aca="false">IF(AND(G1057&lt;&gt;"",H1057&lt;&gt;""),G1057*H1057,"")</f>
        <v/>
      </c>
    </row>
    <row r="1058" customFormat="false" ht="15" hidden="false" customHeight="false" outlineLevel="0" collapsed="false">
      <c r="A1058" s="9"/>
      <c r="B1058" s="10"/>
      <c r="C1058" s="9"/>
      <c r="D1058" s="9"/>
      <c r="E1058" s="9"/>
      <c r="F1058" s="9"/>
      <c r="G1058" s="9"/>
      <c r="H1058" s="11"/>
      <c r="I1058" s="8" t="str">
        <f aca="false">IF(AND(G1058&lt;&gt;"",H1058&lt;&gt;""),G1058*H1058,"")</f>
        <v/>
      </c>
    </row>
    <row r="1059" customFormat="false" ht="15" hidden="false" customHeight="false" outlineLevel="0" collapsed="false">
      <c r="A1059" s="9"/>
      <c r="B1059" s="10"/>
      <c r="C1059" s="9"/>
      <c r="D1059" s="9"/>
      <c r="E1059" s="9"/>
      <c r="F1059" s="9"/>
      <c r="G1059" s="9"/>
      <c r="H1059" s="11"/>
      <c r="I1059" s="8" t="str">
        <f aca="false">IF(AND(G1059&lt;&gt;"",H1059&lt;&gt;""),G1059*H1059,"")</f>
        <v/>
      </c>
    </row>
    <row r="1060" customFormat="false" ht="15" hidden="false" customHeight="false" outlineLevel="0" collapsed="false">
      <c r="A1060" s="9"/>
      <c r="B1060" s="10"/>
      <c r="C1060" s="9"/>
      <c r="D1060" s="9"/>
      <c r="E1060" s="9"/>
      <c r="F1060" s="9"/>
      <c r="G1060" s="9"/>
      <c r="H1060" s="11"/>
      <c r="I1060" s="8" t="str">
        <f aca="false">IF(AND(G1060&lt;&gt;"",H1060&lt;&gt;""),G1060*H1060,"")</f>
        <v/>
      </c>
    </row>
    <row r="1061" customFormat="false" ht="15" hidden="false" customHeight="false" outlineLevel="0" collapsed="false">
      <c r="A1061" s="9"/>
      <c r="B1061" s="10"/>
      <c r="C1061" s="9"/>
      <c r="D1061" s="9"/>
      <c r="E1061" s="9"/>
      <c r="F1061" s="9"/>
      <c r="G1061" s="9"/>
      <c r="H1061" s="11"/>
      <c r="I1061" s="8" t="str">
        <f aca="false">IF(AND(G1061&lt;&gt;"",H1061&lt;&gt;""),G1061*H1061,"")</f>
        <v/>
      </c>
    </row>
    <row r="1062" customFormat="false" ht="15" hidden="false" customHeight="false" outlineLevel="0" collapsed="false">
      <c r="A1062" s="9"/>
      <c r="B1062" s="10"/>
      <c r="C1062" s="9"/>
      <c r="D1062" s="9"/>
      <c r="E1062" s="9"/>
      <c r="F1062" s="9"/>
      <c r="G1062" s="9"/>
      <c r="H1062" s="11"/>
      <c r="I1062" s="8" t="str">
        <f aca="false">IF(AND(G1062&lt;&gt;"",H1062&lt;&gt;""),G1062*H1062,"")</f>
        <v/>
      </c>
    </row>
    <row r="1063" customFormat="false" ht="15" hidden="false" customHeight="false" outlineLevel="0" collapsed="false">
      <c r="A1063" s="9"/>
      <c r="B1063" s="10"/>
      <c r="C1063" s="9"/>
      <c r="D1063" s="9"/>
      <c r="E1063" s="9"/>
      <c r="F1063" s="9"/>
      <c r="G1063" s="9"/>
      <c r="H1063" s="11"/>
      <c r="I1063" s="8" t="str">
        <f aca="false">IF(AND(G1063&lt;&gt;"",H1063&lt;&gt;""),G1063*H1063,"")</f>
        <v/>
      </c>
    </row>
    <row r="1064" customFormat="false" ht="15" hidden="false" customHeight="false" outlineLevel="0" collapsed="false">
      <c r="A1064" s="9"/>
      <c r="B1064" s="10"/>
      <c r="C1064" s="9"/>
      <c r="D1064" s="9"/>
      <c r="E1064" s="9"/>
      <c r="F1064" s="9"/>
      <c r="G1064" s="9"/>
      <c r="H1064" s="11"/>
      <c r="I1064" s="8" t="str">
        <f aca="false">IF(AND(G1064&lt;&gt;"",H1064&lt;&gt;""),G1064*H1064,"")</f>
        <v/>
      </c>
    </row>
    <row r="1065" customFormat="false" ht="15" hidden="false" customHeight="false" outlineLevel="0" collapsed="false">
      <c r="A1065" s="9"/>
      <c r="B1065" s="10"/>
      <c r="C1065" s="9"/>
      <c r="D1065" s="9"/>
      <c r="E1065" s="9"/>
      <c r="F1065" s="9"/>
      <c r="G1065" s="9"/>
      <c r="H1065" s="11"/>
      <c r="I1065" s="8" t="str">
        <f aca="false">IF(AND(G1065&lt;&gt;"",H1065&lt;&gt;""),G1065*H1065,"")</f>
        <v/>
      </c>
    </row>
    <row r="1066" customFormat="false" ht="15" hidden="false" customHeight="false" outlineLevel="0" collapsed="false">
      <c r="A1066" s="9"/>
      <c r="B1066" s="10"/>
      <c r="C1066" s="9"/>
      <c r="D1066" s="9"/>
      <c r="E1066" s="9"/>
      <c r="F1066" s="9"/>
      <c r="G1066" s="9"/>
      <c r="H1066" s="11"/>
      <c r="I1066" s="8" t="str">
        <f aca="false">IF(AND(G1066&lt;&gt;"",H1066&lt;&gt;""),G1066*H1066,"")</f>
        <v/>
      </c>
    </row>
    <row r="1067" customFormat="false" ht="15" hidden="false" customHeight="false" outlineLevel="0" collapsed="false">
      <c r="A1067" s="9"/>
      <c r="B1067" s="10"/>
      <c r="C1067" s="9"/>
      <c r="D1067" s="9"/>
      <c r="E1067" s="9"/>
      <c r="F1067" s="9"/>
      <c r="G1067" s="9"/>
      <c r="H1067" s="11"/>
      <c r="I1067" s="8" t="str">
        <f aca="false">IF(AND(G1067&lt;&gt;"",H1067&lt;&gt;""),G1067*H1067,"")</f>
        <v/>
      </c>
    </row>
    <row r="1068" customFormat="false" ht="15" hidden="false" customHeight="false" outlineLevel="0" collapsed="false">
      <c r="A1068" s="9"/>
      <c r="B1068" s="10"/>
      <c r="C1068" s="9"/>
      <c r="D1068" s="9"/>
      <c r="E1068" s="9"/>
      <c r="F1068" s="9"/>
      <c r="G1068" s="9"/>
      <c r="H1068" s="11"/>
      <c r="I1068" s="8" t="str">
        <f aca="false">IF(AND(G1068&lt;&gt;"",H1068&lt;&gt;""),G1068*H1068,"")</f>
        <v/>
      </c>
    </row>
    <row r="1069" customFormat="false" ht="15" hidden="false" customHeight="false" outlineLevel="0" collapsed="false">
      <c r="A1069" s="9"/>
      <c r="B1069" s="10"/>
      <c r="C1069" s="9"/>
      <c r="D1069" s="9"/>
      <c r="E1069" s="9"/>
      <c r="F1069" s="9"/>
      <c r="G1069" s="9"/>
      <c r="H1069" s="11"/>
      <c r="I1069" s="8" t="str">
        <f aca="false">IF(AND(G1069&lt;&gt;"",H1069&lt;&gt;""),G1069*H1069,"")</f>
        <v/>
      </c>
    </row>
    <row r="1070" customFormat="false" ht="15" hidden="false" customHeight="false" outlineLevel="0" collapsed="false">
      <c r="A1070" s="9"/>
      <c r="B1070" s="10"/>
      <c r="C1070" s="9"/>
      <c r="D1070" s="9"/>
      <c r="E1070" s="9"/>
      <c r="F1070" s="9"/>
      <c r="G1070" s="9"/>
      <c r="H1070" s="11"/>
      <c r="I1070" s="8" t="str">
        <f aca="false">IF(AND(G1070&lt;&gt;"",H1070&lt;&gt;""),G1070*H1070,"")</f>
        <v/>
      </c>
    </row>
    <row r="1071" customFormat="false" ht="15" hidden="false" customHeight="false" outlineLevel="0" collapsed="false">
      <c r="A1071" s="9"/>
      <c r="B1071" s="10"/>
      <c r="C1071" s="9"/>
      <c r="D1071" s="9"/>
      <c r="E1071" s="9"/>
      <c r="F1071" s="9"/>
      <c r="G1071" s="9"/>
      <c r="H1071" s="11"/>
      <c r="I1071" s="8" t="str">
        <f aca="false">IF(AND(G1071&lt;&gt;"",H1071&lt;&gt;""),G1071*H1071,"")</f>
        <v/>
      </c>
    </row>
    <row r="1072" customFormat="false" ht="15" hidden="false" customHeight="false" outlineLevel="0" collapsed="false">
      <c r="A1072" s="9"/>
      <c r="B1072" s="10"/>
      <c r="C1072" s="9"/>
      <c r="D1072" s="9"/>
      <c r="E1072" s="9"/>
      <c r="F1072" s="9"/>
      <c r="G1072" s="9"/>
      <c r="H1072" s="11"/>
      <c r="I1072" s="8" t="str">
        <f aca="false">IF(AND(G1072&lt;&gt;"",H1072&lt;&gt;""),G1072*H1072,"")</f>
        <v/>
      </c>
    </row>
    <row r="1073" customFormat="false" ht="15" hidden="false" customHeight="false" outlineLevel="0" collapsed="false">
      <c r="A1073" s="9"/>
      <c r="B1073" s="10"/>
      <c r="C1073" s="9"/>
      <c r="D1073" s="9"/>
      <c r="E1073" s="9"/>
      <c r="F1073" s="9"/>
      <c r="G1073" s="9"/>
      <c r="H1073" s="11"/>
      <c r="I1073" s="8" t="str">
        <f aca="false">IF(AND(G1073&lt;&gt;"",H1073&lt;&gt;""),G1073*H1073,"")</f>
        <v/>
      </c>
    </row>
    <row r="1074" customFormat="false" ht="15" hidden="false" customHeight="false" outlineLevel="0" collapsed="false">
      <c r="A1074" s="9"/>
      <c r="B1074" s="10"/>
      <c r="C1074" s="9"/>
      <c r="D1074" s="9"/>
      <c r="E1074" s="9"/>
      <c r="F1074" s="9"/>
      <c r="G1074" s="9"/>
      <c r="H1074" s="11"/>
      <c r="I1074" s="8" t="str">
        <f aca="false">IF(AND(G1074&lt;&gt;"",H1074&lt;&gt;""),G1074*H1074,"")</f>
        <v/>
      </c>
    </row>
    <row r="1075" customFormat="false" ht="15" hidden="false" customHeight="false" outlineLevel="0" collapsed="false">
      <c r="A1075" s="9"/>
      <c r="B1075" s="10"/>
      <c r="C1075" s="9"/>
      <c r="D1075" s="9"/>
      <c r="E1075" s="9"/>
      <c r="F1075" s="9"/>
      <c r="G1075" s="9"/>
      <c r="H1075" s="11"/>
      <c r="I1075" s="8" t="str">
        <f aca="false">IF(AND(G1075&lt;&gt;"",H1075&lt;&gt;""),G1075*H1075,"")</f>
        <v/>
      </c>
    </row>
    <row r="1076" customFormat="false" ht="15" hidden="false" customHeight="false" outlineLevel="0" collapsed="false">
      <c r="A1076" s="9"/>
      <c r="B1076" s="10"/>
      <c r="C1076" s="9"/>
      <c r="D1076" s="9"/>
      <c r="E1076" s="9"/>
      <c r="F1076" s="9"/>
      <c r="G1076" s="9"/>
      <c r="H1076" s="11"/>
      <c r="I1076" s="8" t="str">
        <f aca="false">IF(AND(G1076&lt;&gt;"",H1076&lt;&gt;""),G1076*H1076,"")</f>
        <v/>
      </c>
    </row>
    <row r="1077" customFormat="false" ht="15" hidden="false" customHeight="false" outlineLevel="0" collapsed="false">
      <c r="A1077" s="9"/>
      <c r="B1077" s="10"/>
      <c r="C1077" s="9"/>
      <c r="D1077" s="9"/>
      <c r="E1077" s="9"/>
      <c r="F1077" s="9"/>
      <c r="G1077" s="9"/>
      <c r="H1077" s="11"/>
      <c r="I1077" s="8" t="str">
        <f aca="false">IF(AND(G1077&lt;&gt;"",H1077&lt;&gt;""),G1077*H1077,"")</f>
        <v/>
      </c>
    </row>
    <row r="1078" customFormat="false" ht="15" hidden="false" customHeight="false" outlineLevel="0" collapsed="false">
      <c r="A1078" s="9"/>
      <c r="B1078" s="10"/>
      <c r="C1078" s="9"/>
      <c r="D1078" s="9"/>
      <c r="E1078" s="9"/>
      <c r="F1078" s="9"/>
      <c r="G1078" s="9"/>
      <c r="H1078" s="11"/>
      <c r="I1078" s="8" t="str">
        <f aca="false">IF(AND(G1078&lt;&gt;"",H1078&lt;&gt;""),G1078*H1078,"")</f>
        <v/>
      </c>
    </row>
    <row r="1079" customFormat="false" ht="15" hidden="false" customHeight="false" outlineLevel="0" collapsed="false">
      <c r="A1079" s="9"/>
      <c r="B1079" s="10"/>
      <c r="C1079" s="9"/>
      <c r="D1079" s="9"/>
      <c r="E1079" s="9"/>
      <c r="F1079" s="9"/>
      <c r="G1079" s="9"/>
      <c r="H1079" s="11"/>
      <c r="I1079" s="8" t="str">
        <f aca="false">IF(AND(G1079&lt;&gt;"",H1079&lt;&gt;""),G1079*H1079,"")</f>
        <v/>
      </c>
    </row>
    <row r="1080" customFormat="false" ht="15" hidden="false" customHeight="false" outlineLevel="0" collapsed="false">
      <c r="A1080" s="9"/>
      <c r="B1080" s="10"/>
      <c r="C1080" s="9"/>
      <c r="D1080" s="9"/>
      <c r="E1080" s="9"/>
      <c r="F1080" s="9"/>
      <c r="G1080" s="9"/>
      <c r="H1080" s="11"/>
      <c r="I1080" s="8" t="str">
        <f aca="false">IF(AND(G1080&lt;&gt;"",H1080&lt;&gt;""),G1080*H1080,"")</f>
        <v/>
      </c>
    </row>
    <row r="1081" customFormat="false" ht="15" hidden="false" customHeight="false" outlineLevel="0" collapsed="false">
      <c r="A1081" s="9"/>
      <c r="B1081" s="10"/>
      <c r="C1081" s="9"/>
      <c r="D1081" s="9"/>
      <c r="E1081" s="9"/>
      <c r="F1081" s="9"/>
      <c r="G1081" s="9"/>
      <c r="H1081" s="11"/>
      <c r="I1081" s="8" t="str">
        <f aca="false">IF(AND(G1081&lt;&gt;"",H1081&lt;&gt;""),G1081*H1081,"")</f>
        <v/>
      </c>
    </row>
    <row r="1082" customFormat="false" ht="15" hidden="false" customHeight="false" outlineLevel="0" collapsed="false">
      <c r="A1082" s="9"/>
      <c r="B1082" s="10"/>
      <c r="C1082" s="9"/>
      <c r="D1082" s="9"/>
      <c r="E1082" s="9"/>
      <c r="F1082" s="9"/>
      <c r="G1082" s="9"/>
      <c r="H1082" s="11"/>
      <c r="I1082" s="8" t="str">
        <f aca="false">IF(AND(G1082&lt;&gt;"",H1082&lt;&gt;""),G1082*H1082,"")</f>
        <v/>
      </c>
    </row>
    <row r="1083" customFormat="false" ht="15" hidden="false" customHeight="false" outlineLevel="0" collapsed="false">
      <c r="A1083" s="9"/>
      <c r="B1083" s="10"/>
      <c r="C1083" s="9"/>
      <c r="D1083" s="9"/>
      <c r="E1083" s="9"/>
      <c r="F1083" s="9"/>
      <c r="G1083" s="9"/>
      <c r="H1083" s="11"/>
      <c r="I1083" s="8" t="str">
        <f aca="false">IF(AND(G1083&lt;&gt;"",H1083&lt;&gt;""),G1083*H1083,"")</f>
        <v/>
      </c>
    </row>
    <row r="1084" customFormat="false" ht="15" hidden="false" customHeight="false" outlineLevel="0" collapsed="false">
      <c r="A1084" s="9"/>
      <c r="B1084" s="10"/>
      <c r="C1084" s="9"/>
      <c r="D1084" s="9"/>
      <c r="E1084" s="9"/>
      <c r="F1084" s="9"/>
      <c r="G1084" s="9"/>
      <c r="H1084" s="11"/>
      <c r="I1084" s="8" t="str">
        <f aca="false">IF(AND(G1084&lt;&gt;"",H1084&lt;&gt;""),G1084*H1084,"")</f>
        <v/>
      </c>
    </row>
    <row r="1085" customFormat="false" ht="15" hidden="false" customHeight="false" outlineLevel="0" collapsed="false">
      <c r="A1085" s="9"/>
      <c r="B1085" s="10"/>
      <c r="C1085" s="9"/>
      <c r="D1085" s="9"/>
      <c r="E1085" s="9"/>
      <c r="F1085" s="9"/>
      <c r="G1085" s="9"/>
      <c r="H1085" s="11"/>
      <c r="I1085" s="8" t="str">
        <f aca="false">IF(AND(G1085&lt;&gt;"",H1085&lt;&gt;""),G1085*H1085,"")</f>
        <v/>
      </c>
    </row>
    <row r="1086" customFormat="false" ht="15" hidden="false" customHeight="false" outlineLevel="0" collapsed="false">
      <c r="A1086" s="9"/>
      <c r="B1086" s="10"/>
      <c r="C1086" s="9"/>
      <c r="D1086" s="9"/>
      <c r="E1086" s="9"/>
      <c r="F1086" s="9"/>
      <c r="G1086" s="9"/>
      <c r="H1086" s="11"/>
      <c r="I1086" s="8" t="str">
        <f aca="false">IF(AND(G1086&lt;&gt;"",H1086&lt;&gt;""),G1086*H1086,"")</f>
        <v/>
      </c>
    </row>
    <row r="1087" customFormat="false" ht="15" hidden="false" customHeight="false" outlineLevel="0" collapsed="false">
      <c r="A1087" s="9"/>
      <c r="B1087" s="10"/>
      <c r="C1087" s="9"/>
      <c r="D1087" s="9"/>
      <c r="E1087" s="9"/>
      <c r="F1087" s="9"/>
      <c r="G1087" s="9"/>
      <c r="H1087" s="11"/>
      <c r="I1087" s="8" t="str">
        <f aca="false">IF(AND(G1087&lt;&gt;"",H1087&lt;&gt;""),G1087*H1087,"")</f>
        <v/>
      </c>
    </row>
    <row r="1088" customFormat="false" ht="15" hidden="false" customHeight="false" outlineLevel="0" collapsed="false">
      <c r="A1088" s="9"/>
      <c r="B1088" s="10"/>
      <c r="C1088" s="9"/>
      <c r="D1088" s="9"/>
      <c r="E1088" s="9"/>
      <c r="F1088" s="9"/>
      <c r="G1088" s="9"/>
      <c r="H1088" s="11"/>
      <c r="I1088" s="8" t="str">
        <f aca="false">IF(AND(G1088&lt;&gt;"",H1088&lt;&gt;""),G1088*H1088,"")</f>
        <v/>
      </c>
    </row>
    <row r="1089" customFormat="false" ht="15" hidden="false" customHeight="false" outlineLevel="0" collapsed="false">
      <c r="A1089" s="9"/>
      <c r="B1089" s="10"/>
      <c r="C1089" s="9"/>
      <c r="D1089" s="9"/>
      <c r="E1089" s="9"/>
      <c r="F1089" s="9"/>
      <c r="G1089" s="9"/>
      <c r="H1089" s="11"/>
      <c r="I1089" s="8" t="str">
        <f aca="false">IF(AND(G1089&lt;&gt;"",H1089&lt;&gt;""),G1089*H1089,"")</f>
        <v/>
      </c>
    </row>
    <row r="1090" customFormat="false" ht="15" hidden="false" customHeight="false" outlineLevel="0" collapsed="false">
      <c r="A1090" s="9"/>
      <c r="B1090" s="10"/>
      <c r="C1090" s="9"/>
      <c r="D1090" s="9"/>
      <c r="E1090" s="9"/>
      <c r="F1090" s="9"/>
      <c r="G1090" s="9"/>
      <c r="H1090" s="11"/>
      <c r="I1090" s="8" t="str">
        <f aca="false">IF(AND(G1090&lt;&gt;"",H1090&lt;&gt;""),G1090*H1090,"")</f>
        <v/>
      </c>
    </row>
    <row r="1091" customFormat="false" ht="15" hidden="false" customHeight="false" outlineLevel="0" collapsed="false">
      <c r="A1091" s="9"/>
      <c r="B1091" s="10"/>
      <c r="C1091" s="9"/>
      <c r="D1091" s="9"/>
      <c r="E1091" s="9"/>
      <c r="F1091" s="9"/>
      <c r="G1091" s="9"/>
      <c r="H1091" s="11"/>
      <c r="I1091" s="8" t="str">
        <f aca="false">IF(AND(G1091&lt;&gt;"",H1091&lt;&gt;""),G1091*H1091,"")</f>
        <v/>
      </c>
    </row>
    <row r="1092" customFormat="false" ht="15" hidden="false" customHeight="false" outlineLevel="0" collapsed="false">
      <c r="A1092" s="9"/>
      <c r="B1092" s="10"/>
      <c r="C1092" s="9"/>
      <c r="D1092" s="9"/>
      <c r="E1092" s="9"/>
      <c r="F1092" s="9"/>
      <c r="G1092" s="9"/>
      <c r="H1092" s="11"/>
      <c r="I1092" s="8" t="str">
        <f aca="false">IF(AND(G1092&lt;&gt;"",H1092&lt;&gt;""),G1092*H1092,"")</f>
        <v/>
      </c>
    </row>
    <row r="1093" customFormat="false" ht="15" hidden="false" customHeight="false" outlineLevel="0" collapsed="false">
      <c r="A1093" s="9"/>
      <c r="B1093" s="10"/>
      <c r="C1093" s="9"/>
      <c r="D1093" s="9"/>
      <c r="E1093" s="9"/>
      <c r="F1093" s="9"/>
      <c r="G1093" s="9"/>
      <c r="H1093" s="11"/>
      <c r="I1093" s="8" t="str">
        <f aca="false">IF(AND(G1093&lt;&gt;"",H1093&lt;&gt;""),G1093*H1093,"")</f>
        <v/>
      </c>
    </row>
    <row r="1094" customFormat="false" ht="15" hidden="false" customHeight="false" outlineLevel="0" collapsed="false">
      <c r="A1094" s="9"/>
      <c r="B1094" s="10"/>
      <c r="C1094" s="9"/>
      <c r="D1094" s="9"/>
      <c r="E1094" s="9"/>
      <c r="F1094" s="9"/>
      <c r="G1094" s="9"/>
      <c r="H1094" s="11"/>
      <c r="I1094" s="8" t="str">
        <f aca="false">IF(AND(G1094&lt;&gt;"",H1094&lt;&gt;""),G1094*H1094,"")</f>
        <v/>
      </c>
    </row>
    <row r="1095" customFormat="false" ht="15" hidden="false" customHeight="false" outlineLevel="0" collapsed="false">
      <c r="A1095" s="9"/>
      <c r="B1095" s="10"/>
      <c r="C1095" s="9"/>
      <c r="D1095" s="9"/>
      <c r="E1095" s="9"/>
      <c r="F1095" s="9"/>
      <c r="G1095" s="9"/>
      <c r="H1095" s="11"/>
      <c r="I1095" s="8" t="str">
        <f aca="false">IF(AND(G1095&lt;&gt;"",H1095&lt;&gt;""),G1095*H1095,"")</f>
        <v/>
      </c>
    </row>
    <row r="1096" customFormat="false" ht="15" hidden="false" customHeight="false" outlineLevel="0" collapsed="false">
      <c r="A1096" s="9"/>
      <c r="B1096" s="10"/>
      <c r="C1096" s="9"/>
      <c r="D1096" s="9"/>
      <c r="E1096" s="9"/>
      <c r="F1096" s="9"/>
      <c r="G1096" s="9"/>
      <c r="H1096" s="11"/>
      <c r="I1096" s="8" t="str">
        <f aca="false">IF(AND(G1096&lt;&gt;"",H1096&lt;&gt;""),G1096*H1096,"")</f>
        <v/>
      </c>
    </row>
    <row r="1097" customFormat="false" ht="15" hidden="false" customHeight="false" outlineLevel="0" collapsed="false">
      <c r="A1097" s="9"/>
      <c r="B1097" s="10"/>
      <c r="C1097" s="9"/>
      <c r="D1097" s="9"/>
      <c r="E1097" s="9"/>
      <c r="F1097" s="9"/>
      <c r="G1097" s="9"/>
      <c r="H1097" s="11"/>
      <c r="I1097" s="8" t="str">
        <f aca="false">IF(AND(G1097&lt;&gt;"",H1097&lt;&gt;""),G1097*H1097,"")</f>
        <v/>
      </c>
    </row>
    <row r="1098" customFormat="false" ht="15" hidden="false" customHeight="false" outlineLevel="0" collapsed="false">
      <c r="A1098" s="9"/>
      <c r="B1098" s="10"/>
      <c r="C1098" s="9"/>
      <c r="D1098" s="9"/>
      <c r="E1098" s="9"/>
      <c r="F1098" s="9"/>
      <c r="G1098" s="9"/>
      <c r="H1098" s="11"/>
      <c r="I1098" s="8" t="str">
        <f aca="false">IF(AND(G1098&lt;&gt;"",H1098&lt;&gt;""),G1098*H1098,"")</f>
        <v/>
      </c>
    </row>
    <row r="1099" customFormat="false" ht="15" hidden="false" customHeight="false" outlineLevel="0" collapsed="false">
      <c r="A1099" s="9"/>
      <c r="B1099" s="10"/>
      <c r="C1099" s="9"/>
      <c r="D1099" s="9"/>
      <c r="E1099" s="9"/>
      <c r="F1099" s="9"/>
      <c r="G1099" s="9"/>
      <c r="H1099" s="11"/>
      <c r="I1099" s="8" t="str">
        <f aca="false">IF(AND(G1099&lt;&gt;"",H1099&lt;&gt;""),G1099*H1099,"")</f>
        <v/>
      </c>
    </row>
    <row r="1100" customFormat="false" ht="15" hidden="false" customHeight="false" outlineLevel="0" collapsed="false">
      <c r="A1100" s="9"/>
      <c r="B1100" s="10"/>
      <c r="C1100" s="9"/>
      <c r="D1100" s="9"/>
      <c r="E1100" s="9"/>
      <c r="F1100" s="9"/>
      <c r="G1100" s="9"/>
      <c r="H1100" s="11"/>
      <c r="I1100" s="8" t="str">
        <f aca="false">IF(AND(G1100&lt;&gt;"",H1100&lt;&gt;""),G1100*H1100,"")</f>
        <v/>
      </c>
    </row>
    <row r="1101" customFormat="false" ht="15" hidden="false" customHeight="false" outlineLevel="0" collapsed="false">
      <c r="A1101" s="9"/>
      <c r="B1101" s="10"/>
      <c r="C1101" s="9"/>
      <c r="D1101" s="9"/>
      <c r="E1101" s="9"/>
      <c r="F1101" s="9"/>
      <c r="G1101" s="9"/>
      <c r="H1101" s="11"/>
      <c r="I1101" s="8" t="str">
        <f aca="false">IF(AND(G1101&lt;&gt;"",H1101&lt;&gt;""),G1101*H1101,"")</f>
        <v/>
      </c>
    </row>
    <row r="1102" customFormat="false" ht="15" hidden="false" customHeight="false" outlineLevel="0" collapsed="false">
      <c r="A1102" s="9"/>
      <c r="B1102" s="10"/>
      <c r="C1102" s="9"/>
      <c r="D1102" s="9"/>
      <c r="E1102" s="9"/>
      <c r="F1102" s="9"/>
      <c r="G1102" s="9"/>
      <c r="H1102" s="11"/>
      <c r="I1102" s="8" t="str">
        <f aca="false">IF(AND(G1102&lt;&gt;"",H1102&lt;&gt;""),G1102*H1102,"")</f>
        <v/>
      </c>
    </row>
    <row r="1103" customFormat="false" ht="15" hidden="false" customHeight="false" outlineLevel="0" collapsed="false">
      <c r="A1103" s="9"/>
      <c r="B1103" s="10"/>
      <c r="C1103" s="9"/>
      <c r="D1103" s="9"/>
      <c r="E1103" s="9"/>
      <c r="F1103" s="9"/>
      <c r="G1103" s="9"/>
      <c r="H1103" s="11"/>
      <c r="I1103" s="8" t="str">
        <f aca="false">IF(AND(G1103&lt;&gt;"",H1103&lt;&gt;""),G1103*H1103,"")</f>
        <v/>
      </c>
    </row>
    <row r="1104" customFormat="false" ht="15" hidden="false" customHeight="false" outlineLevel="0" collapsed="false">
      <c r="A1104" s="9"/>
      <c r="B1104" s="10"/>
      <c r="C1104" s="9"/>
      <c r="D1104" s="9"/>
      <c r="E1104" s="9"/>
      <c r="F1104" s="9"/>
      <c r="G1104" s="9"/>
      <c r="H1104" s="11"/>
      <c r="I1104" s="8" t="str">
        <f aca="false">IF(AND(G1104&lt;&gt;"",H1104&lt;&gt;""),G1104*H1104,"")</f>
        <v/>
      </c>
    </row>
    <row r="1105" customFormat="false" ht="15" hidden="false" customHeight="false" outlineLevel="0" collapsed="false">
      <c r="A1105" s="9"/>
      <c r="B1105" s="10"/>
      <c r="C1105" s="9"/>
      <c r="D1105" s="9"/>
      <c r="E1105" s="9"/>
      <c r="F1105" s="9"/>
      <c r="G1105" s="9"/>
      <c r="H1105" s="11"/>
      <c r="I1105" s="8" t="str">
        <f aca="false">IF(AND(G1105&lt;&gt;"",H1105&lt;&gt;""),G1105*H1105,"")</f>
        <v/>
      </c>
    </row>
    <row r="1106" customFormat="false" ht="15" hidden="false" customHeight="false" outlineLevel="0" collapsed="false">
      <c r="A1106" s="9"/>
      <c r="B1106" s="10"/>
      <c r="C1106" s="9"/>
      <c r="D1106" s="9"/>
      <c r="E1106" s="9"/>
      <c r="F1106" s="9"/>
      <c r="G1106" s="9"/>
      <c r="H1106" s="11"/>
      <c r="I1106" s="8" t="str">
        <f aca="false">IF(AND(G1106&lt;&gt;"",H1106&lt;&gt;""),G1106*H1106,"")</f>
        <v/>
      </c>
    </row>
    <row r="1107" customFormat="false" ht="15" hidden="false" customHeight="false" outlineLevel="0" collapsed="false">
      <c r="A1107" s="9"/>
      <c r="B1107" s="10"/>
      <c r="C1107" s="9"/>
      <c r="D1107" s="9"/>
      <c r="E1107" s="9"/>
      <c r="F1107" s="9"/>
      <c r="G1107" s="9"/>
      <c r="H1107" s="11"/>
      <c r="I1107" s="8" t="str">
        <f aca="false">IF(AND(G1107&lt;&gt;"",H1107&lt;&gt;""),G1107*H1107,"")</f>
        <v/>
      </c>
    </row>
    <row r="1108" customFormat="false" ht="15" hidden="false" customHeight="false" outlineLevel="0" collapsed="false">
      <c r="A1108" s="9"/>
      <c r="B1108" s="10"/>
      <c r="C1108" s="9"/>
      <c r="D1108" s="9"/>
      <c r="E1108" s="9"/>
      <c r="F1108" s="9"/>
      <c r="G1108" s="9"/>
      <c r="H1108" s="11"/>
      <c r="I1108" s="8" t="str">
        <f aca="false">IF(AND(G1108&lt;&gt;"",H1108&lt;&gt;""),G1108*H1108,"")</f>
        <v/>
      </c>
    </row>
    <row r="1109" customFormat="false" ht="15" hidden="false" customHeight="false" outlineLevel="0" collapsed="false">
      <c r="A1109" s="9"/>
      <c r="B1109" s="10"/>
      <c r="C1109" s="9"/>
      <c r="D1109" s="9"/>
      <c r="E1109" s="9"/>
      <c r="F1109" s="9"/>
      <c r="G1109" s="9"/>
      <c r="H1109" s="11"/>
      <c r="I1109" s="8" t="str">
        <f aca="false">IF(AND(G1109&lt;&gt;"",H1109&lt;&gt;""),G1109*H1109,"")</f>
        <v/>
      </c>
    </row>
    <row r="1110" customFormat="false" ht="15" hidden="false" customHeight="false" outlineLevel="0" collapsed="false">
      <c r="A1110" s="9"/>
      <c r="B1110" s="10"/>
      <c r="C1110" s="9"/>
      <c r="D1110" s="9"/>
      <c r="E1110" s="9"/>
      <c r="F1110" s="9"/>
      <c r="G1110" s="9"/>
      <c r="H1110" s="11"/>
      <c r="I1110" s="8" t="str">
        <f aca="false">IF(AND(G1110&lt;&gt;"",H1110&lt;&gt;""),G1110*H1110,"")</f>
        <v/>
      </c>
    </row>
    <row r="1111" customFormat="false" ht="15" hidden="false" customHeight="false" outlineLevel="0" collapsed="false">
      <c r="A1111" s="9"/>
      <c r="B1111" s="10"/>
      <c r="C1111" s="9"/>
      <c r="D1111" s="9"/>
      <c r="E1111" s="9"/>
      <c r="F1111" s="9"/>
      <c r="G1111" s="9"/>
      <c r="H1111" s="11"/>
      <c r="I1111" s="8" t="str">
        <f aca="false">IF(AND(G1111&lt;&gt;"",H1111&lt;&gt;""),G1111*H1111,"")</f>
        <v/>
      </c>
    </row>
    <row r="1112" customFormat="false" ht="15" hidden="false" customHeight="false" outlineLevel="0" collapsed="false">
      <c r="A1112" s="9"/>
      <c r="B1112" s="10"/>
      <c r="C1112" s="9"/>
      <c r="D1112" s="9"/>
      <c r="E1112" s="9"/>
      <c r="F1112" s="9"/>
      <c r="G1112" s="9"/>
      <c r="H1112" s="11"/>
      <c r="I1112" s="8" t="str">
        <f aca="false">IF(AND(G1112&lt;&gt;"",H1112&lt;&gt;""),G1112*H1112,"")</f>
        <v/>
      </c>
    </row>
    <row r="1113" customFormat="false" ht="15" hidden="false" customHeight="false" outlineLevel="0" collapsed="false">
      <c r="A1113" s="9"/>
      <c r="B1113" s="10"/>
      <c r="C1113" s="9"/>
      <c r="D1113" s="9"/>
      <c r="E1113" s="9"/>
      <c r="F1113" s="9"/>
      <c r="G1113" s="9"/>
      <c r="H1113" s="11"/>
      <c r="I1113" s="8" t="str">
        <f aca="false">IF(AND(G1113&lt;&gt;"",H1113&lt;&gt;""),G1113*H1113,"")</f>
        <v/>
      </c>
    </row>
    <row r="1114" customFormat="false" ht="15" hidden="false" customHeight="false" outlineLevel="0" collapsed="false">
      <c r="A1114" s="9"/>
      <c r="B1114" s="10"/>
      <c r="C1114" s="9"/>
      <c r="D1114" s="9"/>
      <c r="E1114" s="9"/>
      <c r="F1114" s="9"/>
      <c r="G1114" s="9"/>
      <c r="H1114" s="11"/>
      <c r="I1114" s="8" t="str">
        <f aca="false">IF(AND(G1114&lt;&gt;"",H1114&lt;&gt;""),G1114*H1114,"")</f>
        <v/>
      </c>
    </row>
    <row r="1115" customFormat="false" ht="15" hidden="false" customHeight="false" outlineLevel="0" collapsed="false">
      <c r="A1115" s="9"/>
      <c r="B1115" s="10"/>
      <c r="C1115" s="9"/>
      <c r="D1115" s="9"/>
      <c r="E1115" s="9"/>
      <c r="F1115" s="9"/>
      <c r="G1115" s="9"/>
      <c r="H1115" s="11"/>
      <c r="I1115" s="8" t="str">
        <f aca="false">IF(AND(G1115&lt;&gt;"",H1115&lt;&gt;""),G1115*H1115,"")</f>
        <v/>
      </c>
    </row>
    <row r="1116" customFormat="false" ht="15" hidden="false" customHeight="false" outlineLevel="0" collapsed="false">
      <c r="A1116" s="9"/>
      <c r="B1116" s="10"/>
      <c r="C1116" s="9"/>
      <c r="D1116" s="9"/>
      <c r="E1116" s="9"/>
      <c r="F1116" s="9"/>
      <c r="G1116" s="9"/>
      <c r="H1116" s="11"/>
      <c r="I1116" s="8" t="str">
        <f aca="false">IF(AND(G1116&lt;&gt;"",H1116&lt;&gt;""),G1116*H1116,"")</f>
        <v/>
      </c>
    </row>
    <row r="1117" customFormat="false" ht="15" hidden="false" customHeight="false" outlineLevel="0" collapsed="false">
      <c r="A1117" s="9"/>
      <c r="B1117" s="10"/>
      <c r="C1117" s="9"/>
      <c r="D1117" s="9"/>
      <c r="E1117" s="9"/>
      <c r="F1117" s="9"/>
      <c r="G1117" s="9"/>
      <c r="H1117" s="11"/>
      <c r="I1117" s="8" t="str">
        <f aca="false">IF(AND(G1117&lt;&gt;"",H1117&lt;&gt;""),G1117*H1117,"")</f>
        <v/>
      </c>
    </row>
    <row r="1118" customFormat="false" ht="15" hidden="false" customHeight="false" outlineLevel="0" collapsed="false">
      <c r="A1118" s="9"/>
      <c r="B1118" s="10"/>
      <c r="C1118" s="9"/>
      <c r="D1118" s="9"/>
      <c r="E1118" s="9"/>
      <c r="F1118" s="9"/>
      <c r="G1118" s="9"/>
      <c r="H1118" s="11"/>
      <c r="I1118" s="8" t="str">
        <f aca="false">IF(AND(G1118&lt;&gt;"",H1118&lt;&gt;""),G1118*H1118,"")</f>
        <v/>
      </c>
    </row>
    <row r="1119" customFormat="false" ht="15" hidden="false" customHeight="false" outlineLevel="0" collapsed="false">
      <c r="A1119" s="9"/>
      <c r="B1119" s="10"/>
      <c r="C1119" s="9"/>
      <c r="D1119" s="9"/>
      <c r="E1119" s="9"/>
      <c r="F1119" s="9"/>
      <c r="G1119" s="9"/>
      <c r="H1119" s="11"/>
      <c r="I1119" s="8" t="str">
        <f aca="false">IF(AND(G1119&lt;&gt;"",H1119&lt;&gt;""),G1119*H1119,"")</f>
        <v/>
      </c>
    </row>
    <row r="1120" customFormat="false" ht="15" hidden="false" customHeight="false" outlineLevel="0" collapsed="false">
      <c r="A1120" s="9"/>
      <c r="B1120" s="10"/>
      <c r="C1120" s="9"/>
      <c r="D1120" s="9"/>
      <c r="E1120" s="9"/>
      <c r="F1120" s="9"/>
      <c r="G1120" s="9"/>
      <c r="H1120" s="11"/>
      <c r="I1120" s="8" t="str">
        <f aca="false">IF(AND(G1120&lt;&gt;"",H1120&lt;&gt;""),G1120*H1120,"")</f>
        <v/>
      </c>
    </row>
    <row r="1121" customFormat="false" ht="15" hidden="false" customHeight="false" outlineLevel="0" collapsed="false">
      <c r="A1121" s="9"/>
      <c r="B1121" s="10"/>
      <c r="C1121" s="9"/>
      <c r="D1121" s="9"/>
      <c r="E1121" s="9"/>
      <c r="F1121" s="9"/>
      <c r="G1121" s="9"/>
      <c r="H1121" s="11"/>
      <c r="I1121" s="8" t="str">
        <f aca="false">IF(AND(G1121&lt;&gt;"",H1121&lt;&gt;""),G1121*H1121,"")</f>
        <v/>
      </c>
    </row>
    <row r="1122" customFormat="false" ht="15" hidden="false" customHeight="false" outlineLevel="0" collapsed="false">
      <c r="A1122" s="9"/>
      <c r="B1122" s="10"/>
      <c r="C1122" s="9"/>
      <c r="D1122" s="9"/>
      <c r="E1122" s="9"/>
      <c r="F1122" s="9"/>
      <c r="G1122" s="9"/>
      <c r="H1122" s="11"/>
      <c r="I1122" s="8" t="str">
        <f aca="false">IF(AND(G1122&lt;&gt;"",H1122&lt;&gt;""),G1122*H1122,"")</f>
        <v/>
      </c>
    </row>
    <row r="1123" customFormat="false" ht="15" hidden="false" customHeight="false" outlineLevel="0" collapsed="false">
      <c r="A1123" s="9"/>
      <c r="B1123" s="10"/>
      <c r="C1123" s="9"/>
      <c r="D1123" s="9"/>
      <c r="E1123" s="9"/>
      <c r="F1123" s="9"/>
      <c r="G1123" s="9"/>
      <c r="H1123" s="11"/>
      <c r="I1123" s="8" t="str">
        <f aca="false">IF(AND(G1123&lt;&gt;"",H1123&lt;&gt;""),G1123*H1123,"")</f>
        <v/>
      </c>
    </row>
    <row r="1124" customFormat="false" ht="15" hidden="false" customHeight="false" outlineLevel="0" collapsed="false">
      <c r="A1124" s="9"/>
      <c r="B1124" s="10"/>
      <c r="C1124" s="9"/>
      <c r="D1124" s="9"/>
      <c r="E1124" s="9"/>
      <c r="F1124" s="9"/>
      <c r="G1124" s="9"/>
      <c r="H1124" s="11"/>
      <c r="I1124" s="8" t="str">
        <f aca="false">IF(AND(G1124&lt;&gt;"",H1124&lt;&gt;""),G1124*H1124,"")</f>
        <v/>
      </c>
    </row>
    <row r="1125" customFormat="false" ht="15" hidden="false" customHeight="false" outlineLevel="0" collapsed="false">
      <c r="A1125" s="9"/>
      <c r="B1125" s="10"/>
      <c r="C1125" s="9"/>
      <c r="D1125" s="9"/>
      <c r="E1125" s="9"/>
      <c r="F1125" s="9"/>
      <c r="G1125" s="9"/>
      <c r="H1125" s="11"/>
      <c r="I1125" s="8" t="str">
        <f aca="false">IF(AND(G1125&lt;&gt;"",H1125&lt;&gt;""),G1125*H1125,"")</f>
        <v/>
      </c>
    </row>
    <row r="1126" customFormat="false" ht="15" hidden="false" customHeight="false" outlineLevel="0" collapsed="false">
      <c r="A1126" s="9"/>
      <c r="B1126" s="10"/>
      <c r="C1126" s="9"/>
      <c r="D1126" s="9"/>
      <c r="E1126" s="9"/>
      <c r="F1126" s="9"/>
      <c r="G1126" s="9"/>
      <c r="H1126" s="11"/>
      <c r="I1126" s="8" t="str">
        <f aca="false">IF(AND(G1126&lt;&gt;"",H1126&lt;&gt;""),G1126*H1126,"")</f>
        <v/>
      </c>
    </row>
    <row r="1127" customFormat="false" ht="15" hidden="false" customHeight="false" outlineLevel="0" collapsed="false">
      <c r="A1127" s="9"/>
      <c r="B1127" s="10"/>
      <c r="C1127" s="9"/>
      <c r="D1127" s="9"/>
      <c r="E1127" s="9"/>
      <c r="F1127" s="9"/>
      <c r="G1127" s="9"/>
      <c r="H1127" s="11"/>
      <c r="I1127" s="8" t="str">
        <f aca="false">IF(AND(G1127&lt;&gt;"",H1127&lt;&gt;""),G1127*H1127,"")</f>
        <v/>
      </c>
    </row>
    <row r="1128" customFormat="false" ht="15" hidden="false" customHeight="false" outlineLevel="0" collapsed="false">
      <c r="A1128" s="9"/>
      <c r="B1128" s="10"/>
      <c r="C1128" s="9"/>
      <c r="D1128" s="9"/>
      <c r="E1128" s="9"/>
      <c r="F1128" s="9"/>
      <c r="G1128" s="9"/>
      <c r="H1128" s="11"/>
      <c r="I1128" s="8" t="str">
        <f aca="false">IF(AND(G1128&lt;&gt;"",H1128&lt;&gt;""),G1128*H1128,"")</f>
        <v/>
      </c>
    </row>
    <row r="1129" customFormat="false" ht="15" hidden="false" customHeight="false" outlineLevel="0" collapsed="false">
      <c r="A1129" s="9"/>
      <c r="B1129" s="10"/>
      <c r="C1129" s="9"/>
      <c r="D1129" s="9"/>
      <c r="E1129" s="9"/>
      <c r="F1129" s="9"/>
      <c r="G1129" s="9"/>
      <c r="H1129" s="11"/>
      <c r="I1129" s="8" t="str">
        <f aca="false">IF(AND(G1129&lt;&gt;"",H1129&lt;&gt;""),G1129*H1129,"")</f>
        <v/>
      </c>
    </row>
    <row r="1130" customFormat="false" ht="15" hidden="false" customHeight="false" outlineLevel="0" collapsed="false">
      <c r="A1130" s="9"/>
      <c r="B1130" s="10"/>
      <c r="C1130" s="9"/>
      <c r="D1130" s="9"/>
      <c r="E1130" s="9"/>
      <c r="F1130" s="9"/>
      <c r="G1130" s="9"/>
      <c r="H1130" s="11"/>
      <c r="I1130" s="8" t="str">
        <f aca="false">IF(AND(G1130&lt;&gt;"",H1130&lt;&gt;""),G1130*H1130,"")</f>
        <v/>
      </c>
    </row>
    <row r="1131" customFormat="false" ht="15" hidden="false" customHeight="false" outlineLevel="0" collapsed="false">
      <c r="A1131" s="9"/>
      <c r="B1131" s="10"/>
      <c r="C1131" s="9"/>
      <c r="D1131" s="9"/>
      <c r="E1131" s="9"/>
      <c r="F1131" s="9"/>
      <c r="G1131" s="9"/>
      <c r="H1131" s="11"/>
      <c r="I1131" s="8" t="str">
        <f aca="false">IF(AND(G1131&lt;&gt;"",H1131&lt;&gt;""),G1131*H1131,"")</f>
        <v/>
      </c>
    </row>
    <row r="1132" customFormat="false" ht="15" hidden="false" customHeight="false" outlineLevel="0" collapsed="false">
      <c r="A1132" s="9"/>
      <c r="B1132" s="10"/>
      <c r="C1132" s="9"/>
      <c r="D1132" s="9"/>
      <c r="E1132" s="9"/>
      <c r="F1132" s="9"/>
      <c r="G1132" s="9"/>
      <c r="H1132" s="11"/>
      <c r="I1132" s="8" t="str">
        <f aca="false">IF(AND(G1132&lt;&gt;"",H1132&lt;&gt;""),G1132*H1132,"")</f>
        <v/>
      </c>
    </row>
    <row r="1133" customFormat="false" ht="15" hidden="false" customHeight="false" outlineLevel="0" collapsed="false">
      <c r="A1133" s="9"/>
      <c r="B1133" s="10"/>
      <c r="C1133" s="9"/>
      <c r="D1133" s="9"/>
      <c r="E1133" s="9"/>
      <c r="F1133" s="9"/>
      <c r="G1133" s="9"/>
      <c r="H1133" s="11"/>
      <c r="I1133" s="8" t="str">
        <f aca="false">IF(AND(G1133&lt;&gt;"",H1133&lt;&gt;""),G1133*H1133,"")</f>
        <v/>
      </c>
    </row>
    <row r="1134" customFormat="false" ht="15" hidden="false" customHeight="false" outlineLevel="0" collapsed="false">
      <c r="A1134" s="9"/>
      <c r="B1134" s="10"/>
      <c r="C1134" s="9"/>
      <c r="D1134" s="9"/>
      <c r="E1134" s="9"/>
      <c r="F1134" s="9"/>
      <c r="G1134" s="9"/>
      <c r="H1134" s="11"/>
      <c r="I1134" s="8" t="str">
        <f aca="false">IF(AND(G1134&lt;&gt;"",H1134&lt;&gt;""),G1134*H1134,"")</f>
        <v/>
      </c>
    </row>
    <row r="1135" customFormat="false" ht="15" hidden="false" customHeight="false" outlineLevel="0" collapsed="false">
      <c r="A1135" s="9"/>
      <c r="B1135" s="10"/>
      <c r="C1135" s="9"/>
      <c r="D1135" s="9"/>
      <c r="E1135" s="9"/>
      <c r="F1135" s="9"/>
      <c r="G1135" s="9"/>
      <c r="H1135" s="11"/>
      <c r="I1135" s="8" t="str">
        <f aca="false">IF(AND(G1135&lt;&gt;"",H1135&lt;&gt;""),G1135*H1135,"")</f>
        <v/>
      </c>
    </row>
    <row r="1136" customFormat="false" ht="15" hidden="false" customHeight="false" outlineLevel="0" collapsed="false">
      <c r="A1136" s="9"/>
      <c r="B1136" s="10"/>
      <c r="C1136" s="9"/>
      <c r="D1136" s="9"/>
      <c r="E1136" s="9"/>
      <c r="F1136" s="9"/>
      <c r="G1136" s="9"/>
      <c r="H1136" s="11"/>
      <c r="I1136" s="8" t="str">
        <f aca="false">IF(AND(G1136&lt;&gt;"",H1136&lt;&gt;""),G1136*H1136,"")</f>
        <v/>
      </c>
    </row>
    <row r="1137" customFormat="false" ht="15" hidden="false" customHeight="false" outlineLevel="0" collapsed="false">
      <c r="A1137" s="9"/>
      <c r="B1137" s="10"/>
      <c r="C1137" s="9"/>
      <c r="D1137" s="9"/>
      <c r="E1137" s="9"/>
      <c r="F1137" s="9"/>
      <c r="G1137" s="9"/>
      <c r="H1137" s="11"/>
      <c r="I1137" s="8" t="str">
        <f aca="false">IF(AND(G1137&lt;&gt;"",H1137&lt;&gt;""),G1137*H1137,"")</f>
        <v/>
      </c>
    </row>
    <row r="1138" customFormat="false" ht="15" hidden="false" customHeight="false" outlineLevel="0" collapsed="false">
      <c r="A1138" s="9"/>
      <c r="B1138" s="10"/>
      <c r="C1138" s="9"/>
      <c r="D1138" s="9"/>
      <c r="E1138" s="9"/>
      <c r="F1138" s="9"/>
      <c r="G1138" s="9"/>
      <c r="H1138" s="11"/>
      <c r="I1138" s="8" t="str">
        <f aca="false">IF(AND(G1138&lt;&gt;"",H1138&lt;&gt;""),G1138*H1138,"")</f>
        <v/>
      </c>
    </row>
    <row r="1139" customFormat="false" ht="15" hidden="false" customHeight="false" outlineLevel="0" collapsed="false">
      <c r="A1139" s="9"/>
      <c r="B1139" s="10"/>
      <c r="C1139" s="9"/>
      <c r="D1139" s="9"/>
      <c r="E1139" s="9"/>
      <c r="F1139" s="9"/>
      <c r="G1139" s="9"/>
      <c r="H1139" s="11"/>
      <c r="I1139" s="8" t="str">
        <f aca="false">IF(AND(G1139&lt;&gt;"",H1139&lt;&gt;""),G1139*H1139,"")</f>
        <v/>
      </c>
    </row>
    <row r="1140" customFormat="false" ht="15" hidden="false" customHeight="false" outlineLevel="0" collapsed="false">
      <c r="A1140" s="9"/>
      <c r="B1140" s="10"/>
      <c r="C1140" s="9"/>
      <c r="D1140" s="9"/>
      <c r="E1140" s="9"/>
      <c r="F1140" s="9"/>
      <c r="G1140" s="9"/>
      <c r="H1140" s="11"/>
      <c r="I1140" s="8" t="str">
        <f aca="false">IF(AND(G1140&lt;&gt;"",H1140&lt;&gt;""),G1140*H1140,"")</f>
        <v/>
      </c>
    </row>
    <row r="1141" customFormat="false" ht="15" hidden="false" customHeight="false" outlineLevel="0" collapsed="false">
      <c r="A1141" s="9"/>
      <c r="B1141" s="10"/>
      <c r="C1141" s="9"/>
      <c r="D1141" s="9"/>
      <c r="E1141" s="9"/>
      <c r="F1141" s="9"/>
      <c r="G1141" s="9"/>
      <c r="H1141" s="11"/>
      <c r="I1141" s="8" t="str">
        <f aca="false">IF(AND(G1141&lt;&gt;"",H1141&lt;&gt;""),G1141*H1141,"")</f>
        <v/>
      </c>
    </row>
    <row r="1142" customFormat="false" ht="15" hidden="false" customHeight="false" outlineLevel="0" collapsed="false">
      <c r="A1142" s="9"/>
      <c r="B1142" s="10"/>
      <c r="C1142" s="9"/>
      <c r="D1142" s="9"/>
      <c r="E1142" s="9"/>
      <c r="F1142" s="9"/>
      <c r="G1142" s="9"/>
      <c r="H1142" s="11"/>
      <c r="I1142" s="8" t="str">
        <f aca="false">IF(AND(G1142&lt;&gt;"",H1142&lt;&gt;""),G1142*H1142,"")</f>
        <v/>
      </c>
    </row>
    <row r="1143" customFormat="false" ht="15" hidden="false" customHeight="false" outlineLevel="0" collapsed="false">
      <c r="A1143" s="9"/>
      <c r="B1143" s="10"/>
      <c r="C1143" s="9"/>
      <c r="D1143" s="9"/>
      <c r="E1143" s="9"/>
      <c r="F1143" s="9"/>
      <c r="G1143" s="9"/>
      <c r="H1143" s="11"/>
      <c r="I1143" s="8" t="str">
        <f aca="false">IF(AND(G1143&lt;&gt;"",H1143&lt;&gt;""),G1143*H1143,"")</f>
        <v/>
      </c>
    </row>
    <row r="1144" customFormat="false" ht="15" hidden="false" customHeight="false" outlineLevel="0" collapsed="false">
      <c r="A1144" s="9"/>
      <c r="B1144" s="10"/>
      <c r="C1144" s="9"/>
      <c r="D1144" s="9"/>
      <c r="E1144" s="9"/>
      <c r="F1144" s="9"/>
      <c r="G1144" s="9"/>
      <c r="H1144" s="11"/>
      <c r="I1144" s="8" t="str">
        <f aca="false">IF(AND(G1144&lt;&gt;"",H1144&lt;&gt;""),G1144*H1144,"")</f>
        <v/>
      </c>
    </row>
    <row r="1145" customFormat="false" ht="15" hidden="false" customHeight="false" outlineLevel="0" collapsed="false">
      <c r="A1145" s="9"/>
      <c r="B1145" s="10"/>
      <c r="C1145" s="9"/>
      <c r="D1145" s="9"/>
      <c r="E1145" s="9"/>
      <c r="F1145" s="9"/>
      <c r="G1145" s="9"/>
      <c r="H1145" s="11"/>
      <c r="I1145" s="8" t="str">
        <f aca="false">IF(AND(G1145&lt;&gt;"",H1145&lt;&gt;""),G1145*H1145,"")</f>
        <v/>
      </c>
    </row>
    <row r="1146" customFormat="false" ht="15" hidden="false" customHeight="false" outlineLevel="0" collapsed="false">
      <c r="A1146" s="9"/>
      <c r="B1146" s="10"/>
      <c r="C1146" s="9"/>
      <c r="D1146" s="9"/>
      <c r="E1146" s="9"/>
      <c r="F1146" s="9"/>
      <c r="G1146" s="9"/>
      <c r="H1146" s="11"/>
      <c r="I1146" s="8" t="str">
        <f aca="false">IF(AND(G1146&lt;&gt;"",H1146&lt;&gt;""),G1146*H1146,"")</f>
        <v/>
      </c>
    </row>
    <row r="1147" customFormat="false" ht="15" hidden="false" customHeight="false" outlineLevel="0" collapsed="false">
      <c r="A1147" s="9"/>
      <c r="B1147" s="10"/>
      <c r="C1147" s="9"/>
      <c r="D1147" s="9"/>
      <c r="E1147" s="9"/>
      <c r="F1147" s="9"/>
      <c r="G1147" s="9"/>
      <c r="H1147" s="11"/>
      <c r="I1147" s="8" t="str">
        <f aca="false">IF(AND(G1147&lt;&gt;"",H1147&lt;&gt;""),G1147*H1147,"")</f>
        <v/>
      </c>
    </row>
    <row r="1148" customFormat="false" ht="15" hidden="false" customHeight="false" outlineLevel="0" collapsed="false">
      <c r="A1148" s="9"/>
      <c r="B1148" s="10"/>
      <c r="C1148" s="9"/>
      <c r="D1148" s="9"/>
      <c r="E1148" s="9"/>
      <c r="F1148" s="9"/>
      <c r="G1148" s="9"/>
      <c r="H1148" s="11"/>
      <c r="I1148" s="8" t="str">
        <f aca="false">IF(AND(G1148&lt;&gt;"",H1148&lt;&gt;""),G1148*H1148,"")</f>
        <v/>
      </c>
    </row>
    <row r="1149" customFormat="false" ht="15" hidden="false" customHeight="false" outlineLevel="0" collapsed="false">
      <c r="A1149" s="9"/>
      <c r="B1149" s="10"/>
      <c r="C1149" s="9"/>
      <c r="D1149" s="9"/>
      <c r="E1149" s="9"/>
      <c r="F1149" s="9"/>
      <c r="G1149" s="9"/>
      <c r="H1149" s="11"/>
      <c r="I1149" s="8" t="str">
        <f aca="false">IF(AND(G1149&lt;&gt;"",H1149&lt;&gt;""),G1149*H1149,"")</f>
        <v/>
      </c>
    </row>
    <row r="1150" customFormat="false" ht="15" hidden="false" customHeight="false" outlineLevel="0" collapsed="false">
      <c r="A1150" s="9"/>
      <c r="B1150" s="10"/>
      <c r="C1150" s="9"/>
      <c r="D1150" s="9"/>
      <c r="E1150" s="9"/>
      <c r="F1150" s="9"/>
      <c r="G1150" s="9"/>
      <c r="H1150" s="11"/>
      <c r="I1150" s="8" t="str">
        <f aca="false">IF(AND(G1150&lt;&gt;"",H1150&lt;&gt;""),G1150*H1150,"")</f>
        <v/>
      </c>
    </row>
    <row r="1151" customFormat="false" ht="15" hidden="false" customHeight="false" outlineLevel="0" collapsed="false">
      <c r="A1151" s="9"/>
      <c r="B1151" s="10"/>
      <c r="C1151" s="9"/>
      <c r="D1151" s="9"/>
      <c r="E1151" s="9"/>
      <c r="F1151" s="9"/>
      <c r="G1151" s="9"/>
      <c r="H1151" s="11"/>
      <c r="I1151" s="8" t="str">
        <f aca="false">IF(AND(G1151&lt;&gt;"",H1151&lt;&gt;""),G1151*H1151,"")</f>
        <v/>
      </c>
    </row>
    <row r="1152" customFormat="false" ht="15" hidden="false" customHeight="false" outlineLevel="0" collapsed="false">
      <c r="A1152" s="9"/>
      <c r="B1152" s="10"/>
      <c r="C1152" s="9"/>
      <c r="D1152" s="9"/>
      <c r="E1152" s="9"/>
      <c r="F1152" s="9"/>
      <c r="G1152" s="9"/>
      <c r="H1152" s="11"/>
      <c r="I1152" s="8" t="str">
        <f aca="false">IF(AND(G1152&lt;&gt;"",H1152&lt;&gt;""),G1152*H1152,"")</f>
        <v/>
      </c>
    </row>
    <row r="1153" customFormat="false" ht="15" hidden="false" customHeight="false" outlineLevel="0" collapsed="false">
      <c r="A1153" s="9"/>
      <c r="B1153" s="10"/>
      <c r="C1153" s="9"/>
      <c r="D1153" s="9"/>
      <c r="E1153" s="9"/>
      <c r="F1153" s="9"/>
      <c r="G1153" s="9"/>
      <c r="H1153" s="11"/>
      <c r="I1153" s="8" t="str">
        <f aca="false">IF(AND(G1153&lt;&gt;"",H1153&lt;&gt;""),G1153*H1153,"")</f>
        <v/>
      </c>
    </row>
    <row r="1154" customFormat="false" ht="15" hidden="false" customHeight="false" outlineLevel="0" collapsed="false">
      <c r="A1154" s="9"/>
      <c r="B1154" s="10"/>
      <c r="C1154" s="9"/>
      <c r="D1154" s="9"/>
      <c r="E1154" s="9"/>
      <c r="F1154" s="9"/>
      <c r="G1154" s="9"/>
      <c r="H1154" s="11"/>
      <c r="I1154" s="8" t="str">
        <f aca="false">IF(AND(G1154&lt;&gt;"",H1154&lt;&gt;""),G1154*H1154,"")</f>
        <v/>
      </c>
    </row>
    <row r="1155" customFormat="false" ht="15" hidden="false" customHeight="false" outlineLevel="0" collapsed="false">
      <c r="A1155" s="9"/>
      <c r="B1155" s="10"/>
      <c r="C1155" s="9"/>
      <c r="D1155" s="9"/>
      <c r="E1155" s="9"/>
      <c r="F1155" s="9"/>
      <c r="G1155" s="9"/>
      <c r="H1155" s="11"/>
      <c r="I1155" s="8" t="str">
        <f aca="false">IF(AND(G1155&lt;&gt;"",H1155&lt;&gt;""),G1155*H1155,"")</f>
        <v/>
      </c>
    </row>
    <row r="1156" customFormat="false" ht="15" hidden="false" customHeight="false" outlineLevel="0" collapsed="false">
      <c r="A1156" s="9"/>
      <c r="B1156" s="10"/>
      <c r="C1156" s="9"/>
      <c r="D1156" s="9"/>
      <c r="E1156" s="9"/>
      <c r="F1156" s="9"/>
      <c r="G1156" s="9"/>
      <c r="H1156" s="11"/>
      <c r="I1156" s="8" t="str">
        <f aca="false">IF(AND(G1156&lt;&gt;"",H1156&lt;&gt;""),G1156*H1156,"")</f>
        <v/>
      </c>
    </row>
    <row r="1157" customFormat="false" ht="15" hidden="false" customHeight="false" outlineLevel="0" collapsed="false">
      <c r="A1157" s="9"/>
      <c r="B1157" s="10"/>
      <c r="C1157" s="9"/>
      <c r="D1157" s="9"/>
      <c r="E1157" s="9"/>
      <c r="F1157" s="9"/>
      <c r="G1157" s="9"/>
      <c r="H1157" s="11"/>
      <c r="I1157" s="8" t="str">
        <f aca="false">IF(AND(G1157&lt;&gt;"",H1157&lt;&gt;""),G1157*H1157,"")</f>
        <v/>
      </c>
    </row>
    <row r="1158" customFormat="false" ht="15" hidden="false" customHeight="false" outlineLevel="0" collapsed="false">
      <c r="A1158" s="9"/>
      <c r="B1158" s="10"/>
      <c r="C1158" s="9"/>
      <c r="D1158" s="9"/>
      <c r="E1158" s="9"/>
      <c r="F1158" s="9"/>
      <c r="G1158" s="9"/>
      <c r="H1158" s="11"/>
      <c r="I1158" s="8" t="str">
        <f aca="false">IF(AND(G1158&lt;&gt;"",H1158&lt;&gt;""),G1158*H1158,"")</f>
        <v/>
      </c>
    </row>
    <row r="1159" customFormat="false" ht="15" hidden="false" customHeight="false" outlineLevel="0" collapsed="false">
      <c r="A1159" s="9"/>
      <c r="B1159" s="10"/>
      <c r="C1159" s="9"/>
      <c r="D1159" s="9"/>
      <c r="E1159" s="9"/>
      <c r="F1159" s="9"/>
      <c r="G1159" s="9"/>
      <c r="H1159" s="11"/>
      <c r="I1159" s="8" t="str">
        <f aca="false">IF(AND(G1159&lt;&gt;"",H1159&lt;&gt;""),G1159*H1159,"")</f>
        <v/>
      </c>
    </row>
    <row r="1160" customFormat="false" ht="15" hidden="false" customHeight="false" outlineLevel="0" collapsed="false">
      <c r="A1160" s="9"/>
      <c r="B1160" s="10"/>
      <c r="C1160" s="9"/>
      <c r="D1160" s="9"/>
      <c r="E1160" s="9"/>
      <c r="F1160" s="9"/>
      <c r="G1160" s="9"/>
      <c r="H1160" s="11"/>
      <c r="I1160" s="8" t="str">
        <f aca="false">IF(AND(G1160&lt;&gt;"",H1160&lt;&gt;""),G1160*H1160,"")</f>
        <v/>
      </c>
    </row>
    <row r="1161" customFormat="false" ht="15" hidden="false" customHeight="false" outlineLevel="0" collapsed="false">
      <c r="A1161" s="9"/>
      <c r="B1161" s="10"/>
      <c r="C1161" s="9"/>
      <c r="D1161" s="9"/>
      <c r="E1161" s="9"/>
      <c r="F1161" s="9"/>
      <c r="G1161" s="9"/>
      <c r="H1161" s="11"/>
      <c r="I1161" s="8" t="str">
        <f aca="false">IF(AND(G1161&lt;&gt;"",H1161&lt;&gt;""),G1161*H1161,"")</f>
        <v/>
      </c>
    </row>
    <row r="1162" customFormat="false" ht="15" hidden="false" customHeight="false" outlineLevel="0" collapsed="false">
      <c r="A1162" s="9"/>
      <c r="B1162" s="10"/>
      <c r="C1162" s="9"/>
      <c r="D1162" s="9"/>
      <c r="E1162" s="9"/>
      <c r="F1162" s="9"/>
      <c r="G1162" s="9"/>
      <c r="H1162" s="11"/>
      <c r="I1162" s="8" t="str">
        <f aca="false">IF(AND(G1162&lt;&gt;"",H1162&lt;&gt;""),G1162*H1162,"")</f>
        <v/>
      </c>
    </row>
    <row r="1163" customFormat="false" ht="15" hidden="false" customHeight="false" outlineLevel="0" collapsed="false">
      <c r="A1163" s="9"/>
      <c r="B1163" s="10"/>
      <c r="C1163" s="9"/>
      <c r="D1163" s="9"/>
      <c r="E1163" s="9"/>
      <c r="F1163" s="9"/>
      <c r="G1163" s="9"/>
      <c r="H1163" s="11"/>
      <c r="I1163" s="8" t="str">
        <f aca="false">IF(AND(G1163&lt;&gt;"",H1163&lt;&gt;""),G1163*H1163,"")</f>
        <v/>
      </c>
    </row>
    <row r="1164" customFormat="false" ht="15" hidden="false" customHeight="false" outlineLevel="0" collapsed="false">
      <c r="A1164" s="9"/>
      <c r="B1164" s="10"/>
      <c r="C1164" s="9"/>
      <c r="D1164" s="9"/>
      <c r="E1164" s="9"/>
      <c r="F1164" s="9"/>
      <c r="G1164" s="9"/>
      <c r="H1164" s="11"/>
      <c r="I1164" s="8" t="str">
        <f aca="false">IF(AND(G1164&lt;&gt;"",H1164&lt;&gt;""),G1164*H1164,"")</f>
        <v/>
      </c>
    </row>
    <row r="1165" customFormat="false" ht="15" hidden="false" customHeight="false" outlineLevel="0" collapsed="false">
      <c r="A1165" s="9"/>
      <c r="B1165" s="10"/>
      <c r="C1165" s="9"/>
      <c r="D1165" s="9"/>
      <c r="E1165" s="9"/>
      <c r="F1165" s="9"/>
      <c r="G1165" s="9"/>
      <c r="H1165" s="11"/>
      <c r="I1165" s="8" t="str">
        <f aca="false">IF(AND(G1165&lt;&gt;"",H1165&lt;&gt;""),G1165*H1165,"")</f>
        <v/>
      </c>
    </row>
    <row r="1166" customFormat="false" ht="15" hidden="false" customHeight="false" outlineLevel="0" collapsed="false">
      <c r="A1166" s="9"/>
      <c r="B1166" s="10"/>
      <c r="C1166" s="9"/>
      <c r="D1166" s="9"/>
      <c r="E1166" s="9"/>
      <c r="F1166" s="9"/>
      <c r="G1166" s="9"/>
      <c r="H1166" s="11"/>
      <c r="I1166" s="8" t="str">
        <f aca="false">IF(AND(G1166&lt;&gt;"",H1166&lt;&gt;""),G1166*H1166,"")</f>
        <v/>
      </c>
    </row>
    <row r="1167" customFormat="false" ht="15" hidden="false" customHeight="false" outlineLevel="0" collapsed="false">
      <c r="A1167" s="9"/>
      <c r="B1167" s="10"/>
      <c r="C1167" s="9"/>
      <c r="D1167" s="9"/>
      <c r="E1167" s="9"/>
      <c r="F1167" s="9"/>
      <c r="G1167" s="9"/>
      <c r="H1167" s="11"/>
      <c r="I1167" s="8" t="str">
        <f aca="false">IF(AND(G1167&lt;&gt;"",H1167&lt;&gt;""),G1167*H1167,"")</f>
        <v/>
      </c>
    </row>
    <row r="1168" customFormat="false" ht="15" hidden="false" customHeight="false" outlineLevel="0" collapsed="false">
      <c r="A1168" s="9"/>
      <c r="B1168" s="10"/>
      <c r="C1168" s="9"/>
      <c r="D1168" s="9"/>
      <c r="E1168" s="9"/>
      <c r="F1168" s="9"/>
      <c r="G1168" s="9"/>
      <c r="H1168" s="11"/>
      <c r="I1168" s="8" t="str">
        <f aca="false">IF(AND(G1168&lt;&gt;"",H1168&lt;&gt;""),G1168*H1168,"")</f>
        <v/>
      </c>
    </row>
    <row r="1169" customFormat="false" ht="15" hidden="false" customHeight="false" outlineLevel="0" collapsed="false">
      <c r="A1169" s="9"/>
      <c r="B1169" s="10"/>
      <c r="C1169" s="9"/>
      <c r="D1169" s="9"/>
      <c r="E1169" s="9"/>
      <c r="F1169" s="9"/>
      <c r="G1169" s="9"/>
      <c r="H1169" s="11"/>
      <c r="I1169" s="8" t="str">
        <f aca="false">IF(AND(G1169&lt;&gt;"",H1169&lt;&gt;""),G1169*H1169,"")</f>
        <v/>
      </c>
    </row>
    <row r="1170" customFormat="false" ht="15" hidden="false" customHeight="false" outlineLevel="0" collapsed="false">
      <c r="A1170" s="9"/>
      <c r="B1170" s="10"/>
      <c r="C1170" s="9"/>
      <c r="D1170" s="9"/>
      <c r="E1170" s="9"/>
      <c r="F1170" s="9"/>
      <c r="G1170" s="9"/>
      <c r="H1170" s="11"/>
      <c r="I1170" s="8" t="str">
        <f aca="false">IF(AND(G1170&lt;&gt;"",H1170&lt;&gt;""),G1170*H1170,"")</f>
        <v/>
      </c>
    </row>
    <row r="1171" customFormat="false" ht="15" hidden="false" customHeight="false" outlineLevel="0" collapsed="false">
      <c r="A1171" s="9"/>
      <c r="B1171" s="10"/>
      <c r="C1171" s="9"/>
      <c r="D1171" s="9"/>
      <c r="E1171" s="9"/>
      <c r="F1171" s="9"/>
      <c r="G1171" s="9"/>
      <c r="H1171" s="11"/>
      <c r="I1171" s="8" t="str">
        <f aca="false">IF(AND(G1171&lt;&gt;"",H1171&lt;&gt;""),G1171*H1171,"")</f>
        <v/>
      </c>
    </row>
    <row r="1172" customFormat="false" ht="15" hidden="false" customHeight="false" outlineLevel="0" collapsed="false">
      <c r="A1172" s="9"/>
      <c r="B1172" s="10"/>
      <c r="C1172" s="9"/>
      <c r="D1172" s="9"/>
      <c r="E1172" s="9"/>
      <c r="F1172" s="9"/>
      <c r="G1172" s="9"/>
      <c r="H1172" s="11"/>
      <c r="I1172" s="8" t="str">
        <f aca="false">IF(AND(G1172&lt;&gt;"",H1172&lt;&gt;""),G1172*H1172,"")</f>
        <v/>
      </c>
    </row>
    <row r="1173" customFormat="false" ht="15" hidden="false" customHeight="false" outlineLevel="0" collapsed="false">
      <c r="A1173" s="9"/>
      <c r="B1173" s="10"/>
      <c r="C1173" s="9"/>
      <c r="D1173" s="9"/>
      <c r="E1173" s="9"/>
      <c r="F1173" s="9"/>
      <c r="G1173" s="9"/>
      <c r="H1173" s="11"/>
      <c r="I1173" s="8" t="str">
        <f aca="false">IF(AND(G1173&lt;&gt;"",H1173&lt;&gt;""),G1173*H1173,"")</f>
        <v/>
      </c>
    </row>
    <row r="1174" customFormat="false" ht="15" hidden="false" customHeight="false" outlineLevel="0" collapsed="false">
      <c r="A1174" s="9"/>
      <c r="B1174" s="10"/>
      <c r="C1174" s="9"/>
      <c r="D1174" s="9"/>
      <c r="E1174" s="9"/>
      <c r="F1174" s="9"/>
      <c r="G1174" s="9"/>
      <c r="H1174" s="11"/>
      <c r="I1174" s="8" t="str">
        <f aca="false">IF(AND(G1174&lt;&gt;"",H1174&lt;&gt;""),G1174*H1174,"")</f>
        <v/>
      </c>
    </row>
    <row r="1175" customFormat="false" ht="15" hidden="false" customHeight="false" outlineLevel="0" collapsed="false">
      <c r="A1175" s="9"/>
      <c r="B1175" s="10"/>
      <c r="C1175" s="9"/>
      <c r="D1175" s="9"/>
      <c r="E1175" s="9"/>
      <c r="F1175" s="9"/>
      <c r="G1175" s="9"/>
      <c r="H1175" s="11"/>
      <c r="I1175" s="8" t="str">
        <f aca="false">IF(AND(G1175&lt;&gt;"",H1175&lt;&gt;""),G1175*H1175,"")</f>
        <v/>
      </c>
    </row>
    <row r="1176" customFormat="false" ht="15" hidden="false" customHeight="false" outlineLevel="0" collapsed="false">
      <c r="A1176" s="9"/>
      <c r="B1176" s="10"/>
      <c r="C1176" s="9"/>
      <c r="D1176" s="9"/>
      <c r="E1176" s="9"/>
      <c r="F1176" s="9"/>
      <c r="G1176" s="9"/>
      <c r="H1176" s="11"/>
      <c r="I1176" s="8" t="str">
        <f aca="false">IF(AND(G1176&lt;&gt;"",H1176&lt;&gt;""),G1176*H1176,"")</f>
        <v/>
      </c>
    </row>
    <row r="1177" customFormat="false" ht="15" hidden="false" customHeight="false" outlineLevel="0" collapsed="false">
      <c r="A1177" s="9"/>
      <c r="B1177" s="10"/>
      <c r="C1177" s="9"/>
      <c r="D1177" s="9"/>
      <c r="E1177" s="9"/>
      <c r="F1177" s="9"/>
      <c r="G1177" s="9"/>
      <c r="H1177" s="11"/>
      <c r="I1177" s="8" t="str">
        <f aca="false">IF(AND(G1177&lt;&gt;"",H1177&lt;&gt;""),G1177*H1177,"")</f>
        <v/>
      </c>
    </row>
    <row r="1178" customFormat="false" ht="15" hidden="false" customHeight="false" outlineLevel="0" collapsed="false">
      <c r="A1178" s="9"/>
      <c r="B1178" s="10"/>
      <c r="C1178" s="9"/>
      <c r="D1178" s="9"/>
      <c r="E1178" s="9"/>
      <c r="F1178" s="9"/>
      <c r="G1178" s="9"/>
      <c r="H1178" s="11"/>
      <c r="I1178" s="8" t="str">
        <f aca="false">IF(AND(G1178&lt;&gt;"",H1178&lt;&gt;""),G1178*H1178,"")</f>
        <v/>
      </c>
    </row>
    <row r="1179" customFormat="false" ht="15" hidden="false" customHeight="false" outlineLevel="0" collapsed="false">
      <c r="A1179" s="9"/>
      <c r="B1179" s="10"/>
      <c r="C1179" s="9"/>
      <c r="D1179" s="9"/>
      <c r="E1179" s="9"/>
      <c r="F1179" s="9"/>
      <c r="G1179" s="9"/>
      <c r="H1179" s="11"/>
      <c r="I1179" s="8" t="str">
        <f aca="false">IF(AND(G1179&lt;&gt;"",H1179&lt;&gt;""),G1179*H1179,"")</f>
        <v/>
      </c>
    </row>
    <row r="1180" customFormat="false" ht="15" hidden="false" customHeight="false" outlineLevel="0" collapsed="false">
      <c r="A1180" s="9"/>
      <c r="B1180" s="10"/>
      <c r="C1180" s="9"/>
      <c r="D1180" s="9"/>
      <c r="E1180" s="9"/>
      <c r="F1180" s="9"/>
      <c r="G1180" s="9"/>
      <c r="H1180" s="11"/>
      <c r="I1180" s="8" t="str">
        <f aca="false">IF(AND(G1180&lt;&gt;"",H1180&lt;&gt;""),G1180*H1180,"")</f>
        <v/>
      </c>
    </row>
    <row r="1181" customFormat="false" ht="15" hidden="false" customHeight="false" outlineLevel="0" collapsed="false">
      <c r="A1181" s="9"/>
      <c r="B1181" s="10"/>
      <c r="C1181" s="9"/>
      <c r="D1181" s="9"/>
      <c r="E1181" s="9"/>
      <c r="F1181" s="9"/>
      <c r="G1181" s="9"/>
      <c r="H1181" s="11"/>
      <c r="I1181" s="8" t="str">
        <f aca="false">IF(AND(G1181&lt;&gt;"",H1181&lt;&gt;""),G1181*H1181,"")</f>
        <v/>
      </c>
    </row>
    <row r="1182" customFormat="false" ht="15" hidden="false" customHeight="false" outlineLevel="0" collapsed="false">
      <c r="A1182" s="9"/>
      <c r="B1182" s="10"/>
      <c r="C1182" s="9"/>
      <c r="D1182" s="9"/>
      <c r="E1182" s="9"/>
      <c r="F1182" s="9"/>
      <c r="G1182" s="9"/>
      <c r="H1182" s="11"/>
      <c r="I1182" s="8" t="str">
        <f aca="false">IF(AND(G1182&lt;&gt;"",H1182&lt;&gt;""),G1182*H1182,"")</f>
        <v/>
      </c>
    </row>
    <row r="1183" customFormat="false" ht="15" hidden="false" customHeight="false" outlineLevel="0" collapsed="false">
      <c r="A1183" s="9"/>
      <c r="B1183" s="10"/>
      <c r="C1183" s="9"/>
      <c r="D1183" s="9"/>
      <c r="E1183" s="9"/>
      <c r="F1183" s="9"/>
      <c r="G1183" s="9"/>
      <c r="H1183" s="11"/>
      <c r="I1183" s="8" t="str">
        <f aca="false">IF(AND(G1183&lt;&gt;"",H1183&lt;&gt;""),G1183*H1183,"")</f>
        <v/>
      </c>
    </row>
    <row r="1184" customFormat="false" ht="15" hidden="false" customHeight="false" outlineLevel="0" collapsed="false">
      <c r="A1184" s="9"/>
      <c r="B1184" s="10"/>
      <c r="C1184" s="9"/>
      <c r="D1184" s="9"/>
      <c r="E1184" s="9"/>
      <c r="F1184" s="9"/>
      <c r="G1184" s="9"/>
      <c r="H1184" s="11"/>
      <c r="I1184" s="8" t="str">
        <f aca="false">IF(AND(G1184&lt;&gt;"",H1184&lt;&gt;""),G1184*H1184,"")</f>
        <v/>
      </c>
    </row>
    <row r="1185" customFormat="false" ht="15" hidden="false" customHeight="false" outlineLevel="0" collapsed="false">
      <c r="A1185" s="9"/>
      <c r="B1185" s="10"/>
      <c r="C1185" s="9"/>
      <c r="D1185" s="9"/>
      <c r="E1185" s="9"/>
      <c r="F1185" s="9"/>
      <c r="G1185" s="9"/>
      <c r="H1185" s="11"/>
      <c r="I1185" s="8" t="str">
        <f aca="false">IF(AND(G1185&lt;&gt;"",H1185&lt;&gt;""),G1185*H1185,"")</f>
        <v/>
      </c>
    </row>
    <row r="1186" customFormat="false" ht="15" hidden="false" customHeight="false" outlineLevel="0" collapsed="false">
      <c r="A1186" s="9"/>
      <c r="B1186" s="10"/>
      <c r="C1186" s="9"/>
      <c r="D1186" s="9"/>
      <c r="E1186" s="9"/>
      <c r="F1186" s="9"/>
      <c r="G1186" s="9"/>
      <c r="H1186" s="11"/>
      <c r="I1186" s="8" t="str">
        <f aca="false">IF(AND(G1186&lt;&gt;"",H1186&lt;&gt;""),G1186*H1186,"")</f>
        <v/>
      </c>
    </row>
    <row r="1187" customFormat="false" ht="15" hidden="false" customHeight="false" outlineLevel="0" collapsed="false">
      <c r="A1187" s="9"/>
      <c r="B1187" s="10"/>
      <c r="C1187" s="9"/>
      <c r="D1187" s="9"/>
      <c r="E1187" s="9"/>
      <c r="F1187" s="9"/>
      <c r="G1187" s="9"/>
      <c r="H1187" s="11"/>
      <c r="I1187" s="8" t="str">
        <f aca="false">IF(AND(G1187&lt;&gt;"",H1187&lt;&gt;""),G1187*H1187,"")</f>
        <v/>
      </c>
    </row>
    <row r="1188" customFormat="false" ht="15" hidden="false" customHeight="false" outlineLevel="0" collapsed="false">
      <c r="A1188" s="9"/>
      <c r="B1188" s="10"/>
      <c r="C1188" s="9"/>
      <c r="D1188" s="9"/>
      <c r="E1188" s="9"/>
      <c r="F1188" s="9"/>
      <c r="G1188" s="9"/>
      <c r="H1188" s="11"/>
      <c r="I1188" s="8" t="str">
        <f aca="false">IF(AND(G1188&lt;&gt;"",H1188&lt;&gt;""),G1188*H1188,"")</f>
        <v/>
      </c>
    </row>
    <row r="1189" customFormat="false" ht="15" hidden="false" customHeight="false" outlineLevel="0" collapsed="false">
      <c r="A1189" s="9"/>
      <c r="B1189" s="10"/>
      <c r="C1189" s="9"/>
      <c r="D1189" s="9"/>
      <c r="E1189" s="9"/>
      <c r="F1189" s="9"/>
      <c r="G1189" s="9"/>
      <c r="H1189" s="11"/>
      <c r="I1189" s="8" t="str">
        <f aca="false">IF(AND(G1189&lt;&gt;"",H1189&lt;&gt;""),G1189*H1189,"")</f>
        <v/>
      </c>
    </row>
    <row r="1190" customFormat="false" ht="15" hidden="false" customHeight="false" outlineLevel="0" collapsed="false">
      <c r="A1190" s="9"/>
      <c r="B1190" s="10"/>
      <c r="C1190" s="9"/>
      <c r="D1190" s="9"/>
      <c r="E1190" s="9"/>
      <c r="F1190" s="9"/>
      <c r="G1190" s="9"/>
      <c r="H1190" s="11"/>
      <c r="I1190" s="8" t="str">
        <f aca="false">IF(AND(G1190&lt;&gt;"",H1190&lt;&gt;""),G1190*H1190,"")</f>
        <v/>
      </c>
    </row>
    <row r="1191" customFormat="false" ht="15" hidden="false" customHeight="false" outlineLevel="0" collapsed="false">
      <c r="A1191" s="9"/>
      <c r="B1191" s="10"/>
      <c r="C1191" s="9"/>
      <c r="D1191" s="9"/>
      <c r="E1191" s="9"/>
      <c r="F1191" s="9"/>
      <c r="G1191" s="9"/>
      <c r="H1191" s="11"/>
      <c r="I1191" s="8" t="str">
        <f aca="false">IF(AND(G1191&lt;&gt;"",H1191&lt;&gt;""),G1191*H1191,"")</f>
        <v/>
      </c>
    </row>
    <row r="1192" customFormat="false" ht="15" hidden="false" customHeight="false" outlineLevel="0" collapsed="false">
      <c r="A1192" s="9"/>
      <c r="B1192" s="10"/>
      <c r="C1192" s="9"/>
      <c r="D1192" s="9"/>
      <c r="E1192" s="9"/>
      <c r="F1192" s="9"/>
      <c r="G1192" s="9"/>
      <c r="H1192" s="11"/>
      <c r="I1192" s="8" t="str">
        <f aca="false">IF(AND(G1192&lt;&gt;"",H1192&lt;&gt;""),G1192*H1192,"")</f>
        <v/>
      </c>
    </row>
    <row r="1193" customFormat="false" ht="15" hidden="false" customHeight="false" outlineLevel="0" collapsed="false">
      <c r="A1193" s="9"/>
      <c r="B1193" s="10"/>
      <c r="C1193" s="9"/>
      <c r="D1193" s="9"/>
      <c r="E1193" s="9"/>
      <c r="F1193" s="9"/>
      <c r="G1193" s="9"/>
      <c r="H1193" s="11"/>
      <c r="I1193" s="8" t="str">
        <f aca="false">IF(AND(G1193&lt;&gt;"",H1193&lt;&gt;""),G1193*H1193,"")</f>
        <v/>
      </c>
    </row>
    <row r="1194" customFormat="false" ht="15" hidden="false" customHeight="false" outlineLevel="0" collapsed="false">
      <c r="A1194" s="9"/>
      <c r="B1194" s="10"/>
      <c r="C1194" s="9"/>
      <c r="D1194" s="9"/>
      <c r="E1194" s="9"/>
      <c r="F1194" s="9"/>
      <c r="G1194" s="9"/>
      <c r="H1194" s="11"/>
      <c r="I1194" s="8" t="str">
        <f aca="false">IF(AND(G1194&lt;&gt;"",H1194&lt;&gt;""),G1194*H1194,"")</f>
        <v/>
      </c>
    </row>
    <row r="1195" customFormat="false" ht="15" hidden="false" customHeight="false" outlineLevel="0" collapsed="false">
      <c r="A1195" s="9"/>
      <c r="B1195" s="10"/>
      <c r="C1195" s="9"/>
      <c r="D1195" s="9"/>
      <c r="E1195" s="9"/>
      <c r="F1195" s="9"/>
      <c r="G1195" s="9"/>
      <c r="H1195" s="11"/>
      <c r="I1195" s="8" t="str">
        <f aca="false">IF(AND(G1195&lt;&gt;"",H1195&lt;&gt;""),G1195*H1195,"")</f>
        <v/>
      </c>
    </row>
    <row r="1196" customFormat="false" ht="15" hidden="false" customHeight="false" outlineLevel="0" collapsed="false">
      <c r="A1196" s="9"/>
      <c r="B1196" s="10"/>
      <c r="C1196" s="9"/>
      <c r="D1196" s="9"/>
      <c r="E1196" s="9"/>
      <c r="F1196" s="9"/>
      <c r="G1196" s="9"/>
      <c r="H1196" s="11"/>
      <c r="I1196" s="8" t="str">
        <f aca="false">IF(AND(G1196&lt;&gt;"",H1196&lt;&gt;""),G1196*H1196,"")</f>
        <v/>
      </c>
    </row>
    <row r="1197" customFormat="false" ht="15" hidden="false" customHeight="false" outlineLevel="0" collapsed="false">
      <c r="A1197" s="9"/>
      <c r="B1197" s="10"/>
      <c r="C1197" s="9"/>
      <c r="D1197" s="9"/>
      <c r="E1197" s="9"/>
      <c r="F1197" s="9"/>
      <c r="G1197" s="9"/>
      <c r="H1197" s="11"/>
      <c r="I1197" s="8" t="str">
        <f aca="false">IF(AND(G1197&lt;&gt;"",H1197&lt;&gt;""),G1197*H1197,"")</f>
        <v/>
      </c>
    </row>
    <row r="1198" customFormat="false" ht="15" hidden="false" customHeight="false" outlineLevel="0" collapsed="false">
      <c r="A1198" s="9"/>
      <c r="B1198" s="10"/>
      <c r="C1198" s="9"/>
      <c r="D1198" s="9"/>
      <c r="E1198" s="9"/>
      <c r="F1198" s="9"/>
      <c r="G1198" s="9"/>
      <c r="H1198" s="11"/>
      <c r="I1198" s="8" t="str">
        <f aca="false">IF(AND(G1198&lt;&gt;"",H1198&lt;&gt;""),G1198*H1198,"")</f>
        <v/>
      </c>
    </row>
    <row r="1199" customFormat="false" ht="15" hidden="false" customHeight="false" outlineLevel="0" collapsed="false">
      <c r="A1199" s="9"/>
      <c r="B1199" s="10"/>
      <c r="C1199" s="9"/>
      <c r="D1199" s="9"/>
      <c r="E1199" s="9"/>
      <c r="F1199" s="9"/>
      <c r="G1199" s="9"/>
      <c r="H1199" s="11"/>
      <c r="I1199" s="8" t="str">
        <f aca="false">IF(AND(G1199&lt;&gt;"",H1199&lt;&gt;""),G1199*H1199,"")</f>
        <v/>
      </c>
    </row>
    <row r="1200" customFormat="false" ht="15" hidden="false" customHeight="false" outlineLevel="0" collapsed="false">
      <c r="A1200" s="9"/>
      <c r="B1200" s="10"/>
      <c r="C1200" s="9"/>
      <c r="D1200" s="9"/>
      <c r="E1200" s="9"/>
      <c r="F1200" s="9"/>
      <c r="G1200" s="9"/>
      <c r="H1200" s="11"/>
      <c r="I1200" s="8" t="str">
        <f aca="false">IF(AND(G1200&lt;&gt;"",H1200&lt;&gt;""),G1200*H1200,"")</f>
        <v/>
      </c>
    </row>
    <row r="1201" customFormat="false" ht="15" hidden="false" customHeight="false" outlineLevel="0" collapsed="false">
      <c r="A1201" s="9"/>
      <c r="B1201" s="10"/>
      <c r="C1201" s="9"/>
      <c r="D1201" s="9"/>
      <c r="E1201" s="9"/>
      <c r="F1201" s="9"/>
      <c r="G1201" s="9"/>
      <c r="H1201" s="11"/>
      <c r="I1201" s="8" t="str">
        <f aca="false">IF(AND(G1201&lt;&gt;"",H1201&lt;&gt;""),G1201*H1201,"")</f>
        <v/>
      </c>
    </row>
    <row r="1202" customFormat="false" ht="15" hidden="false" customHeight="false" outlineLevel="0" collapsed="false">
      <c r="A1202" s="9"/>
      <c r="B1202" s="10"/>
      <c r="C1202" s="9"/>
      <c r="D1202" s="9"/>
      <c r="E1202" s="9"/>
      <c r="F1202" s="9"/>
      <c r="G1202" s="9"/>
      <c r="H1202" s="11"/>
      <c r="I1202" s="8" t="str">
        <f aca="false">IF(AND(G1202&lt;&gt;"",H1202&lt;&gt;""),G1202*H1202,"")</f>
        <v/>
      </c>
    </row>
    <row r="1203" customFormat="false" ht="15" hidden="false" customHeight="false" outlineLevel="0" collapsed="false">
      <c r="A1203" s="9"/>
      <c r="B1203" s="10"/>
      <c r="C1203" s="9"/>
      <c r="D1203" s="9"/>
      <c r="E1203" s="9"/>
      <c r="F1203" s="9"/>
      <c r="G1203" s="9"/>
      <c r="H1203" s="11"/>
      <c r="I1203" s="8" t="str">
        <f aca="false">IF(AND(G1203&lt;&gt;"",H1203&lt;&gt;""),G1203*H1203,"")</f>
        <v/>
      </c>
    </row>
    <row r="1204" customFormat="false" ht="15" hidden="false" customHeight="false" outlineLevel="0" collapsed="false">
      <c r="A1204" s="9"/>
      <c r="B1204" s="10"/>
      <c r="C1204" s="9"/>
      <c r="D1204" s="9"/>
      <c r="E1204" s="9"/>
      <c r="F1204" s="9"/>
      <c r="G1204" s="9"/>
      <c r="H1204" s="11"/>
      <c r="I1204" s="8" t="str">
        <f aca="false">IF(AND(G1204&lt;&gt;"",H1204&lt;&gt;""),G1204*H1204,"")</f>
        <v/>
      </c>
    </row>
    <row r="1205" customFormat="false" ht="15" hidden="false" customHeight="false" outlineLevel="0" collapsed="false">
      <c r="A1205" s="9"/>
      <c r="B1205" s="10"/>
      <c r="C1205" s="9"/>
      <c r="D1205" s="9"/>
      <c r="E1205" s="9"/>
      <c r="F1205" s="9"/>
      <c r="G1205" s="9"/>
      <c r="H1205" s="11"/>
      <c r="I1205" s="8" t="str">
        <f aca="false">IF(AND(G1205&lt;&gt;"",H1205&lt;&gt;""),G1205*H1205,"")</f>
        <v/>
      </c>
    </row>
    <row r="1206" customFormat="false" ht="15" hidden="false" customHeight="false" outlineLevel="0" collapsed="false">
      <c r="A1206" s="9"/>
      <c r="B1206" s="10"/>
      <c r="C1206" s="9"/>
      <c r="D1206" s="9"/>
      <c r="E1206" s="9"/>
      <c r="F1206" s="9"/>
      <c r="G1206" s="9"/>
      <c r="H1206" s="11"/>
      <c r="I1206" s="8" t="str">
        <f aca="false">IF(AND(G1206&lt;&gt;"",H1206&lt;&gt;""),G1206*H1206,"")</f>
        <v/>
      </c>
    </row>
    <row r="1207" customFormat="false" ht="15" hidden="false" customHeight="false" outlineLevel="0" collapsed="false">
      <c r="A1207" s="9"/>
      <c r="B1207" s="10"/>
      <c r="C1207" s="9"/>
      <c r="D1207" s="9"/>
      <c r="E1207" s="9"/>
      <c r="F1207" s="9"/>
      <c r="G1207" s="9"/>
      <c r="H1207" s="11"/>
      <c r="I1207" s="8" t="str">
        <f aca="false">IF(AND(G1207&lt;&gt;"",H1207&lt;&gt;""),G1207*H1207,"")</f>
        <v/>
      </c>
    </row>
    <row r="1208" customFormat="false" ht="15" hidden="false" customHeight="false" outlineLevel="0" collapsed="false">
      <c r="A1208" s="9"/>
      <c r="B1208" s="10"/>
      <c r="C1208" s="9"/>
      <c r="D1208" s="9"/>
      <c r="E1208" s="9"/>
      <c r="F1208" s="9"/>
      <c r="G1208" s="9"/>
      <c r="H1208" s="11"/>
      <c r="I1208" s="8" t="str">
        <f aca="false">IF(AND(G1208&lt;&gt;"",H1208&lt;&gt;""),G1208*H1208,"")</f>
        <v/>
      </c>
    </row>
    <row r="1209" customFormat="false" ht="15" hidden="false" customHeight="false" outlineLevel="0" collapsed="false">
      <c r="A1209" s="9"/>
      <c r="B1209" s="10"/>
      <c r="C1209" s="9"/>
      <c r="D1209" s="9"/>
      <c r="E1209" s="9"/>
      <c r="F1209" s="9"/>
      <c r="G1209" s="9"/>
      <c r="H1209" s="11"/>
      <c r="I1209" s="8" t="str">
        <f aca="false">IF(AND(G1209&lt;&gt;"",H1209&lt;&gt;""),G1209*H1209,"")</f>
        <v/>
      </c>
    </row>
    <row r="1210" customFormat="false" ht="15" hidden="false" customHeight="false" outlineLevel="0" collapsed="false">
      <c r="A1210" s="9"/>
      <c r="B1210" s="10"/>
      <c r="C1210" s="9"/>
      <c r="D1210" s="9"/>
      <c r="E1210" s="9"/>
      <c r="F1210" s="9"/>
      <c r="G1210" s="9"/>
      <c r="H1210" s="11"/>
      <c r="I1210" s="8" t="str">
        <f aca="false">IF(AND(G1210&lt;&gt;"",H1210&lt;&gt;""),G1210*H1210,"")</f>
        <v/>
      </c>
    </row>
    <row r="1211" customFormat="false" ht="15" hidden="false" customHeight="false" outlineLevel="0" collapsed="false">
      <c r="A1211" s="9"/>
      <c r="B1211" s="10"/>
      <c r="C1211" s="9"/>
      <c r="D1211" s="9"/>
      <c r="E1211" s="9"/>
      <c r="F1211" s="9"/>
      <c r="G1211" s="9"/>
      <c r="H1211" s="11"/>
      <c r="I1211" s="8" t="str">
        <f aca="false">IF(AND(G1211&lt;&gt;"",H1211&lt;&gt;""),G1211*H1211,"")</f>
        <v/>
      </c>
    </row>
    <row r="1212" customFormat="false" ht="15" hidden="false" customHeight="false" outlineLevel="0" collapsed="false">
      <c r="A1212" s="9"/>
      <c r="B1212" s="10"/>
      <c r="C1212" s="9"/>
      <c r="D1212" s="9"/>
      <c r="E1212" s="9"/>
      <c r="F1212" s="9"/>
      <c r="G1212" s="9"/>
      <c r="H1212" s="11"/>
      <c r="I1212" s="8" t="str">
        <f aca="false">IF(AND(G1212&lt;&gt;"",H1212&lt;&gt;""),G1212*H1212,"")</f>
        <v/>
      </c>
    </row>
    <row r="1213" customFormat="false" ht="15" hidden="false" customHeight="false" outlineLevel="0" collapsed="false">
      <c r="A1213" s="9"/>
      <c r="B1213" s="10"/>
      <c r="C1213" s="9"/>
      <c r="D1213" s="9"/>
      <c r="E1213" s="9"/>
      <c r="F1213" s="9"/>
      <c r="G1213" s="9"/>
      <c r="H1213" s="11"/>
      <c r="I1213" s="8" t="str">
        <f aca="false">IF(AND(G1213&lt;&gt;"",H1213&lt;&gt;""),G1213*H1213,"")</f>
        <v/>
      </c>
    </row>
    <row r="1214" customFormat="false" ht="15" hidden="false" customHeight="false" outlineLevel="0" collapsed="false">
      <c r="A1214" s="9"/>
      <c r="B1214" s="10"/>
      <c r="C1214" s="9"/>
      <c r="D1214" s="9"/>
      <c r="E1214" s="9"/>
      <c r="F1214" s="9"/>
      <c r="G1214" s="9"/>
      <c r="H1214" s="11"/>
      <c r="I1214" s="8" t="str">
        <f aca="false">IF(AND(G1214&lt;&gt;"",H1214&lt;&gt;""),G1214*H1214,"")</f>
        <v/>
      </c>
    </row>
    <row r="1215" customFormat="false" ht="15" hidden="false" customHeight="false" outlineLevel="0" collapsed="false">
      <c r="A1215" s="9"/>
      <c r="B1215" s="10"/>
      <c r="C1215" s="9"/>
      <c r="D1215" s="9"/>
      <c r="E1215" s="9"/>
      <c r="F1215" s="9"/>
      <c r="G1215" s="9"/>
      <c r="H1215" s="11"/>
      <c r="I1215" s="8" t="str">
        <f aca="false">IF(AND(G1215&lt;&gt;"",H1215&lt;&gt;""),G1215*H1215,"")</f>
        <v/>
      </c>
    </row>
    <row r="1216" customFormat="false" ht="15" hidden="false" customHeight="false" outlineLevel="0" collapsed="false">
      <c r="A1216" s="9"/>
      <c r="B1216" s="10"/>
      <c r="C1216" s="9"/>
      <c r="D1216" s="9"/>
      <c r="E1216" s="9"/>
      <c r="F1216" s="9"/>
      <c r="G1216" s="9"/>
      <c r="H1216" s="11"/>
      <c r="I1216" s="8" t="str">
        <f aca="false">IF(AND(G1216&lt;&gt;"",H1216&lt;&gt;""),G1216*H1216,"")</f>
        <v/>
      </c>
    </row>
    <row r="1217" customFormat="false" ht="15" hidden="false" customHeight="false" outlineLevel="0" collapsed="false">
      <c r="A1217" s="9"/>
      <c r="B1217" s="10"/>
      <c r="C1217" s="9"/>
      <c r="D1217" s="9"/>
      <c r="E1217" s="9"/>
      <c r="F1217" s="9"/>
      <c r="G1217" s="9"/>
      <c r="H1217" s="11"/>
      <c r="I1217" s="8" t="str">
        <f aca="false">IF(AND(G1217&lt;&gt;"",H1217&lt;&gt;""),G1217*H1217,"")</f>
        <v/>
      </c>
    </row>
    <row r="1218" customFormat="false" ht="15" hidden="false" customHeight="false" outlineLevel="0" collapsed="false">
      <c r="A1218" s="9"/>
      <c r="B1218" s="10"/>
      <c r="C1218" s="9"/>
      <c r="D1218" s="9"/>
      <c r="E1218" s="9"/>
      <c r="F1218" s="9"/>
      <c r="G1218" s="9"/>
      <c r="H1218" s="11"/>
      <c r="I1218" s="8" t="str">
        <f aca="false">IF(AND(G1218&lt;&gt;"",H1218&lt;&gt;""),G1218*H1218,"")</f>
        <v/>
      </c>
    </row>
    <row r="1219" customFormat="false" ht="15" hidden="false" customHeight="false" outlineLevel="0" collapsed="false">
      <c r="A1219" s="9"/>
      <c r="B1219" s="10"/>
      <c r="C1219" s="9"/>
      <c r="D1219" s="9"/>
      <c r="E1219" s="9"/>
      <c r="F1219" s="9"/>
      <c r="G1219" s="9"/>
      <c r="H1219" s="11"/>
      <c r="I1219" s="8" t="str">
        <f aca="false">IF(AND(G1219&lt;&gt;"",H1219&lt;&gt;""),G1219*H1219,"")</f>
        <v/>
      </c>
    </row>
    <row r="1220" customFormat="false" ht="15" hidden="false" customHeight="false" outlineLevel="0" collapsed="false">
      <c r="A1220" s="9"/>
      <c r="B1220" s="10"/>
      <c r="C1220" s="9"/>
      <c r="D1220" s="9"/>
      <c r="E1220" s="9"/>
      <c r="F1220" s="9"/>
      <c r="G1220" s="9"/>
      <c r="H1220" s="11"/>
      <c r="I1220" s="8" t="str">
        <f aca="false">IF(AND(G1220&lt;&gt;"",H1220&lt;&gt;""),G1220*H1220,"")</f>
        <v/>
      </c>
    </row>
    <row r="1221" customFormat="false" ht="15" hidden="false" customHeight="false" outlineLevel="0" collapsed="false">
      <c r="A1221" s="9"/>
      <c r="B1221" s="10"/>
      <c r="C1221" s="9"/>
      <c r="D1221" s="9"/>
      <c r="E1221" s="9"/>
      <c r="F1221" s="9"/>
      <c r="G1221" s="9"/>
      <c r="H1221" s="11"/>
      <c r="I1221" s="8" t="str">
        <f aca="false">IF(AND(G1221&lt;&gt;"",H1221&lt;&gt;""),G1221*H1221,"")</f>
        <v/>
      </c>
    </row>
    <row r="1222" customFormat="false" ht="15" hidden="false" customHeight="false" outlineLevel="0" collapsed="false">
      <c r="A1222" s="9"/>
      <c r="B1222" s="10"/>
      <c r="C1222" s="9"/>
      <c r="D1222" s="9"/>
      <c r="E1222" s="9"/>
      <c r="F1222" s="9"/>
      <c r="G1222" s="9"/>
      <c r="H1222" s="11"/>
      <c r="I1222" s="8" t="str">
        <f aca="false">IF(AND(G1222&lt;&gt;"",H1222&lt;&gt;""),G1222*H1222,"")</f>
        <v/>
      </c>
    </row>
    <row r="1223" customFormat="false" ht="15" hidden="false" customHeight="false" outlineLevel="0" collapsed="false">
      <c r="A1223" s="9"/>
      <c r="B1223" s="10"/>
      <c r="C1223" s="9"/>
      <c r="D1223" s="9"/>
      <c r="E1223" s="9"/>
      <c r="F1223" s="9"/>
      <c r="G1223" s="9"/>
      <c r="H1223" s="11"/>
      <c r="I1223" s="8" t="str">
        <f aca="false">IF(AND(G1223&lt;&gt;"",H1223&lt;&gt;""),G1223*H1223,"")</f>
        <v/>
      </c>
    </row>
    <row r="1224" customFormat="false" ht="15" hidden="false" customHeight="false" outlineLevel="0" collapsed="false">
      <c r="A1224" s="9"/>
      <c r="B1224" s="10"/>
      <c r="C1224" s="9"/>
      <c r="D1224" s="9"/>
      <c r="E1224" s="9"/>
      <c r="F1224" s="9"/>
      <c r="G1224" s="9"/>
      <c r="H1224" s="11"/>
      <c r="I1224" s="8" t="str">
        <f aca="false">IF(AND(G1224&lt;&gt;"",H1224&lt;&gt;""),G1224*H1224,"")</f>
        <v/>
      </c>
    </row>
    <row r="1225" customFormat="false" ht="15" hidden="false" customHeight="false" outlineLevel="0" collapsed="false">
      <c r="A1225" s="9"/>
      <c r="B1225" s="10"/>
      <c r="C1225" s="9"/>
      <c r="D1225" s="9"/>
      <c r="E1225" s="9"/>
      <c r="F1225" s="9"/>
      <c r="G1225" s="9"/>
      <c r="H1225" s="11"/>
      <c r="I1225" s="8" t="str">
        <f aca="false">IF(AND(G1225&lt;&gt;"",H1225&lt;&gt;""),G1225*H1225,"")</f>
        <v/>
      </c>
    </row>
    <row r="1226" customFormat="false" ht="15" hidden="false" customHeight="false" outlineLevel="0" collapsed="false">
      <c r="A1226" s="9"/>
      <c r="B1226" s="10"/>
      <c r="C1226" s="9"/>
      <c r="D1226" s="9"/>
      <c r="E1226" s="9"/>
      <c r="F1226" s="9"/>
      <c r="G1226" s="9"/>
      <c r="H1226" s="11"/>
      <c r="I1226" s="8" t="str">
        <f aca="false">IF(AND(G1226&lt;&gt;"",H1226&lt;&gt;""),G1226*H1226,"")</f>
        <v/>
      </c>
    </row>
    <row r="1227" customFormat="false" ht="15" hidden="false" customHeight="false" outlineLevel="0" collapsed="false">
      <c r="A1227" s="9"/>
      <c r="B1227" s="10"/>
      <c r="C1227" s="9"/>
      <c r="D1227" s="9"/>
      <c r="E1227" s="9"/>
      <c r="F1227" s="9"/>
      <c r="G1227" s="9"/>
      <c r="H1227" s="11"/>
      <c r="I1227" s="8" t="str">
        <f aca="false">IF(AND(G1227&lt;&gt;"",H1227&lt;&gt;""),G1227*H1227,"")</f>
        <v/>
      </c>
    </row>
    <row r="1228" customFormat="false" ht="15" hidden="false" customHeight="false" outlineLevel="0" collapsed="false">
      <c r="A1228" s="9"/>
      <c r="B1228" s="10"/>
      <c r="C1228" s="9"/>
      <c r="D1228" s="9"/>
      <c r="E1228" s="9"/>
      <c r="F1228" s="9"/>
      <c r="G1228" s="9"/>
      <c r="H1228" s="11"/>
      <c r="I1228" s="8" t="str">
        <f aca="false">IF(AND(G1228&lt;&gt;"",H1228&lt;&gt;""),G1228*H1228,"")</f>
        <v/>
      </c>
    </row>
    <row r="1229" customFormat="false" ht="15" hidden="false" customHeight="false" outlineLevel="0" collapsed="false">
      <c r="A1229" s="9"/>
      <c r="B1229" s="10"/>
      <c r="C1229" s="9"/>
      <c r="D1229" s="9"/>
      <c r="E1229" s="9"/>
      <c r="F1229" s="9"/>
      <c r="G1229" s="9"/>
      <c r="H1229" s="11"/>
      <c r="I1229" s="8" t="str">
        <f aca="false">IF(AND(G1229&lt;&gt;"",H1229&lt;&gt;""),G1229*H1229,"")</f>
        <v/>
      </c>
    </row>
    <row r="1230" customFormat="false" ht="15" hidden="false" customHeight="false" outlineLevel="0" collapsed="false">
      <c r="A1230" s="9"/>
      <c r="B1230" s="10"/>
      <c r="C1230" s="9"/>
      <c r="D1230" s="9"/>
      <c r="E1230" s="9"/>
      <c r="F1230" s="9"/>
      <c r="G1230" s="9"/>
      <c r="H1230" s="11"/>
      <c r="I1230" s="8" t="str">
        <f aca="false">IF(AND(G1230&lt;&gt;"",H1230&lt;&gt;""),G1230*H1230,"")</f>
        <v/>
      </c>
    </row>
    <row r="1231" customFormat="false" ht="15" hidden="false" customHeight="false" outlineLevel="0" collapsed="false">
      <c r="A1231" s="9"/>
      <c r="B1231" s="10"/>
      <c r="C1231" s="9"/>
      <c r="D1231" s="9"/>
      <c r="E1231" s="9"/>
      <c r="F1231" s="9"/>
      <c r="G1231" s="9"/>
      <c r="H1231" s="11"/>
      <c r="I1231" s="8" t="str">
        <f aca="false">IF(AND(G1231&lt;&gt;"",H1231&lt;&gt;""),G1231*H1231,"")</f>
        <v/>
      </c>
    </row>
    <row r="1232" customFormat="false" ht="15" hidden="false" customHeight="false" outlineLevel="0" collapsed="false">
      <c r="A1232" s="9"/>
      <c r="B1232" s="10"/>
      <c r="C1232" s="9"/>
      <c r="D1232" s="9"/>
      <c r="E1232" s="9"/>
      <c r="F1232" s="9"/>
      <c r="G1232" s="9"/>
      <c r="H1232" s="11"/>
      <c r="I1232" s="8" t="str">
        <f aca="false">IF(AND(G1232&lt;&gt;"",H1232&lt;&gt;""),G1232*H1232,"")</f>
        <v/>
      </c>
    </row>
    <row r="1233" customFormat="false" ht="15" hidden="false" customHeight="false" outlineLevel="0" collapsed="false">
      <c r="A1233" s="9"/>
      <c r="B1233" s="10"/>
      <c r="C1233" s="9"/>
      <c r="D1233" s="9"/>
      <c r="E1233" s="9"/>
      <c r="F1233" s="9"/>
      <c r="G1233" s="9"/>
      <c r="H1233" s="11"/>
      <c r="I1233" s="8" t="str">
        <f aca="false">IF(AND(G1233&lt;&gt;"",H1233&lt;&gt;""),G1233*H1233,"")</f>
        <v/>
      </c>
    </row>
    <row r="1234" customFormat="false" ht="15" hidden="false" customHeight="false" outlineLevel="0" collapsed="false">
      <c r="A1234" s="9"/>
      <c r="B1234" s="10"/>
      <c r="C1234" s="9"/>
      <c r="D1234" s="9"/>
      <c r="E1234" s="9"/>
      <c r="F1234" s="9"/>
      <c r="G1234" s="9"/>
      <c r="H1234" s="11"/>
      <c r="I1234" s="8" t="str">
        <f aca="false">IF(AND(G1234&lt;&gt;"",H1234&lt;&gt;""),G1234*H1234,"")</f>
        <v/>
      </c>
    </row>
    <row r="1235" customFormat="false" ht="15" hidden="false" customHeight="false" outlineLevel="0" collapsed="false">
      <c r="A1235" s="9"/>
      <c r="B1235" s="10"/>
      <c r="C1235" s="9"/>
      <c r="D1235" s="9"/>
      <c r="E1235" s="9"/>
      <c r="F1235" s="9"/>
      <c r="G1235" s="9"/>
      <c r="H1235" s="11"/>
      <c r="I1235" s="8" t="str">
        <f aca="false">IF(AND(G1235&lt;&gt;"",H1235&lt;&gt;""),G1235*H1235,"")</f>
        <v/>
      </c>
    </row>
    <row r="1236" customFormat="false" ht="15" hidden="false" customHeight="false" outlineLevel="0" collapsed="false">
      <c r="A1236" s="9"/>
      <c r="B1236" s="10"/>
      <c r="C1236" s="9"/>
      <c r="D1236" s="9"/>
      <c r="E1236" s="9"/>
      <c r="F1236" s="9"/>
      <c r="G1236" s="9"/>
      <c r="H1236" s="11"/>
      <c r="I1236" s="8" t="str">
        <f aca="false">IF(AND(G1236&lt;&gt;"",H1236&lt;&gt;""),G1236*H1236,"")</f>
        <v/>
      </c>
    </row>
    <row r="1237" customFormat="false" ht="15" hidden="false" customHeight="false" outlineLevel="0" collapsed="false">
      <c r="A1237" s="9"/>
      <c r="B1237" s="10"/>
      <c r="C1237" s="9"/>
      <c r="D1237" s="9"/>
      <c r="E1237" s="9"/>
      <c r="F1237" s="9"/>
      <c r="G1237" s="9"/>
      <c r="H1237" s="11"/>
      <c r="I1237" s="8" t="str">
        <f aca="false">IF(AND(G1237&lt;&gt;"",H1237&lt;&gt;""),G1237*H1237,"")</f>
        <v/>
      </c>
    </row>
    <row r="1238" customFormat="false" ht="15" hidden="false" customHeight="false" outlineLevel="0" collapsed="false">
      <c r="A1238" s="9"/>
      <c r="B1238" s="10"/>
      <c r="C1238" s="9"/>
      <c r="D1238" s="9"/>
      <c r="E1238" s="9"/>
      <c r="F1238" s="9"/>
      <c r="G1238" s="9"/>
      <c r="H1238" s="11"/>
      <c r="I1238" s="8" t="str">
        <f aca="false">IF(AND(G1238&lt;&gt;"",H1238&lt;&gt;""),G1238*H1238,"")</f>
        <v/>
      </c>
    </row>
    <row r="1239" customFormat="false" ht="15" hidden="false" customHeight="false" outlineLevel="0" collapsed="false">
      <c r="A1239" s="9"/>
      <c r="B1239" s="10"/>
      <c r="C1239" s="9"/>
      <c r="D1239" s="9"/>
      <c r="E1239" s="9"/>
      <c r="F1239" s="9"/>
      <c r="G1239" s="9"/>
      <c r="H1239" s="11"/>
      <c r="I1239" s="8" t="str">
        <f aca="false">IF(AND(G1239&lt;&gt;"",H1239&lt;&gt;""),G1239*H1239,"")</f>
        <v/>
      </c>
    </row>
    <row r="1240" customFormat="false" ht="15" hidden="false" customHeight="false" outlineLevel="0" collapsed="false">
      <c r="A1240" s="9"/>
      <c r="B1240" s="10"/>
      <c r="C1240" s="9"/>
      <c r="D1240" s="9"/>
      <c r="E1240" s="9"/>
      <c r="F1240" s="9"/>
      <c r="G1240" s="9"/>
      <c r="H1240" s="11"/>
      <c r="I1240" s="8" t="str">
        <f aca="false">IF(AND(G1240&lt;&gt;"",H1240&lt;&gt;""),G1240*H1240,"")</f>
        <v/>
      </c>
    </row>
    <row r="1241" customFormat="false" ht="15" hidden="false" customHeight="false" outlineLevel="0" collapsed="false">
      <c r="A1241" s="9"/>
      <c r="B1241" s="10"/>
      <c r="C1241" s="9"/>
      <c r="D1241" s="9"/>
      <c r="E1241" s="9"/>
      <c r="F1241" s="9"/>
      <c r="G1241" s="9"/>
      <c r="H1241" s="11"/>
      <c r="I1241" s="8" t="str">
        <f aca="false">IF(AND(G1241&lt;&gt;"",H1241&lt;&gt;""),G1241*H1241,"")</f>
        <v/>
      </c>
    </row>
    <row r="1242" customFormat="false" ht="15" hidden="false" customHeight="false" outlineLevel="0" collapsed="false">
      <c r="A1242" s="9"/>
      <c r="B1242" s="10"/>
      <c r="C1242" s="9"/>
      <c r="D1242" s="9"/>
      <c r="E1242" s="9"/>
      <c r="F1242" s="9"/>
      <c r="G1242" s="9"/>
      <c r="H1242" s="11"/>
      <c r="I1242" s="8" t="str">
        <f aca="false">IF(AND(G1242&lt;&gt;"",H1242&lt;&gt;""),G1242*H1242,"")</f>
        <v/>
      </c>
    </row>
    <row r="1243" customFormat="false" ht="15" hidden="false" customHeight="false" outlineLevel="0" collapsed="false">
      <c r="A1243" s="9"/>
      <c r="B1243" s="10"/>
      <c r="C1243" s="9"/>
      <c r="D1243" s="9"/>
      <c r="E1243" s="9"/>
      <c r="F1243" s="9"/>
      <c r="G1243" s="9"/>
      <c r="H1243" s="11"/>
      <c r="I1243" s="8" t="str">
        <f aca="false">IF(AND(G1243&lt;&gt;"",H1243&lt;&gt;""),G1243*H1243,"")</f>
        <v/>
      </c>
    </row>
    <row r="1244" customFormat="false" ht="15" hidden="false" customHeight="false" outlineLevel="0" collapsed="false">
      <c r="A1244" s="9"/>
      <c r="B1244" s="10"/>
      <c r="C1244" s="9"/>
      <c r="D1244" s="9"/>
      <c r="E1244" s="9"/>
      <c r="F1244" s="9"/>
      <c r="G1244" s="9"/>
      <c r="H1244" s="11"/>
      <c r="I1244" s="8" t="str">
        <f aca="false">IF(AND(G1244&lt;&gt;"",H1244&lt;&gt;""),G1244*H1244,"")</f>
        <v/>
      </c>
    </row>
    <row r="1245" customFormat="false" ht="15" hidden="false" customHeight="false" outlineLevel="0" collapsed="false">
      <c r="A1245" s="9"/>
      <c r="B1245" s="10"/>
      <c r="C1245" s="9"/>
      <c r="D1245" s="9"/>
      <c r="E1245" s="9"/>
      <c r="F1245" s="9"/>
      <c r="G1245" s="9"/>
      <c r="H1245" s="11"/>
      <c r="I1245" s="8" t="str">
        <f aca="false">IF(AND(G1245&lt;&gt;"",H1245&lt;&gt;""),G1245*H1245,"")</f>
        <v/>
      </c>
    </row>
    <row r="1246" customFormat="false" ht="15" hidden="false" customHeight="false" outlineLevel="0" collapsed="false">
      <c r="A1246" s="9"/>
      <c r="B1246" s="10"/>
      <c r="C1246" s="9"/>
      <c r="D1246" s="9"/>
      <c r="E1246" s="9"/>
      <c r="F1246" s="9"/>
      <c r="G1246" s="9"/>
      <c r="H1246" s="11"/>
      <c r="I1246" s="8" t="str">
        <f aca="false">IF(AND(G1246&lt;&gt;"",H1246&lt;&gt;""),G1246*H1246,"")</f>
        <v/>
      </c>
    </row>
    <row r="1247" customFormat="false" ht="15" hidden="false" customHeight="false" outlineLevel="0" collapsed="false">
      <c r="A1247" s="9"/>
      <c r="B1247" s="10"/>
      <c r="C1247" s="9"/>
      <c r="D1247" s="9"/>
      <c r="E1247" s="9"/>
      <c r="F1247" s="9"/>
      <c r="G1247" s="9"/>
      <c r="H1247" s="11"/>
      <c r="I1247" s="8" t="str">
        <f aca="false">IF(AND(G1247&lt;&gt;"",H1247&lt;&gt;""),G1247*H1247,"")</f>
        <v/>
      </c>
    </row>
    <row r="1248" customFormat="false" ht="15" hidden="false" customHeight="false" outlineLevel="0" collapsed="false">
      <c r="A1248" s="9"/>
      <c r="B1248" s="10"/>
      <c r="C1248" s="9"/>
      <c r="D1248" s="9"/>
      <c r="E1248" s="9"/>
      <c r="F1248" s="9"/>
      <c r="G1248" s="9"/>
      <c r="H1248" s="11"/>
      <c r="I1248" s="8" t="str">
        <f aca="false">IF(AND(G1248&lt;&gt;"",H1248&lt;&gt;""),G1248*H1248,"")</f>
        <v/>
      </c>
    </row>
    <row r="1249" customFormat="false" ht="15" hidden="false" customHeight="false" outlineLevel="0" collapsed="false">
      <c r="A1249" s="9"/>
      <c r="B1249" s="10"/>
      <c r="C1249" s="9"/>
      <c r="D1249" s="9"/>
      <c r="E1249" s="9"/>
      <c r="F1249" s="9"/>
      <c r="G1249" s="9"/>
      <c r="H1249" s="11"/>
      <c r="I1249" s="8" t="str">
        <f aca="false">IF(AND(G1249&lt;&gt;"",H1249&lt;&gt;""),G1249*H1249,"")</f>
        <v/>
      </c>
    </row>
    <row r="1250" customFormat="false" ht="15" hidden="false" customHeight="false" outlineLevel="0" collapsed="false">
      <c r="A1250" s="9"/>
      <c r="B1250" s="10"/>
      <c r="C1250" s="9"/>
      <c r="D1250" s="9"/>
      <c r="E1250" s="9"/>
      <c r="F1250" s="9"/>
      <c r="G1250" s="9"/>
      <c r="H1250" s="11"/>
      <c r="I1250" s="8" t="str">
        <f aca="false">IF(AND(G1250&lt;&gt;"",H1250&lt;&gt;""),G1250*H1250,"")</f>
        <v/>
      </c>
    </row>
    <row r="1251" customFormat="false" ht="15" hidden="false" customHeight="false" outlineLevel="0" collapsed="false">
      <c r="A1251" s="9"/>
      <c r="B1251" s="10"/>
      <c r="C1251" s="9"/>
      <c r="D1251" s="9"/>
      <c r="E1251" s="9"/>
      <c r="F1251" s="9"/>
      <c r="G1251" s="9"/>
      <c r="H1251" s="11"/>
      <c r="I1251" s="8" t="str">
        <f aca="false">IF(AND(G1251&lt;&gt;"",H1251&lt;&gt;""),G1251*H1251,"")</f>
        <v/>
      </c>
    </row>
    <row r="1252" customFormat="false" ht="15" hidden="false" customHeight="false" outlineLevel="0" collapsed="false">
      <c r="A1252" s="9"/>
      <c r="B1252" s="10"/>
      <c r="C1252" s="9"/>
      <c r="D1252" s="9"/>
      <c r="E1252" s="9"/>
      <c r="F1252" s="9"/>
      <c r="G1252" s="9"/>
      <c r="H1252" s="11"/>
      <c r="I1252" s="8" t="str">
        <f aca="false">IF(AND(G1252&lt;&gt;"",H1252&lt;&gt;""),G1252*H1252,"")</f>
        <v/>
      </c>
    </row>
    <row r="1253" customFormat="false" ht="15" hidden="false" customHeight="false" outlineLevel="0" collapsed="false">
      <c r="A1253" s="9"/>
      <c r="B1253" s="10"/>
      <c r="C1253" s="9"/>
      <c r="D1253" s="9"/>
      <c r="E1253" s="9"/>
      <c r="F1253" s="9"/>
      <c r="G1253" s="9"/>
      <c r="H1253" s="11"/>
      <c r="I1253" s="8" t="str">
        <f aca="false">IF(AND(G1253&lt;&gt;"",H1253&lt;&gt;""),G1253*H1253,"")</f>
        <v/>
      </c>
    </row>
    <row r="1254" customFormat="false" ht="15" hidden="false" customHeight="false" outlineLevel="0" collapsed="false">
      <c r="A1254" s="9"/>
      <c r="B1254" s="10"/>
      <c r="C1254" s="9"/>
      <c r="D1254" s="9"/>
      <c r="E1254" s="9"/>
      <c r="F1254" s="9"/>
      <c r="G1254" s="9"/>
      <c r="H1254" s="11"/>
      <c r="I1254" s="8" t="str">
        <f aca="false">IF(AND(G1254&lt;&gt;"",H1254&lt;&gt;""),G1254*H1254,"")</f>
        <v/>
      </c>
    </row>
    <row r="1255" customFormat="false" ht="15" hidden="false" customHeight="false" outlineLevel="0" collapsed="false">
      <c r="A1255" s="9"/>
      <c r="B1255" s="10"/>
      <c r="C1255" s="9"/>
      <c r="D1255" s="9"/>
      <c r="E1255" s="9"/>
      <c r="F1255" s="9"/>
      <c r="G1255" s="9"/>
      <c r="H1255" s="11"/>
      <c r="I1255" s="8" t="str">
        <f aca="false">IF(AND(G1255&lt;&gt;"",H1255&lt;&gt;""),G1255*H1255,"")</f>
        <v/>
      </c>
    </row>
    <row r="1256" customFormat="false" ht="15" hidden="false" customHeight="false" outlineLevel="0" collapsed="false">
      <c r="A1256" s="9"/>
      <c r="B1256" s="10"/>
      <c r="C1256" s="9"/>
      <c r="D1256" s="9"/>
      <c r="E1256" s="9"/>
      <c r="F1256" s="9"/>
      <c r="G1256" s="9"/>
      <c r="H1256" s="11"/>
      <c r="I1256" s="8" t="str">
        <f aca="false">IF(AND(G1256&lt;&gt;"",H1256&lt;&gt;""),G1256*H1256,"")</f>
        <v/>
      </c>
    </row>
    <row r="1257" customFormat="false" ht="15" hidden="false" customHeight="false" outlineLevel="0" collapsed="false">
      <c r="A1257" s="9"/>
      <c r="B1257" s="10"/>
      <c r="C1257" s="9"/>
      <c r="D1257" s="9"/>
      <c r="E1257" s="9"/>
      <c r="F1257" s="9"/>
      <c r="G1257" s="9"/>
      <c r="H1257" s="11"/>
      <c r="I1257" s="8" t="str">
        <f aca="false">IF(AND(G1257&lt;&gt;"",H1257&lt;&gt;""),G1257*H1257,"")</f>
        <v/>
      </c>
    </row>
    <row r="1258" customFormat="false" ht="15" hidden="false" customHeight="false" outlineLevel="0" collapsed="false">
      <c r="A1258" s="9"/>
      <c r="B1258" s="10"/>
      <c r="C1258" s="9"/>
      <c r="D1258" s="9"/>
      <c r="E1258" s="9"/>
      <c r="F1258" s="9"/>
      <c r="G1258" s="9"/>
      <c r="H1258" s="11"/>
      <c r="I1258" s="8" t="str">
        <f aca="false">IF(AND(G1258&lt;&gt;"",H1258&lt;&gt;""),G1258*H1258,"")</f>
        <v/>
      </c>
    </row>
    <row r="1259" customFormat="false" ht="15" hidden="false" customHeight="false" outlineLevel="0" collapsed="false">
      <c r="A1259" s="9"/>
      <c r="B1259" s="10"/>
      <c r="C1259" s="9"/>
      <c r="D1259" s="9"/>
      <c r="E1259" s="9"/>
      <c r="F1259" s="9"/>
      <c r="G1259" s="9"/>
      <c r="H1259" s="11"/>
      <c r="I1259" s="8" t="str">
        <f aca="false">IF(AND(G1259&lt;&gt;"",H1259&lt;&gt;""),G1259*H1259,"")</f>
        <v/>
      </c>
    </row>
    <row r="1260" customFormat="false" ht="15" hidden="false" customHeight="false" outlineLevel="0" collapsed="false">
      <c r="A1260" s="9"/>
      <c r="B1260" s="10"/>
      <c r="C1260" s="9"/>
      <c r="D1260" s="9"/>
      <c r="E1260" s="9"/>
      <c r="F1260" s="9"/>
      <c r="G1260" s="9"/>
      <c r="H1260" s="11"/>
      <c r="I1260" s="8" t="str">
        <f aca="false">IF(AND(G1260&lt;&gt;"",H1260&lt;&gt;""),G1260*H1260,"")</f>
        <v/>
      </c>
    </row>
    <row r="1261" customFormat="false" ht="15" hidden="false" customHeight="false" outlineLevel="0" collapsed="false">
      <c r="A1261" s="9"/>
      <c r="B1261" s="10"/>
      <c r="C1261" s="9"/>
      <c r="D1261" s="9"/>
      <c r="E1261" s="9"/>
      <c r="F1261" s="9"/>
      <c r="G1261" s="9"/>
      <c r="H1261" s="11"/>
      <c r="I1261" s="8" t="str">
        <f aca="false">IF(AND(G1261&lt;&gt;"",H1261&lt;&gt;""),G1261*H1261,"")</f>
        <v/>
      </c>
    </row>
    <row r="1262" customFormat="false" ht="15" hidden="false" customHeight="false" outlineLevel="0" collapsed="false">
      <c r="A1262" s="9"/>
      <c r="B1262" s="10"/>
      <c r="C1262" s="9"/>
      <c r="D1262" s="9"/>
      <c r="E1262" s="9"/>
      <c r="F1262" s="9"/>
      <c r="G1262" s="9"/>
      <c r="H1262" s="11"/>
      <c r="I1262" s="8" t="str">
        <f aca="false">IF(AND(G1262&lt;&gt;"",H1262&lt;&gt;""),G1262*H1262,"")</f>
        <v/>
      </c>
    </row>
    <row r="1263" customFormat="false" ht="15" hidden="false" customHeight="false" outlineLevel="0" collapsed="false">
      <c r="A1263" s="9"/>
      <c r="B1263" s="10"/>
      <c r="C1263" s="9"/>
      <c r="D1263" s="9"/>
      <c r="E1263" s="9"/>
      <c r="F1263" s="9"/>
      <c r="G1263" s="9"/>
      <c r="H1263" s="11"/>
      <c r="I1263" s="8" t="str">
        <f aca="false">IF(AND(G1263&lt;&gt;"",H1263&lt;&gt;""),G1263*H1263,"")</f>
        <v/>
      </c>
    </row>
    <row r="1264" customFormat="false" ht="15" hidden="false" customHeight="false" outlineLevel="0" collapsed="false">
      <c r="A1264" s="9"/>
      <c r="B1264" s="10"/>
      <c r="C1264" s="9"/>
      <c r="D1264" s="9"/>
      <c r="E1264" s="9"/>
      <c r="F1264" s="9"/>
      <c r="G1264" s="9"/>
      <c r="H1264" s="11"/>
      <c r="I1264" s="8" t="str">
        <f aca="false">IF(AND(G1264&lt;&gt;"",H1264&lt;&gt;""),G1264*H1264,"")</f>
        <v/>
      </c>
    </row>
    <row r="1265" customFormat="false" ht="15" hidden="false" customHeight="false" outlineLevel="0" collapsed="false">
      <c r="A1265" s="9"/>
      <c r="B1265" s="10"/>
      <c r="C1265" s="9"/>
      <c r="D1265" s="9"/>
      <c r="E1265" s="9"/>
      <c r="F1265" s="9"/>
      <c r="G1265" s="9"/>
      <c r="H1265" s="11"/>
      <c r="I1265" s="8" t="str">
        <f aca="false">IF(AND(G1265&lt;&gt;"",H1265&lt;&gt;""),G1265*H1265,"")</f>
        <v/>
      </c>
    </row>
    <row r="1266" customFormat="false" ht="15" hidden="false" customHeight="false" outlineLevel="0" collapsed="false">
      <c r="A1266" s="9"/>
      <c r="B1266" s="10"/>
      <c r="C1266" s="9"/>
      <c r="D1266" s="9"/>
      <c r="E1266" s="9"/>
      <c r="F1266" s="9"/>
      <c r="G1266" s="9"/>
      <c r="H1266" s="11"/>
      <c r="I1266" s="8" t="str">
        <f aca="false">IF(AND(G1266&lt;&gt;"",H1266&lt;&gt;""),G1266*H1266,"")</f>
        <v/>
      </c>
    </row>
    <row r="1267" customFormat="false" ht="15" hidden="false" customHeight="false" outlineLevel="0" collapsed="false">
      <c r="A1267" s="9"/>
      <c r="B1267" s="10"/>
      <c r="C1267" s="9"/>
      <c r="D1267" s="9"/>
      <c r="E1267" s="9"/>
      <c r="F1267" s="9"/>
      <c r="G1267" s="9"/>
      <c r="H1267" s="11"/>
      <c r="I1267" s="8" t="str">
        <f aca="false">IF(AND(G1267&lt;&gt;"",H1267&lt;&gt;""),G1267*H1267,"")</f>
        <v/>
      </c>
    </row>
    <row r="1268" customFormat="false" ht="15" hidden="false" customHeight="false" outlineLevel="0" collapsed="false">
      <c r="A1268" s="9"/>
      <c r="B1268" s="10"/>
      <c r="C1268" s="9"/>
      <c r="D1268" s="9"/>
      <c r="E1268" s="9"/>
      <c r="F1268" s="9"/>
      <c r="G1268" s="9"/>
      <c r="H1268" s="11"/>
      <c r="I1268" s="8" t="str">
        <f aca="false">IF(AND(G1268&lt;&gt;"",H1268&lt;&gt;""),G1268*H1268,"")</f>
        <v/>
      </c>
    </row>
    <row r="1269" customFormat="false" ht="15" hidden="false" customHeight="false" outlineLevel="0" collapsed="false">
      <c r="A1269" s="9"/>
      <c r="B1269" s="10"/>
      <c r="C1269" s="9"/>
      <c r="D1269" s="9"/>
      <c r="E1269" s="9"/>
      <c r="F1269" s="9"/>
      <c r="G1269" s="9"/>
      <c r="H1269" s="11"/>
      <c r="I1269" s="8" t="str">
        <f aca="false">IF(AND(G1269&lt;&gt;"",H1269&lt;&gt;""),G1269*H1269,"")</f>
        <v/>
      </c>
    </row>
    <row r="1270" customFormat="false" ht="15" hidden="false" customHeight="false" outlineLevel="0" collapsed="false">
      <c r="A1270" s="9"/>
      <c r="B1270" s="10"/>
      <c r="C1270" s="9"/>
      <c r="D1270" s="9"/>
      <c r="E1270" s="9"/>
      <c r="F1270" s="9"/>
      <c r="G1270" s="9"/>
      <c r="H1270" s="11"/>
      <c r="I1270" s="8" t="str">
        <f aca="false">IF(AND(G1270&lt;&gt;"",H1270&lt;&gt;""),G1270*H1270,"")</f>
        <v/>
      </c>
    </row>
    <row r="1271" customFormat="false" ht="15" hidden="false" customHeight="false" outlineLevel="0" collapsed="false">
      <c r="A1271" s="9"/>
      <c r="B1271" s="10"/>
      <c r="C1271" s="9"/>
      <c r="D1271" s="9"/>
      <c r="E1271" s="9"/>
      <c r="F1271" s="9"/>
      <c r="G1271" s="9"/>
      <c r="H1271" s="11"/>
      <c r="I1271" s="8" t="str">
        <f aca="false">IF(AND(G1271&lt;&gt;"",H1271&lt;&gt;""),G1271*H1271,"")</f>
        <v/>
      </c>
    </row>
    <row r="1272" customFormat="false" ht="15" hidden="false" customHeight="false" outlineLevel="0" collapsed="false">
      <c r="A1272" s="9"/>
      <c r="B1272" s="10"/>
      <c r="C1272" s="9"/>
      <c r="D1272" s="9"/>
      <c r="E1272" s="9"/>
      <c r="F1272" s="9"/>
      <c r="G1272" s="9"/>
      <c r="H1272" s="11"/>
      <c r="I1272" s="8" t="str">
        <f aca="false">IF(AND(G1272&lt;&gt;"",H1272&lt;&gt;""),G1272*H1272,"")</f>
        <v/>
      </c>
    </row>
    <row r="1273" customFormat="false" ht="15" hidden="false" customHeight="false" outlineLevel="0" collapsed="false">
      <c r="A1273" s="9"/>
      <c r="B1273" s="10"/>
      <c r="C1273" s="9"/>
      <c r="D1273" s="9"/>
      <c r="E1273" s="9"/>
      <c r="F1273" s="9"/>
      <c r="G1273" s="9"/>
      <c r="H1273" s="11"/>
      <c r="I1273" s="8" t="str">
        <f aca="false">IF(AND(G1273&lt;&gt;"",H1273&lt;&gt;""),G1273*H1273,"")</f>
        <v/>
      </c>
    </row>
    <row r="1274" customFormat="false" ht="15" hidden="false" customHeight="false" outlineLevel="0" collapsed="false">
      <c r="A1274" s="9"/>
      <c r="B1274" s="10"/>
      <c r="C1274" s="9"/>
      <c r="D1274" s="9"/>
      <c r="E1274" s="9"/>
      <c r="F1274" s="9"/>
      <c r="G1274" s="9"/>
      <c r="H1274" s="11"/>
      <c r="I1274" s="8" t="str">
        <f aca="false">IF(AND(G1274&lt;&gt;"",H1274&lt;&gt;""),G1274*H1274,"")</f>
        <v/>
      </c>
    </row>
    <row r="1275" customFormat="false" ht="15" hidden="false" customHeight="false" outlineLevel="0" collapsed="false">
      <c r="A1275" s="9"/>
      <c r="B1275" s="10"/>
      <c r="C1275" s="9"/>
      <c r="D1275" s="9"/>
      <c r="E1275" s="9"/>
      <c r="F1275" s="9"/>
      <c r="G1275" s="9"/>
      <c r="H1275" s="11"/>
      <c r="I1275" s="8" t="str">
        <f aca="false">IF(AND(G1275&lt;&gt;"",H1275&lt;&gt;""),G1275*H1275,"")</f>
        <v/>
      </c>
    </row>
    <row r="1276" customFormat="false" ht="15" hidden="false" customHeight="false" outlineLevel="0" collapsed="false">
      <c r="A1276" s="9"/>
      <c r="B1276" s="10"/>
      <c r="C1276" s="9"/>
      <c r="D1276" s="9"/>
      <c r="E1276" s="9"/>
      <c r="F1276" s="9"/>
      <c r="G1276" s="9"/>
      <c r="H1276" s="11"/>
      <c r="I1276" s="8" t="str">
        <f aca="false">IF(AND(G1276&lt;&gt;"",H1276&lt;&gt;""),G1276*H1276,"")</f>
        <v/>
      </c>
    </row>
    <row r="1277" customFormat="false" ht="15" hidden="false" customHeight="false" outlineLevel="0" collapsed="false">
      <c r="A1277" s="9"/>
      <c r="B1277" s="10"/>
      <c r="C1277" s="9"/>
      <c r="D1277" s="9"/>
      <c r="E1277" s="9"/>
      <c r="F1277" s="9"/>
      <c r="G1277" s="9"/>
      <c r="H1277" s="11"/>
      <c r="I1277" s="8" t="str">
        <f aca="false">IF(AND(G1277&lt;&gt;"",H1277&lt;&gt;""),G1277*H1277,"")</f>
        <v/>
      </c>
    </row>
    <row r="1278" customFormat="false" ht="15" hidden="false" customHeight="false" outlineLevel="0" collapsed="false">
      <c r="A1278" s="9"/>
      <c r="B1278" s="10"/>
      <c r="C1278" s="9"/>
      <c r="D1278" s="9"/>
      <c r="E1278" s="9"/>
      <c r="F1278" s="9"/>
      <c r="G1278" s="9"/>
      <c r="H1278" s="11"/>
      <c r="I1278" s="8" t="str">
        <f aca="false">IF(AND(G1278&lt;&gt;"",H1278&lt;&gt;""),G1278*H1278,"")</f>
        <v/>
      </c>
    </row>
    <row r="1279" customFormat="false" ht="15" hidden="false" customHeight="false" outlineLevel="0" collapsed="false">
      <c r="A1279" s="9"/>
      <c r="B1279" s="10"/>
      <c r="C1279" s="9"/>
      <c r="D1279" s="9"/>
      <c r="E1279" s="9"/>
      <c r="F1279" s="9"/>
      <c r="G1279" s="9"/>
      <c r="H1279" s="11"/>
      <c r="I1279" s="8" t="str">
        <f aca="false">IF(AND(G1279&lt;&gt;"",H1279&lt;&gt;""),G1279*H1279,"")</f>
        <v/>
      </c>
    </row>
    <row r="1280" customFormat="false" ht="15" hidden="false" customHeight="false" outlineLevel="0" collapsed="false">
      <c r="A1280" s="9"/>
      <c r="B1280" s="10"/>
      <c r="C1280" s="9"/>
      <c r="D1280" s="9"/>
      <c r="E1280" s="9"/>
      <c r="F1280" s="9"/>
      <c r="G1280" s="9"/>
      <c r="H1280" s="11"/>
      <c r="I1280" s="8" t="str">
        <f aca="false">IF(AND(G1280&lt;&gt;"",H1280&lt;&gt;""),G1280*H1280,"")</f>
        <v/>
      </c>
    </row>
    <row r="1281" customFormat="false" ht="15" hidden="false" customHeight="false" outlineLevel="0" collapsed="false">
      <c r="A1281" s="9"/>
      <c r="B1281" s="10"/>
      <c r="C1281" s="9"/>
      <c r="D1281" s="9"/>
      <c r="E1281" s="9"/>
      <c r="F1281" s="9"/>
      <c r="G1281" s="9"/>
      <c r="H1281" s="11"/>
      <c r="I1281" s="8" t="str">
        <f aca="false">IF(AND(G1281&lt;&gt;"",H1281&lt;&gt;""),G1281*H1281,"")</f>
        <v/>
      </c>
    </row>
    <row r="1282" customFormat="false" ht="15" hidden="false" customHeight="false" outlineLevel="0" collapsed="false">
      <c r="A1282" s="9"/>
      <c r="B1282" s="10"/>
      <c r="C1282" s="9"/>
      <c r="D1282" s="9"/>
      <c r="E1282" s="9"/>
      <c r="F1282" s="9"/>
      <c r="G1282" s="9"/>
      <c r="H1282" s="11"/>
      <c r="I1282" s="8" t="str">
        <f aca="false">IF(AND(G1282&lt;&gt;"",H1282&lt;&gt;""),G1282*H1282,"")</f>
        <v/>
      </c>
    </row>
    <row r="1283" customFormat="false" ht="15" hidden="false" customHeight="false" outlineLevel="0" collapsed="false">
      <c r="A1283" s="9"/>
      <c r="B1283" s="10"/>
      <c r="C1283" s="9"/>
      <c r="D1283" s="9"/>
      <c r="E1283" s="9"/>
      <c r="F1283" s="9"/>
      <c r="G1283" s="9"/>
      <c r="H1283" s="11"/>
      <c r="I1283" s="8" t="str">
        <f aca="false">IF(AND(G1283&lt;&gt;"",H1283&lt;&gt;""),G1283*H1283,"")</f>
        <v/>
      </c>
    </row>
    <row r="1284" customFormat="false" ht="15" hidden="false" customHeight="false" outlineLevel="0" collapsed="false">
      <c r="A1284" s="9"/>
      <c r="B1284" s="10"/>
      <c r="C1284" s="9"/>
      <c r="D1284" s="9"/>
      <c r="E1284" s="9"/>
      <c r="F1284" s="9"/>
      <c r="G1284" s="9"/>
      <c r="H1284" s="11"/>
      <c r="I1284" s="8" t="str">
        <f aca="false">IF(AND(G1284&lt;&gt;"",H1284&lt;&gt;""),G1284*H1284,"")</f>
        <v/>
      </c>
    </row>
    <row r="1285" customFormat="false" ht="15" hidden="false" customHeight="false" outlineLevel="0" collapsed="false">
      <c r="A1285" s="9"/>
      <c r="B1285" s="10"/>
      <c r="C1285" s="9"/>
      <c r="D1285" s="9"/>
      <c r="E1285" s="9"/>
      <c r="F1285" s="9"/>
      <c r="G1285" s="9"/>
      <c r="H1285" s="11"/>
      <c r="I1285" s="8" t="str">
        <f aca="false">IF(AND(G1285&lt;&gt;"",H1285&lt;&gt;""),G1285*H1285,"")</f>
        <v/>
      </c>
    </row>
    <row r="1286" customFormat="false" ht="15" hidden="false" customHeight="false" outlineLevel="0" collapsed="false">
      <c r="A1286" s="9"/>
      <c r="B1286" s="10"/>
      <c r="C1286" s="9"/>
      <c r="D1286" s="9"/>
      <c r="E1286" s="9"/>
      <c r="F1286" s="9"/>
      <c r="G1286" s="9"/>
      <c r="H1286" s="11"/>
      <c r="I1286" s="8" t="str">
        <f aca="false">IF(AND(G1286&lt;&gt;"",H1286&lt;&gt;""),G1286*H1286,"")</f>
        <v/>
      </c>
    </row>
    <row r="1287" customFormat="false" ht="15" hidden="false" customHeight="false" outlineLevel="0" collapsed="false">
      <c r="A1287" s="9"/>
      <c r="B1287" s="10"/>
      <c r="C1287" s="9"/>
      <c r="D1287" s="9"/>
      <c r="E1287" s="9"/>
      <c r="F1287" s="9"/>
      <c r="G1287" s="9"/>
      <c r="H1287" s="11"/>
      <c r="I1287" s="8" t="str">
        <f aca="false">IF(AND(G1287&lt;&gt;"",H1287&lt;&gt;""),G1287*H1287,"")</f>
        <v/>
      </c>
    </row>
    <row r="1288" customFormat="false" ht="15" hidden="false" customHeight="false" outlineLevel="0" collapsed="false">
      <c r="A1288" s="9"/>
      <c r="B1288" s="10"/>
      <c r="C1288" s="9"/>
      <c r="D1288" s="9"/>
      <c r="E1288" s="9"/>
      <c r="F1288" s="9"/>
      <c r="G1288" s="9"/>
      <c r="H1288" s="11"/>
      <c r="I1288" s="8" t="str">
        <f aca="false">IF(AND(G1288&lt;&gt;"",H1288&lt;&gt;""),G1288*H1288,"")</f>
        <v/>
      </c>
    </row>
    <row r="1289" customFormat="false" ht="15" hidden="false" customHeight="false" outlineLevel="0" collapsed="false">
      <c r="A1289" s="9"/>
      <c r="B1289" s="10"/>
      <c r="C1289" s="9"/>
      <c r="D1289" s="9"/>
      <c r="E1289" s="9"/>
      <c r="F1289" s="9"/>
      <c r="G1289" s="9"/>
      <c r="H1289" s="11"/>
      <c r="I1289" s="8" t="str">
        <f aca="false">IF(AND(G1289&lt;&gt;"",H1289&lt;&gt;""),G1289*H1289,"")</f>
        <v/>
      </c>
    </row>
    <row r="1290" customFormat="false" ht="15" hidden="false" customHeight="false" outlineLevel="0" collapsed="false">
      <c r="A1290" s="9"/>
      <c r="B1290" s="10"/>
      <c r="C1290" s="9"/>
      <c r="D1290" s="9"/>
      <c r="E1290" s="9"/>
      <c r="F1290" s="9"/>
      <c r="G1290" s="9"/>
      <c r="H1290" s="11"/>
      <c r="I1290" s="8" t="str">
        <f aca="false">IF(AND(G1290&lt;&gt;"",H1290&lt;&gt;""),G1290*H1290,"")</f>
        <v/>
      </c>
    </row>
    <row r="1291" customFormat="false" ht="15" hidden="false" customHeight="false" outlineLevel="0" collapsed="false">
      <c r="A1291" s="9"/>
      <c r="B1291" s="10"/>
      <c r="C1291" s="9"/>
      <c r="D1291" s="9"/>
      <c r="E1291" s="9"/>
      <c r="F1291" s="9"/>
      <c r="G1291" s="9"/>
      <c r="H1291" s="11"/>
      <c r="I1291" s="8" t="str">
        <f aca="false">IF(AND(G1291&lt;&gt;"",H1291&lt;&gt;""),G1291*H1291,"")</f>
        <v/>
      </c>
    </row>
    <row r="1292" customFormat="false" ht="15" hidden="false" customHeight="false" outlineLevel="0" collapsed="false">
      <c r="A1292" s="9"/>
      <c r="B1292" s="10"/>
      <c r="C1292" s="9"/>
      <c r="D1292" s="9"/>
      <c r="E1292" s="9"/>
      <c r="F1292" s="9"/>
      <c r="G1292" s="9"/>
      <c r="H1292" s="11"/>
      <c r="I1292" s="8" t="str">
        <f aca="false">IF(AND(G1292&lt;&gt;"",H1292&lt;&gt;""),G1292*H1292,"")</f>
        <v/>
      </c>
    </row>
    <row r="1293" customFormat="false" ht="15" hidden="false" customHeight="false" outlineLevel="0" collapsed="false">
      <c r="A1293" s="9"/>
      <c r="B1293" s="10"/>
      <c r="C1293" s="9"/>
      <c r="D1293" s="9"/>
      <c r="E1293" s="9"/>
      <c r="F1293" s="9"/>
      <c r="G1293" s="9"/>
      <c r="H1293" s="11"/>
      <c r="I1293" s="8" t="str">
        <f aca="false">IF(AND(G1293&lt;&gt;"",H1293&lt;&gt;""),G1293*H1293,"")</f>
        <v/>
      </c>
    </row>
    <row r="1294" customFormat="false" ht="15" hidden="false" customHeight="false" outlineLevel="0" collapsed="false">
      <c r="A1294" s="9"/>
      <c r="B1294" s="10"/>
      <c r="C1294" s="9"/>
      <c r="D1294" s="9"/>
      <c r="E1294" s="9"/>
      <c r="F1294" s="9"/>
      <c r="G1294" s="9"/>
      <c r="H1294" s="11"/>
      <c r="I1294" s="8" t="str">
        <f aca="false">IF(AND(G1294&lt;&gt;"",H1294&lt;&gt;""),G1294*H1294,"")</f>
        <v/>
      </c>
    </row>
    <row r="1295" customFormat="false" ht="15" hidden="false" customHeight="false" outlineLevel="0" collapsed="false">
      <c r="A1295" s="9"/>
      <c r="B1295" s="10"/>
      <c r="C1295" s="9"/>
      <c r="D1295" s="9"/>
      <c r="E1295" s="9"/>
      <c r="F1295" s="9"/>
      <c r="G1295" s="9"/>
      <c r="H1295" s="11"/>
      <c r="I1295" s="8" t="str">
        <f aca="false">IF(AND(G1295&lt;&gt;"",H1295&lt;&gt;""),G1295*H1295,"")</f>
        <v/>
      </c>
    </row>
    <row r="1296" customFormat="false" ht="15" hidden="false" customHeight="false" outlineLevel="0" collapsed="false">
      <c r="A1296" s="9"/>
      <c r="B1296" s="10"/>
      <c r="C1296" s="9"/>
      <c r="D1296" s="9"/>
      <c r="E1296" s="9"/>
      <c r="F1296" s="9"/>
      <c r="G1296" s="9"/>
      <c r="H1296" s="11"/>
      <c r="I1296" s="8" t="str">
        <f aca="false">IF(AND(G1296&lt;&gt;"",H1296&lt;&gt;""),G1296*H1296,"")</f>
        <v/>
      </c>
    </row>
    <row r="1297" customFormat="false" ht="15" hidden="false" customHeight="false" outlineLevel="0" collapsed="false">
      <c r="A1297" s="9"/>
      <c r="B1297" s="10"/>
      <c r="C1297" s="9"/>
      <c r="D1297" s="9"/>
      <c r="E1297" s="9"/>
      <c r="F1297" s="9"/>
      <c r="G1297" s="9"/>
      <c r="H1297" s="11"/>
      <c r="I1297" s="8" t="str">
        <f aca="false">IF(AND(G1297&lt;&gt;"",H1297&lt;&gt;""),G1297*H1297,"")</f>
        <v/>
      </c>
    </row>
    <row r="1298" customFormat="false" ht="15" hidden="false" customHeight="false" outlineLevel="0" collapsed="false">
      <c r="A1298" s="9"/>
      <c r="B1298" s="10"/>
      <c r="C1298" s="9"/>
      <c r="D1298" s="9"/>
      <c r="E1298" s="9"/>
      <c r="F1298" s="9"/>
      <c r="G1298" s="9"/>
      <c r="H1298" s="11"/>
      <c r="I1298" s="8" t="str">
        <f aca="false">IF(AND(G1298&lt;&gt;"",H1298&lt;&gt;""),G1298*H1298,"")</f>
        <v/>
      </c>
    </row>
    <row r="1299" customFormat="false" ht="15" hidden="false" customHeight="false" outlineLevel="0" collapsed="false">
      <c r="A1299" s="9"/>
      <c r="B1299" s="10"/>
      <c r="C1299" s="9"/>
      <c r="D1299" s="9"/>
      <c r="E1299" s="9"/>
      <c r="F1299" s="9"/>
      <c r="G1299" s="9"/>
      <c r="H1299" s="11"/>
      <c r="I1299" s="8" t="str">
        <f aca="false">IF(AND(G1299&lt;&gt;"",H1299&lt;&gt;""),G1299*H1299,"")</f>
        <v/>
      </c>
    </row>
    <row r="1300" customFormat="false" ht="15" hidden="false" customHeight="false" outlineLevel="0" collapsed="false">
      <c r="A1300" s="9"/>
      <c r="B1300" s="10"/>
      <c r="C1300" s="9"/>
      <c r="D1300" s="9"/>
      <c r="E1300" s="9"/>
      <c r="F1300" s="9"/>
      <c r="G1300" s="9"/>
      <c r="H1300" s="11"/>
      <c r="I1300" s="8" t="str">
        <f aca="false">IF(AND(G1300&lt;&gt;"",H1300&lt;&gt;""),G1300*H1300,"")</f>
        <v/>
      </c>
    </row>
    <row r="1301" customFormat="false" ht="15" hidden="false" customHeight="false" outlineLevel="0" collapsed="false">
      <c r="A1301" s="9"/>
      <c r="B1301" s="10"/>
      <c r="C1301" s="9"/>
      <c r="D1301" s="9"/>
      <c r="E1301" s="9"/>
      <c r="F1301" s="9"/>
      <c r="G1301" s="9"/>
      <c r="H1301" s="11"/>
      <c r="I1301" s="8" t="str">
        <f aca="false">IF(AND(G1301&lt;&gt;"",H1301&lt;&gt;""),G1301*H1301,"")</f>
        <v/>
      </c>
    </row>
    <row r="1302" customFormat="false" ht="15" hidden="false" customHeight="false" outlineLevel="0" collapsed="false">
      <c r="A1302" s="9"/>
      <c r="B1302" s="10"/>
      <c r="C1302" s="9"/>
      <c r="D1302" s="9"/>
      <c r="E1302" s="9"/>
      <c r="F1302" s="9"/>
      <c r="G1302" s="9"/>
      <c r="H1302" s="11"/>
      <c r="I1302" s="8" t="str">
        <f aca="false">IF(AND(G1302&lt;&gt;"",H1302&lt;&gt;""),G1302*H1302,"")</f>
        <v/>
      </c>
    </row>
    <row r="1303" customFormat="false" ht="15" hidden="false" customHeight="false" outlineLevel="0" collapsed="false">
      <c r="A1303" s="9"/>
      <c r="B1303" s="10"/>
      <c r="C1303" s="9"/>
      <c r="D1303" s="9"/>
      <c r="E1303" s="9"/>
      <c r="F1303" s="9"/>
      <c r="G1303" s="9"/>
      <c r="H1303" s="11"/>
      <c r="I1303" s="8" t="str">
        <f aca="false">IF(AND(G1303&lt;&gt;"",H1303&lt;&gt;""),G1303*H1303,"")</f>
        <v/>
      </c>
    </row>
    <row r="1304" customFormat="false" ht="15" hidden="false" customHeight="false" outlineLevel="0" collapsed="false">
      <c r="A1304" s="9"/>
      <c r="B1304" s="10"/>
      <c r="C1304" s="9"/>
      <c r="D1304" s="9"/>
      <c r="E1304" s="9"/>
      <c r="F1304" s="9"/>
      <c r="G1304" s="9"/>
      <c r="H1304" s="11"/>
      <c r="I1304" s="8" t="str">
        <f aca="false">IF(AND(G1304&lt;&gt;"",H1304&lt;&gt;""),G1304*H1304,"")</f>
        <v/>
      </c>
    </row>
    <row r="1305" customFormat="false" ht="15" hidden="false" customHeight="false" outlineLevel="0" collapsed="false">
      <c r="A1305" s="9"/>
      <c r="B1305" s="10"/>
      <c r="C1305" s="9"/>
      <c r="D1305" s="9"/>
      <c r="E1305" s="9"/>
      <c r="F1305" s="9"/>
      <c r="G1305" s="9"/>
      <c r="H1305" s="11"/>
      <c r="I1305" s="8" t="str">
        <f aca="false">IF(AND(G1305&lt;&gt;"",H1305&lt;&gt;""),G1305*H1305,"")</f>
        <v/>
      </c>
    </row>
    <row r="1306" customFormat="false" ht="15" hidden="false" customHeight="false" outlineLevel="0" collapsed="false">
      <c r="A1306" s="9"/>
      <c r="B1306" s="10"/>
      <c r="C1306" s="9"/>
      <c r="D1306" s="9"/>
      <c r="E1306" s="9"/>
      <c r="F1306" s="9"/>
      <c r="G1306" s="9"/>
      <c r="H1306" s="11"/>
      <c r="I1306" s="8" t="str">
        <f aca="false">IF(AND(G1306&lt;&gt;"",H1306&lt;&gt;""),G1306*H1306,"")</f>
        <v/>
      </c>
    </row>
    <row r="1307" customFormat="false" ht="15" hidden="false" customHeight="false" outlineLevel="0" collapsed="false">
      <c r="A1307" s="9"/>
      <c r="B1307" s="10"/>
      <c r="C1307" s="9"/>
      <c r="D1307" s="9"/>
      <c r="E1307" s="9"/>
      <c r="F1307" s="9"/>
      <c r="G1307" s="9"/>
      <c r="H1307" s="11"/>
      <c r="I1307" s="8" t="str">
        <f aca="false">IF(AND(G1307&lt;&gt;"",H1307&lt;&gt;""),G1307*H1307,"")</f>
        <v/>
      </c>
    </row>
    <row r="1308" customFormat="false" ht="15" hidden="false" customHeight="false" outlineLevel="0" collapsed="false">
      <c r="A1308" s="9"/>
      <c r="B1308" s="10"/>
      <c r="C1308" s="9"/>
      <c r="D1308" s="9"/>
      <c r="E1308" s="9"/>
      <c r="F1308" s="9"/>
      <c r="G1308" s="9"/>
      <c r="H1308" s="11"/>
      <c r="I1308" s="8" t="str">
        <f aca="false">IF(AND(G1308&lt;&gt;"",H1308&lt;&gt;""),G1308*H1308,"")</f>
        <v/>
      </c>
    </row>
    <row r="1309" customFormat="false" ht="15" hidden="false" customHeight="false" outlineLevel="0" collapsed="false">
      <c r="A1309" s="9"/>
      <c r="B1309" s="10"/>
      <c r="C1309" s="9"/>
      <c r="D1309" s="9"/>
      <c r="E1309" s="9"/>
      <c r="F1309" s="9"/>
      <c r="G1309" s="9"/>
      <c r="H1309" s="11"/>
      <c r="I1309" s="8" t="str">
        <f aca="false">IF(AND(G1309&lt;&gt;"",H1309&lt;&gt;""),G1309*H1309,"")</f>
        <v/>
      </c>
    </row>
    <row r="1310" customFormat="false" ht="15" hidden="false" customHeight="false" outlineLevel="0" collapsed="false">
      <c r="A1310" s="9"/>
      <c r="B1310" s="10"/>
      <c r="C1310" s="9"/>
      <c r="D1310" s="9"/>
      <c r="E1310" s="9"/>
      <c r="F1310" s="9"/>
      <c r="G1310" s="9"/>
      <c r="H1310" s="11"/>
      <c r="I1310" s="8" t="str">
        <f aca="false">IF(AND(G1310&lt;&gt;"",H1310&lt;&gt;""),G1310*H1310,"")</f>
        <v/>
      </c>
    </row>
    <row r="1311" customFormat="false" ht="15" hidden="false" customHeight="false" outlineLevel="0" collapsed="false">
      <c r="A1311" s="9"/>
      <c r="B1311" s="10"/>
      <c r="C1311" s="9"/>
      <c r="D1311" s="9"/>
      <c r="E1311" s="9"/>
      <c r="F1311" s="9"/>
      <c r="G1311" s="9"/>
      <c r="H1311" s="11"/>
      <c r="I1311" s="8" t="str">
        <f aca="false">IF(AND(G1311&lt;&gt;"",H1311&lt;&gt;""),G1311*H1311,"")</f>
        <v/>
      </c>
    </row>
    <row r="1312" customFormat="false" ht="15" hidden="false" customHeight="false" outlineLevel="0" collapsed="false">
      <c r="A1312" s="9"/>
      <c r="B1312" s="10"/>
      <c r="C1312" s="9"/>
      <c r="D1312" s="9"/>
      <c r="E1312" s="9"/>
      <c r="F1312" s="9"/>
      <c r="G1312" s="9"/>
      <c r="H1312" s="11"/>
      <c r="I1312" s="8" t="str">
        <f aca="false">IF(AND(G1312&lt;&gt;"",H1312&lt;&gt;""),G1312*H1312,"")</f>
        <v/>
      </c>
    </row>
    <row r="1313" customFormat="false" ht="15" hidden="false" customHeight="false" outlineLevel="0" collapsed="false">
      <c r="A1313" s="9"/>
      <c r="B1313" s="10"/>
      <c r="C1313" s="9"/>
      <c r="D1313" s="9"/>
      <c r="E1313" s="9"/>
      <c r="F1313" s="9"/>
      <c r="G1313" s="9"/>
      <c r="H1313" s="11"/>
      <c r="I1313" s="8" t="str">
        <f aca="false">IF(AND(G1313&lt;&gt;"",H1313&lt;&gt;""),G1313*H1313,"")</f>
        <v/>
      </c>
    </row>
    <row r="1314" customFormat="false" ht="15" hidden="false" customHeight="false" outlineLevel="0" collapsed="false">
      <c r="A1314" s="9"/>
      <c r="B1314" s="10"/>
      <c r="C1314" s="9"/>
      <c r="D1314" s="9"/>
      <c r="E1314" s="9"/>
      <c r="F1314" s="9"/>
      <c r="G1314" s="9"/>
      <c r="H1314" s="11"/>
      <c r="I1314" s="8" t="str">
        <f aca="false">IF(AND(G1314&lt;&gt;"",H1314&lt;&gt;""),G1314*H1314,"")</f>
        <v/>
      </c>
    </row>
    <row r="1315" customFormat="false" ht="15" hidden="false" customHeight="false" outlineLevel="0" collapsed="false">
      <c r="A1315" s="9"/>
      <c r="B1315" s="10"/>
      <c r="C1315" s="9"/>
      <c r="D1315" s="9"/>
      <c r="E1315" s="9"/>
      <c r="F1315" s="9"/>
      <c r="G1315" s="9"/>
      <c r="H1315" s="11"/>
      <c r="I1315" s="8" t="str">
        <f aca="false">IF(AND(G1315&lt;&gt;"",H1315&lt;&gt;""),G1315*H1315,"")</f>
        <v/>
      </c>
    </row>
    <row r="1316" customFormat="false" ht="15" hidden="false" customHeight="false" outlineLevel="0" collapsed="false">
      <c r="A1316" s="9"/>
      <c r="B1316" s="10"/>
      <c r="C1316" s="9"/>
      <c r="D1316" s="9"/>
      <c r="E1316" s="9"/>
      <c r="F1316" s="9"/>
      <c r="G1316" s="9"/>
      <c r="H1316" s="11"/>
      <c r="I1316" s="8" t="str">
        <f aca="false">IF(AND(G1316&lt;&gt;"",H1316&lt;&gt;""),G1316*H1316,"")</f>
        <v/>
      </c>
    </row>
    <row r="1317" customFormat="false" ht="15" hidden="false" customHeight="false" outlineLevel="0" collapsed="false">
      <c r="A1317" s="9"/>
      <c r="B1317" s="10"/>
      <c r="C1317" s="9"/>
      <c r="D1317" s="9"/>
      <c r="E1317" s="9"/>
      <c r="F1317" s="9"/>
      <c r="G1317" s="9"/>
      <c r="H1317" s="11"/>
      <c r="I1317" s="8" t="str">
        <f aca="false">IF(AND(G1317&lt;&gt;"",H1317&lt;&gt;""),G1317*H1317,"")</f>
        <v/>
      </c>
    </row>
    <row r="1318" customFormat="false" ht="15" hidden="false" customHeight="false" outlineLevel="0" collapsed="false">
      <c r="A1318" s="9"/>
      <c r="B1318" s="10"/>
      <c r="C1318" s="9"/>
      <c r="D1318" s="9"/>
      <c r="E1318" s="9"/>
      <c r="F1318" s="9"/>
      <c r="G1318" s="9"/>
      <c r="H1318" s="11"/>
      <c r="I1318" s="8" t="str">
        <f aca="false">IF(AND(G1318&lt;&gt;"",H1318&lt;&gt;""),G1318*H1318,"")</f>
        <v/>
      </c>
    </row>
    <row r="1319" customFormat="false" ht="15" hidden="false" customHeight="false" outlineLevel="0" collapsed="false">
      <c r="A1319" s="9"/>
      <c r="B1319" s="10"/>
      <c r="C1319" s="9"/>
      <c r="D1319" s="9"/>
      <c r="E1319" s="9"/>
      <c r="F1319" s="9"/>
      <c r="G1319" s="9"/>
      <c r="H1319" s="11"/>
      <c r="I1319" s="8" t="str">
        <f aca="false">IF(AND(G1319&lt;&gt;"",H1319&lt;&gt;""),G1319*H1319,"")</f>
        <v/>
      </c>
    </row>
    <row r="1320" customFormat="false" ht="15" hidden="false" customHeight="false" outlineLevel="0" collapsed="false">
      <c r="A1320" s="9"/>
      <c r="B1320" s="10"/>
      <c r="C1320" s="9"/>
      <c r="D1320" s="9"/>
      <c r="E1320" s="9"/>
      <c r="F1320" s="9"/>
      <c r="G1320" s="9"/>
      <c r="H1320" s="11"/>
      <c r="I1320" s="8" t="str">
        <f aca="false">IF(AND(G1320&lt;&gt;"",H1320&lt;&gt;""),G1320*H1320,"")</f>
        <v/>
      </c>
    </row>
    <row r="1321" customFormat="false" ht="15" hidden="false" customHeight="false" outlineLevel="0" collapsed="false">
      <c r="A1321" s="9"/>
      <c r="B1321" s="10"/>
      <c r="C1321" s="9"/>
      <c r="D1321" s="9"/>
      <c r="E1321" s="9"/>
      <c r="F1321" s="9"/>
      <c r="G1321" s="9"/>
      <c r="H1321" s="11"/>
      <c r="I1321" s="8" t="str">
        <f aca="false">IF(AND(G1321&lt;&gt;"",H1321&lt;&gt;""),G1321*H1321,"")</f>
        <v/>
      </c>
    </row>
    <row r="1322" customFormat="false" ht="15" hidden="false" customHeight="false" outlineLevel="0" collapsed="false">
      <c r="A1322" s="9"/>
      <c r="B1322" s="10"/>
      <c r="C1322" s="9"/>
      <c r="D1322" s="9"/>
      <c r="E1322" s="9"/>
      <c r="F1322" s="9"/>
      <c r="G1322" s="9"/>
      <c r="H1322" s="11"/>
      <c r="I1322" s="8" t="str">
        <f aca="false">IF(AND(G1322&lt;&gt;"",H1322&lt;&gt;""),G1322*H1322,"")</f>
        <v/>
      </c>
    </row>
    <row r="1323" customFormat="false" ht="15" hidden="false" customHeight="false" outlineLevel="0" collapsed="false">
      <c r="A1323" s="9"/>
      <c r="B1323" s="10"/>
      <c r="C1323" s="9"/>
      <c r="D1323" s="9"/>
      <c r="E1323" s="9"/>
      <c r="F1323" s="9"/>
      <c r="G1323" s="9"/>
      <c r="H1323" s="11"/>
      <c r="I1323" s="8" t="str">
        <f aca="false">IF(AND(G1323&lt;&gt;"",H1323&lt;&gt;""),G1323*H1323,"")</f>
        <v/>
      </c>
    </row>
    <row r="1324" customFormat="false" ht="15" hidden="false" customHeight="false" outlineLevel="0" collapsed="false">
      <c r="A1324" s="9"/>
      <c r="B1324" s="10"/>
      <c r="C1324" s="9"/>
      <c r="D1324" s="9"/>
      <c r="E1324" s="9"/>
      <c r="F1324" s="9"/>
      <c r="G1324" s="9"/>
      <c r="H1324" s="11"/>
      <c r="I1324" s="8" t="str">
        <f aca="false">IF(AND(G1324&lt;&gt;"",H1324&lt;&gt;""),G1324*H1324,"")</f>
        <v/>
      </c>
    </row>
    <row r="1325" customFormat="false" ht="15" hidden="false" customHeight="false" outlineLevel="0" collapsed="false">
      <c r="A1325" s="9"/>
      <c r="B1325" s="10"/>
      <c r="C1325" s="9"/>
      <c r="D1325" s="9"/>
      <c r="E1325" s="9"/>
      <c r="F1325" s="9"/>
      <c r="G1325" s="9"/>
      <c r="H1325" s="11"/>
      <c r="I1325" s="8" t="str">
        <f aca="false">IF(AND(G1325&lt;&gt;"",H1325&lt;&gt;""),G1325*H1325,"")</f>
        <v/>
      </c>
    </row>
    <row r="1326" customFormat="false" ht="15" hidden="false" customHeight="false" outlineLevel="0" collapsed="false">
      <c r="A1326" s="9"/>
      <c r="B1326" s="10"/>
      <c r="C1326" s="9"/>
      <c r="D1326" s="9"/>
      <c r="E1326" s="9"/>
      <c r="F1326" s="9"/>
      <c r="G1326" s="9"/>
      <c r="H1326" s="11"/>
      <c r="I1326" s="8" t="str">
        <f aca="false">IF(AND(G1326&lt;&gt;"",H1326&lt;&gt;""),G1326*H1326,"")</f>
        <v/>
      </c>
    </row>
    <row r="1327" customFormat="false" ht="15" hidden="false" customHeight="false" outlineLevel="0" collapsed="false">
      <c r="A1327" s="9"/>
      <c r="B1327" s="10"/>
      <c r="C1327" s="9"/>
      <c r="D1327" s="9"/>
      <c r="E1327" s="9"/>
      <c r="F1327" s="9"/>
      <c r="G1327" s="9"/>
      <c r="H1327" s="11"/>
      <c r="I1327" s="8" t="str">
        <f aca="false">IF(AND(G1327&lt;&gt;"",H1327&lt;&gt;""),G1327*H1327,"")</f>
        <v/>
      </c>
    </row>
    <row r="1328" customFormat="false" ht="15" hidden="false" customHeight="false" outlineLevel="0" collapsed="false">
      <c r="A1328" s="9"/>
      <c r="B1328" s="10"/>
      <c r="C1328" s="9"/>
      <c r="D1328" s="9"/>
      <c r="E1328" s="9"/>
      <c r="F1328" s="9"/>
      <c r="G1328" s="9"/>
      <c r="H1328" s="11"/>
      <c r="I1328" s="8" t="str">
        <f aca="false">IF(AND(G1328&lt;&gt;"",H1328&lt;&gt;""),G1328*H1328,"")</f>
        <v/>
      </c>
    </row>
    <row r="1329" customFormat="false" ht="15" hidden="false" customHeight="false" outlineLevel="0" collapsed="false">
      <c r="A1329" s="9"/>
      <c r="B1329" s="10"/>
      <c r="C1329" s="9"/>
      <c r="D1329" s="9"/>
      <c r="E1329" s="9"/>
      <c r="F1329" s="9"/>
      <c r="G1329" s="9"/>
      <c r="H1329" s="11"/>
      <c r="I1329" s="8" t="str">
        <f aca="false">IF(AND(G1329&lt;&gt;"",H1329&lt;&gt;""),G1329*H1329,"")</f>
        <v/>
      </c>
    </row>
    <row r="1330" customFormat="false" ht="15" hidden="false" customHeight="false" outlineLevel="0" collapsed="false">
      <c r="A1330" s="9"/>
      <c r="B1330" s="10"/>
      <c r="C1330" s="9"/>
      <c r="D1330" s="9"/>
      <c r="E1330" s="9"/>
      <c r="F1330" s="9"/>
      <c r="G1330" s="9"/>
      <c r="H1330" s="11"/>
      <c r="I1330" s="8" t="str">
        <f aca="false">IF(AND(G1330&lt;&gt;"",H1330&lt;&gt;""),G1330*H1330,"")</f>
        <v/>
      </c>
    </row>
    <row r="1331" customFormat="false" ht="15" hidden="false" customHeight="false" outlineLevel="0" collapsed="false">
      <c r="A1331" s="9"/>
      <c r="B1331" s="10"/>
      <c r="C1331" s="9"/>
      <c r="D1331" s="9"/>
      <c r="E1331" s="9"/>
      <c r="F1331" s="9"/>
      <c r="G1331" s="9"/>
      <c r="H1331" s="11"/>
      <c r="I1331" s="8" t="str">
        <f aca="false">IF(AND(G1331&lt;&gt;"",H1331&lt;&gt;""),G1331*H1331,"")</f>
        <v/>
      </c>
    </row>
    <row r="1332" customFormat="false" ht="15" hidden="false" customHeight="false" outlineLevel="0" collapsed="false">
      <c r="A1332" s="9"/>
      <c r="B1332" s="10"/>
      <c r="C1332" s="9"/>
      <c r="D1332" s="9"/>
      <c r="E1332" s="9"/>
      <c r="F1332" s="9"/>
      <c r="G1332" s="9"/>
      <c r="H1332" s="11"/>
      <c r="I1332" s="8" t="str">
        <f aca="false">IF(AND(G1332&lt;&gt;"",H1332&lt;&gt;""),G1332*H1332,"")</f>
        <v/>
      </c>
    </row>
    <row r="1333" customFormat="false" ht="15" hidden="false" customHeight="false" outlineLevel="0" collapsed="false">
      <c r="A1333" s="9"/>
      <c r="B1333" s="10"/>
      <c r="C1333" s="9"/>
      <c r="D1333" s="9"/>
      <c r="E1333" s="9"/>
      <c r="F1333" s="9"/>
      <c r="G1333" s="9"/>
      <c r="H1333" s="11"/>
      <c r="I1333" s="8" t="str">
        <f aca="false">IF(AND(G1333&lt;&gt;"",H1333&lt;&gt;""),G1333*H1333,"")</f>
        <v/>
      </c>
    </row>
    <row r="1334" customFormat="false" ht="15" hidden="false" customHeight="false" outlineLevel="0" collapsed="false">
      <c r="A1334" s="9"/>
      <c r="B1334" s="10"/>
      <c r="C1334" s="9"/>
      <c r="D1334" s="9"/>
      <c r="E1334" s="9"/>
      <c r="F1334" s="9"/>
      <c r="G1334" s="9"/>
      <c r="H1334" s="11"/>
      <c r="I1334" s="8" t="str">
        <f aca="false">IF(AND(G1334&lt;&gt;"",H1334&lt;&gt;""),G1334*H1334,"")</f>
        <v/>
      </c>
    </row>
    <row r="1335" customFormat="false" ht="15" hidden="false" customHeight="false" outlineLevel="0" collapsed="false">
      <c r="A1335" s="9"/>
      <c r="B1335" s="10"/>
      <c r="C1335" s="9"/>
      <c r="D1335" s="9"/>
      <c r="E1335" s="9"/>
      <c r="F1335" s="9"/>
      <c r="G1335" s="9"/>
      <c r="H1335" s="11"/>
      <c r="I1335" s="8" t="str">
        <f aca="false">IF(AND(G1335&lt;&gt;"",H1335&lt;&gt;""),G1335*H1335,"")</f>
        <v/>
      </c>
    </row>
    <row r="1336" customFormat="false" ht="15" hidden="false" customHeight="false" outlineLevel="0" collapsed="false">
      <c r="A1336" s="9"/>
      <c r="B1336" s="10"/>
      <c r="C1336" s="9"/>
      <c r="D1336" s="9"/>
      <c r="E1336" s="9"/>
      <c r="F1336" s="9"/>
      <c r="G1336" s="9"/>
      <c r="H1336" s="11"/>
      <c r="I1336" s="8" t="str">
        <f aca="false">IF(AND(G1336&lt;&gt;"",H1336&lt;&gt;""),G1336*H1336,"")</f>
        <v/>
      </c>
    </row>
    <row r="1337" customFormat="false" ht="15" hidden="false" customHeight="false" outlineLevel="0" collapsed="false">
      <c r="A1337" s="9"/>
      <c r="B1337" s="10"/>
      <c r="C1337" s="9"/>
      <c r="D1337" s="9"/>
      <c r="E1337" s="9"/>
      <c r="F1337" s="9"/>
      <c r="G1337" s="9"/>
      <c r="H1337" s="11"/>
      <c r="I1337" s="8" t="str">
        <f aca="false">IF(AND(G1337&lt;&gt;"",H1337&lt;&gt;""),G1337*H1337,"")</f>
        <v/>
      </c>
    </row>
    <row r="1338" customFormat="false" ht="15" hidden="false" customHeight="false" outlineLevel="0" collapsed="false">
      <c r="A1338" s="9"/>
      <c r="B1338" s="10"/>
      <c r="C1338" s="9"/>
      <c r="D1338" s="9"/>
      <c r="E1338" s="9"/>
      <c r="F1338" s="9"/>
      <c r="G1338" s="9"/>
      <c r="H1338" s="11"/>
      <c r="I1338" s="8" t="str">
        <f aca="false">IF(AND(G1338&lt;&gt;"",H1338&lt;&gt;""),G1338*H1338,"")</f>
        <v/>
      </c>
    </row>
    <row r="1339" customFormat="false" ht="15" hidden="false" customHeight="false" outlineLevel="0" collapsed="false">
      <c r="A1339" s="9"/>
      <c r="B1339" s="10"/>
      <c r="C1339" s="9"/>
      <c r="D1339" s="9"/>
      <c r="E1339" s="9"/>
      <c r="F1339" s="9"/>
      <c r="G1339" s="9"/>
      <c r="H1339" s="11"/>
      <c r="I1339" s="8" t="str">
        <f aca="false">IF(AND(G1339&lt;&gt;"",H1339&lt;&gt;""),G1339*H1339,"")</f>
        <v/>
      </c>
    </row>
    <row r="1340" customFormat="false" ht="15" hidden="false" customHeight="false" outlineLevel="0" collapsed="false">
      <c r="A1340" s="9"/>
      <c r="B1340" s="10"/>
      <c r="C1340" s="9"/>
      <c r="D1340" s="9"/>
      <c r="E1340" s="9"/>
      <c r="F1340" s="9"/>
      <c r="G1340" s="9"/>
      <c r="H1340" s="11"/>
      <c r="I1340" s="8" t="str">
        <f aca="false">IF(AND(G1340&lt;&gt;"",H1340&lt;&gt;""),G1340*H1340,"")</f>
        <v/>
      </c>
    </row>
    <row r="1341" customFormat="false" ht="15" hidden="false" customHeight="false" outlineLevel="0" collapsed="false">
      <c r="A1341" s="9"/>
      <c r="B1341" s="10"/>
      <c r="C1341" s="9"/>
      <c r="D1341" s="9"/>
      <c r="E1341" s="9"/>
      <c r="F1341" s="9"/>
      <c r="G1341" s="9"/>
      <c r="H1341" s="11"/>
      <c r="I1341" s="8" t="str">
        <f aca="false">IF(AND(G1341&lt;&gt;"",H1341&lt;&gt;""),G1341*H1341,"")</f>
        <v/>
      </c>
    </row>
    <row r="1342" customFormat="false" ht="15" hidden="false" customHeight="false" outlineLevel="0" collapsed="false">
      <c r="A1342" s="9"/>
      <c r="B1342" s="10"/>
      <c r="C1342" s="9"/>
      <c r="D1342" s="9"/>
      <c r="E1342" s="9"/>
      <c r="F1342" s="9"/>
      <c r="G1342" s="9"/>
      <c r="H1342" s="11"/>
      <c r="I1342" s="8" t="str">
        <f aca="false">IF(AND(G1342&lt;&gt;"",H1342&lt;&gt;""),G1342*H1342,"")</f>
        <v/>
      </c>
    </row>
    <row r="1343" customFormat="false" ht="15" hidden="false" customHeight="false" outlineLevel="0" collapsed="false">
      <c r="A1343" s="9"/>
      <c r="B1343" s="10"/>
      <c r="C1343" s="9"/>
      <c r="D1343" s="9"/>
      <c r="E1343" s="9"/>
      <c r="F1343" s="9"/>
      <c r="G1343" s="9"/>
      <c r="H1343" s="11"/>
      <c r="I1343" s="8" t="str">
        <f aca="false">IF(AND(G1343&lt;&gt;"",H1343&lt;&gt;""),G1343*H1343,"")</f>
        <v/>
      </c>
    </row>
    <row r="1344" customFormat="false" ht="15" hidden="false" customHeight="false" outlineLevel="0" collapsed="false">
      <c r="A1344" s="9"/>
      <c r="B1344" s="10"/>
      <c r="C1344" s="9"/>
      <c r="D1344" s="9"/>
      <c r="E1344" s="9"/>
      <c r="F1344" s="9"/>
      <c r="G1344" s="9"/>
      <c r="H1344" s="11"/>
      <c r="I1344" s="8" t="str">
        <f aca="false">IF(AND(G1344&lt;&gt;"",H1344&lt;&gt;""),G1344*H1344,"")</f>
        <v/>
      </c>
    </row>
    <row r="1345" customFormat="false" ht="15" hidden="false" customHeight="false" outlineLevel="0" collapsed="false">
      <c r="A1345" s="9"/>
      <c r="B1345" s="10"/>
      <c r="C1345" s="9"/>
      <c r="D1345" s="9"/>
      <c r="E1345" s="9"/>
      <c r="F1345" s="9"/>
      <c r="G1345" s="9"/>
      <c r="H1345" s="11"/>
      <c r="I1345" s="8" t="str">
        <f aca="false">IF(AND(G1345&lt;&gt;"",H1345&lt;&gt;""),G1345*H1345,"")</f>
        <v/>
      </c>
    </row>
    <row r="1346" customFormat="false" ht="15" hidden="false" customHeight="false" outlineLevel="0" collapsed="false">
      <c r="A1346" s="9"/>
      <c r="B1346" s="10"/>
      <c r="C1346" s="9"/>
      <c r="D1346" s="9"/>
      <c r="E1346" s="9"/>
      <c r="F1346" s="9"/>
      <c r="G1346" s="9"/>
      <c r="H1346" s="11"/>
      <c r="I1346" s="8" t="str">
        <f aca="false">IF(AND(G1346&lt;&gt;"",H1346&lt;&gt;""),G1346*H1346,"")</f>
        <v/>
      </c>
    </row>
    <row r="1347" customFormat="false" ht="15" hidden="false" customHeight="false" outlineLevel="0" collapsed="false">
      <c r="A1347" s="9"/>
      <c r="B1347" s="10"/>
      <c r="C1347" s="9"/>
      <c r="D1347" s="9"/>
      <c r="E1347" s="9"/>
      <c r="F1347" s="9"/>
      <c r="G1347" s="9"/>
      <c r="H1347" s="11"/>
      <c r="I1347" s="8" t="str">
        <f aca="false">IF(AND(G1347&lt;&gt;"",H1347&lt;&gt;""),G1347*H1347,"")</f>
        <v/>
      </c>
    </row>
    <row r="1348" customFormat="false" ht="15" hidden="false" customHeight="false" outlineLevel="0" collapsed="false">
      <c r="A1348" s="9"/>
      <c r="B1348" s="10"/>
      <c r="C1348" s="9"/>
      <c r="D1348" s="9"/>
      <c r="E1348" s="9"/>
      <c r="F1348" s="9"/>
      <c r="G1348" s="9"/>
      <c r="H1348" s="11"/>
      <c r="I1348" s="8" t="str">
        <f aca="false">IF(AND(G1348&lt;&gt;"",H1348&lt;&gt;""),G1348*H1348,"")</f>
        <v/>
      </c>
    </row>
    <row r="1349" customFormat="false" ht="15" hidden="false" customHeight="false" outlineLevel="0" collapsed="false">
      <c r="A1349" s="9"/>
      <c r="B1349" s="10"/>
      <c r="C1349" s="9"/>
      <c r="D1349" s="9"/>
      <c r="E1349" s="9"/>
      <c r="F1349" s="9"/>
      <c r="G1349" s="9"/>
      <c r="H1349" s="11"/>
      <c r="I1349" s="8" t="str">
        <f aca="false">IF(AND(G1349&lt;&gt;"",H1349&lt;&gt;""),G1349*H1349,"")</f>
        <v/>
      </c>
    </row>
    <row r="1350" customFormat="false" ht="15" hidden="false" customHeight="false" outlineLevel="0" collapsed="false">
      <c r="A1350" s="9"/>
      <c r="B1350" s="10"/>
      <c r="C1350" s="9"/>
      <c r="D1350" s="9"/>
      <c r="E1350" s="9"/>
      <c r="F1350" s="9"/>
      <c r="G1350" s="9"/>
      <c r="H1350" s="11"/>
      <c r="I1350" s="8" t="str">
        <f aca="false">IF(AND(G1350&lt;&gt;"",H1350&lt;&gt;""),G1350*H1350,"")</f>
        <v/>
      </c>
    </row>
    <row r="1351" customFormat="false" ht="15" hidden="false" customHeight="false" outlineLevel="0" collapsed="false">
      <c r="A1351" s="9"/>
      <c r="B1351" s="10"/>
      <c r="C1351" s="9"/>
      <c r="D1351" s="9"/>
      <c r="E1351" s="9"/>
      <c r="F1351" s="9"/>
      <c r="G1351" s="9"/>
      <c r="H1351" s="11"/>
      <c r="I1351" s="8" t="str">
        <f aca="false">IF(AND(G1351&lt;&gt;"",H1351&lt;&gt;""),G1351*H1351,"")</f>
        <v/>
      </c>
    </row>
    <row r="1352" customFormat="false" ht="15" hidden="false" customHeight="false" outlineLevel="0" collapsed="false">
      <c r="A1352" s="9"/>
      <c r="B1352" s="10"/>
      <c r="C1352" s="9"/>
      <c r="D1352" s="9"/>
      <c r="E1352" s="9"/>
      <c r="F1352" s="9"/>
      <c r="G1352" s="9"/>
      <c r="H1352" s="11"/>
      <c r="I1352" s="8" t="str">
        <f aca="false">IF(AND(G1352&lt;&gt;"",H1352&lt;&gt;""),G1352*H1352,"")</f>
        <v/>
      </c>
    </row>
    <row r="1353" customFormat="false" ht="15" hidden="false" customHeight="false" outlineLevel="0" collapsed="false">
      <c r="A1353" s="9"/>
      <c r="B1353" s="10"/>
      <c r="C1353" s="9"/>
      <c r="D1353" s="9"/>
      <c r="E1353" s="9"/>
      <c r="F1353" s="9"/>
      <c r="G1353" s="9"/>
      <c r="H1353" s="11"/>
      <c r="I1353" s="8" t="str">
        <f aca="false">IF(AND(G1353&lt;&gt;"",H1353&lt;&gt;""),G1353*H1353,"")</f>
        <v/>
      </c>
    </row>
    <row r="1354" customFormat="false" ht="15" hidden="false" customHeight="false" outlineLevel="0" collapsed="false">
      <c r="A1354" s="9"/>
      <c r="B1354" s="10"/>
      <c r="C1354" s="9"/>
      <c r="D1354" s="9"/>
      <c r="E1354" s="9"/>
      <c r="F1354" s="9"/>
      <c r="G1354" s="9"/>
      <c r="H1354" s="11"/>
      <c r="I1354" s="8" t="str">
        <f aca="false">IF(AND(G1354&lt;&gt;"",H1354&lt;&gt;""),G1354*H1354,"")</f>
        <v/>
      </c>
    </row>
    <row r="1355" customFormat="false" ht="15" hidden="false" customHeight="false" outlineLevel="0" collapsed="false">
      <c r="A1355" s="9"/>
      <c r="B1355" s="10"/>
      <c r="C1355" s="9"/>
      <c r="D1355" s="9"/>
      <c r="E1355" s="9"/>
      <c r="F1355" s="9"/>
      <c r="G1355" s="9"/>
      <c r="H1355" s="11"/>
      <c r="I1355" s="8" t="str">
        <f aca="false">IF(AND(G1355&lt;&gt;"",H1355&lt;&gt;""),G1355*H1355,"")</f>
        <v/>
      </c>
    </row>
    <row r="1356" customFormat="false" ht="15" hidden="false" customHeight="false" outlineLevel="0" collapsed="false">
      <c r="A1356" s="9"/>
      <c r="B1356" s="10"/>
      <c r="C1356" s="9"/>
      <c r="D1356" s="9"/>
      <c r="E1356" s="9"/>
      <c r="F1356" s="9"/>
      <c r="G1356" s="9"/>
      <c r="H1356" s="11"/>
      <c r="I1356" s="8" t="str">
        <f aca="false">IF(AND(G1356&lt;&gt;"",H1356&lt;&gt;""),G1356*H1356,"")</f>
        <v/>
      </c>
    </row>
    <row r="1357" customFormat="false" ht="15" hidden="false" customHeight="false" outlineLevel="0" collapsed="false">
      <c r="A1357" s="9"/>
      <c r="B1357" s="10"/>
      <c r="C1357" s="9"/>
      <c r="D1357" s="9"/>
      <c r="E1357" s="9"/>
      <c r="F1357" s="9"/>
      <c r="G1357" s="9"/>
      <c r="H1357" s="11"/>
      <c r="I1357" s="8" t="str">
        <f aca="false">IF(AND(G1357&lt;&gt;"",H1357&lt;&gt;""),G1357*H1357,"")</f>
        <v/>
      </c>
    </row>
    <row r="1358" customFormat="false" ht="15" hidden="false" customHeight="false" outlineLevel="0" collapsed="false">
      <c r="A1358" s="9"/>
      <c r="B1358" s="10"/>
      <c r="C1358" s="9"/>
      <c r="D1358" s="9"/>
      <c r="E1358" s="9"/>
      <c r="F1358" s="9"/>
      <c r="G1358" s="9"/>
      <c r="H1358" s="11"/>
      <c r="I1358" s="8" t="str">
        <f aca="false">IF(AND(G1358&lt;&gt;"",H1358&lt;&gt;""),G1358*H1358,"")</f>
        <v/>
      </c>
    </row>
    <row r="1359" customFormat="false" ht="15" hidden="false" customHeight="false" outlineLevel="0" collapsed="false">
      <c r="A1359" s="9"/>
      <c r="B1359" s="10"/>
      <c r="C1359" s="9"/>
      <c r="D1359" s="9"/>
      <c r="E1359" s="9"/>
      <c r="F1359" s="9"/>
      <c r="G1359" s="9"/>
      <c r="H1359" s="11"/>
      <c r="I1359" s="8" t="str">
        <f aca="false">IF(AND(G1359&lt;&gt;"",H1359&lt;&gt;""),G1359*H1359,"")</f>
        <v/>
      </c>
    </row>
    <row r="1360" customFormat="false" ht="15" hidden="false" customHeight="false" outlineLevel="0" collapsed="false">
      <c r="A1360" s="9"/>
      <c r="B1360" s="10"/>
      <c r="C1360" s="9"/>
      <c r="D1360" s="9"/>
      <c r="E1360" s="9"/>
      <c r="F1360" s="9"/>
      <c r="G1360" s="9"/>
      <c r="H1360" s="11"/>
      <c r="I1360" s="8" t="str">
        <f aca="false">IF(AND(G1360&lt;&gt;"",H1360&lt;&gt;""),G1360*H1360,"")</f>
        <v/>
      </c>
    </row>
    <row r="1361" customFormat="false" ht="15" hidden="false" customHeight="false" outlineLevel="0" collapsed="false">
      <c r="A1361" s="9"/>
      <c r="B1361" s="10"/>
      <c r="C1361" s="9"/>
      <c r="D1361" s="9"/>
      <c r="E1361" s="9"/>
      <c r="F1361" s="9"/>
      <c r="G1361" s="9"/>
      <c r="H1361" s="11"/>
      <c r="I1361" s="8" t="str">
        <f aca="false">IF(AND(G1361&lt;&gt;"",H1361&lt;&gt;""),G1361*H1361,"")</f>
        <v/>
      </c>
    </row>
    <row r="1362" customFormat="false" ht="15" hidden="false" customHeight="false" outlineLevel="0" collapsed="false">
      <c r="A1362" s="9"/>
      <c r="B1362" s="10"/>
      <c r="C1362" s="9"/>
      <c r="D1362" s="9"/>
      <c r="E1362" s="9"/>
      <c r="F1362" s="9"/>
      <c r="G1362" s="9"/>
      <c r="H1362" s="11"/>
      <c r="I1362" s="8" t="str">
        <f aca="false">IF(AND(G1362&lt;&gt;"",H1362&lt;&gt;""),G1362*H1362,"")</f>
        <v/>
      </c>
    </row>
    <row r="1363" customFormat="false" ht="15" hidden="false" customHeight="false" outlineLevel="0" collapsed="false">
      <c r="A1363" s="9"/>
      <c r="B1363" s="10"/>
      <c r="C1363" s="9"/>
      <c r="D1363" s="9"/>
      <c r="E1363" s="9"/>
      <c r="F1363" s="9"/>
      <c r="G1363" s="9"/>
      <c r="H1363" s="11"/>
      <c r="I1363" s="8" t="str">
        <f aca="false">IF(AND(G1363&lt;&gt;"",H1363&lt;&gt;""),G1363*H1363,"")</f>
        <v/>
      </c>
    </row>
    <row r="1364" customFormat="false" ht="15" hidden="false" customHeight="false" outlineLevel="0" collapsed="false">
      <c r="A1364" s="9"/>
      <c r="B1364" s="10"/>
      <c r="C1364" s="9"/>
      <c r="D1364" s="9"/>
      <c r="E1364" s="9"/>
      <c r="F1364" s="9"/>
      <c r="G1364" s="9"/>
      <c r="H1364" s="11"/>
      <c r="I1364" s="8" t="str">
        <f aca="false">IF(AND(G1364&lt;&gt;"",H1364&lt;&gt;""),G1364*H1364,"")</f>
        <v/>
      </c>
    </row>
    <row r="1365" customFormat="false" ht="15" hidden="false" customHeight="false" outlineLevel="0" collapsed="false">
      <c r="A1365" s="9"/>
      <c r="B1365" s="10"/>
      <c r="C1365" s="9"/>
      <c r="D1365" s="9"/>
      <c r="E1365" s="9"/>
      <c r="F1365" s="9"/>
      <c r="G1365" s="9"/>
      <c r="H1365" s="11"/>
      <c r="I1365" s="8" t="str">
        <f aca="false">IF(AND(G1365&lt;&gt;"",H1365&lt;&gt;""),G1365*H1365,"")</f>
        <v/>
      </c>
    </row>
    <row r="1366" customFormat="false" ht="15" hidden="false" customHeight="false" outlineLevel="0" collapsed="false">
      <c r="A1366" s="9"/>
      <c r="B1366" s="10"/>
      <c r="C1366" s="9"/>
      <c r="D1366" s="9"/>
      <c r="E1366" s="9"/>
      <c r="F1366" s="9"/>
      <c r="G1366" s="9"/>
      <c r="H1366" s="11"/>
      <c r="I1366" s="8" t="str">
        <f aca="false">IF(AND(G1366&lt;&gt;"",H1366&lt;&gt;""),G1366*H1366,"")</f>
        <v/>
      </c>
    </row>
    <row r="1367" customFormat="false" ht="15" hidden="false" customHeight="false" outlineLevel="0" collapsed="false">
      <c r="A1367" s="9"/>
      <c r="B1367" s="10"/>
      <c r="C1367" s="9"/>
      <c r="D1367" s="9"/>
      <c r="E1367" s="9"/>
      <c r="F1367" s="9"/>
      <c r="G1367" s="9"/>
      <c r="H1367" s="11"/>
      <c r="I1367" s="8" t="str">
        <f aca="false">IF(AND(G1367&lt;&gt;"",H1367&lt;&gt;""),G1367*H1367,"")</f>
        <v/>
      </c>
    </row>
    <row r="1368" customFormat="false" ht="15" hidden="false" customHeight="false" outlineLevel="0" collapsed="false">
      <c r="A1368" s="9"/>
      <c r="B1368" s="10"/>
      <c r="C1368" s="9"/>
      <c r="D1368" s="9"/>
      <c r="E1368" s="9"/>
      <c r="F1368" s="9"/>
      <c r="G1368" s="9"/>
      <c r="H1368" s="11"/>
      <c r="I1368" s="8" t="str">
        <f aca="false">IF(AND(G1368&lt;&gt;"",H1368&lt;&gt;""),G1368*H1368,"")</f>
        <v/>
      </c>
    </row>
    <row r="1369" customFormat="false" ht="15" hidden="false" customHeight="false" outlineLevel="0" collapsed="false">
      <c r="A1369" s="9"/>
      <c r="B1369" s="10"/>
      <c r="C1369" s="9"/>
      <c r="D1369" s="9"/>
      <c r="E1369" s="9"/>
      <c r="F1369" s="9"/>
      <c r="G1369" s="9"/>
      <c r="H1369" s="11"/>
      <c r="I1369" s="8" t="str">
        <f aca="false">IF(AND(G1369&lt;&gt;"",H1369&lt;&gt;""),G1369*H1369,"")</f>
        <v/>
      </c>
    </row>
    <row r="1370" customFormat="false" ht="15" hidden="false" customHeight="false" outlineLevel="0" collapsed="false">
      <c r="A1370" s="9"/>
      <c r="B1370" s="10"/>
      <c r="C1370" s="9"/>
      <c r="D1370" s="9"/>
      <c r="E1370" s="9"/>
      <c r="F1370" s="9"/>
      <c r="G1370" s="9"/>
      <c r="H1370" s="11"/>
      <c r="I1370" s="8" t="str">
        <f aca="false">IF(AND(G1370&lt;&gt;"",H1370&lt;&gt;""),G1370*H1370,"")</f>
        <v/>
      </c>
    </row>
    <row r="1371" customFormat="false" ht="15" hidden="false" customHeight="false" outlineLevel="0" collapsed="false">
      <c r="A1371" s="9"/>
      <c r="B1371" s="10"/>
      <c r="C1371" s="9"/>
      <c r="D1371" s="9"/>
      <c r="E1371" s="9"/>
      <c r="F1371" s="9"/>
      <c r="G1371" s="9"/>
      <c r="H1371" s="11"/>
      <c r="I1371" s="8" t="str">
        <f aca="false">IF(AND(G1371&lt;&gt;"",H1371&lt;&gt;""),G1371*H1371,"")</f>
        <v/>
      </c>
    </row>
    <row r="1372" customFormat="false" ht="15" hidden="false" customHeight="false" outlineLevel="0" collapsed="false">
      <c r="A1372" s="9"/>
      <c r="B1372" s="10"/>
      <c r="C1372" s="9"/>
      <c r="D1372" s="9"/>
      <c r="E1372" s="9"/>
      <c r="F1372" s="9"/>
      <c r="G1372" s="9"/>
      <c r="H1372" s="11"/>
      <c r="I1372" s="8" t="str">
        <f aca="false">IF(AND(G1372&lt;&gt;"",H1372&lt;&gt;""),G1372*H1372,"")</f>
        <v/>
      </c>
    </row>
    <row r="1373" customFormat="false" ht="15" hidden="false" customHeight="false" outlineLevel="0" collapsed="false">
      <c r="A1373" s="9"/>
      <c r="B1373" s="10"/>
      <c r="C1373" s="9"/>
      <c r="D1373" s="9"/>
      <c r="E1373" s="9"/>
      <c r="F1373" s="9"/>
      <c r="G1373" s="9"/>
      <c r="H1373" s="11"/>
      <c r="I1373" s="8" t="str">
        <f aca="false">IF(AND(G1373&lt;&gt;"",H1373&lt;&gt;""),G1373*H1373,"")</f>
        <v/>
      </c>
    </row>
    <row r="1374" customFormat="false" ht="15" hidden="false" customHeight="false" outlineLevel="0" collapsed="false">
      <c r="A1374" s="9"/>
      <c r="B1374" s="10"/>
      <c r="C1374" s="9"/>
      <c r="D1374" s="9"/>
      <c r="E1374" s="9"/>
      <c r="F1374" s="9"/>
      <c r="G1374" s="9"/>
      <c r="H1374" s="11"/>
      <c r="I1374" s="8" t="str">
        <f aca="false">IF(AND(G1374&lt;&gt;"",H1374&lt;&gt;""),G1374*H1374,"")</f>
        <v/>
      </c>
    </row>
    <row r="1375" customFormat="false" ht="15" hidden="false" customHeight="false" outlineLevel="0" collapsed="false">
      <c r="A1375" s="9"/>
      <c r="B1375" s="10"/>
      <c r="C1375" s="9"/>
      <c r="D1375" s="9"/>
      <c r="E1375" s="9"/>
      <c r="F1375" s="9"/>
      <c r="G1375" s="9"/>
      <c r="H1375" s="11"/>
      <c r="I1375" s="8" t="str">
        <f aca="false">IF(AND(G1375&lt;&gt;"",H1375&lt;&gt;""),G1375*H1375,"")</f>
        <v/>
      </c>
    </row>
    <row r="1376" customFormat="false" ht="15" hidden="false" customHeight="false" outlineLevel="0" collapsed="false">
      <c r="A1376" s="9"/>
      <c r="B1376" s="10"/>
      <c r="C1376" s="9"/>
      <c r="D1376" s="9"/>
      <c r="E1376" s="9"/>
      <c r="F1376" s="9"/>
      <c r="G1376" s="9"/>
      <c r="H1376" s="11"/>
      <c r="I1376" s="8" t="str">
        <f aca="false">IF(AND(G1376&lt;&gt;"",H1376&lt;&gt;""),G1376*H1376,"")</f>
        <v/>
      </c>
    </row>
    <row r="1377" customFormat="false" ht="15" hidden="false" customHeight="false" outlineLevel="0" collapsed="false">
      <c r="A1377" s="9"/>
      <c r="B1377" s="10"/>
      <c r="C1377" s="9"/>
      <c r="D1377" s="9"/>
      <c r="E1377" s="9"/>
      <c r="F1377" s="9"/>
      <c r="G1377" s="9"/>
      <c r="H1377" s="11"/>
      <c r="I1377" s="8" t="str">
        <f aca="false">IF(AND(G1377&lt;&gt;"",H1377&lt;&gt;""),G1377*H1377,"")</f>
        <v/>
      </c>
    </row>
    <row r="1378" customFormat="false" ht="15" hidden="false" customHeight="false" outlineLevel="0" collapsed="false">
      <c r="A1378" s="9"/>
      <c r="B1378" s="10"/>
      <c r="C1378" s="9"/>
      <c r="D1378" s="9"/>
      <c r="E1378" s="9"/>
      <c r="F1378" s="9"/>
      <c r="G1378" s="9"/>
      <c r="H1378" s="11"/>
      <c r="I1378" s="8" t="str">
        <f aca="false">IF(AND(G1378&lt;&gt;"",H1378&lt;&gt;""),G1378*H1378,"")</f>
        <v/>
      </c>
    </row>
    <row r="1379" customFormat="false" ht="15" hidden="false" customHeight="false" outlineLevel="0" collapsed="false">
      <c r="A1379" s="9"/>
      <c r="B1379" s="10"/>
      <c r="C1379" s="9"/>
      <c r="D1379" s="9"/>
      <c r="E1379" s="9"/>
      <c r="F1379" s="9"/>
      <c r="G1379" s="9"/>
      <c r="H1379" s="11"/>
      <c r="I1379" s="8" t="str">
        <f aca="false">IF(AND(G1379&lt;&gt;"",H1379&lt;&gt;""),G1379*H1379,"")</f>
        <v/>
      </c>
    </row>
    <row r="1380" customFormat="false" ht="15" hidden="false" customHeight="false" outlineLevel="0" collapsed="false">
      <c r="A1380" s="9"/>
      <c r="B1380" s="10"/>
      <c r="C1380" s="9"/>
      <c r="D1380" s="9"/>
      <c r="E1380" s="9"/>
      <c r="F1380" s="9"/>
      <c r="G1380" s="9"/>
      <c r="H1380" s="11"/>
      <c r="I1380" s="8" t="str">
        <f aca="false">IF(AND(G1380&lt;&gt;"",H1380&lt;&gt;""),G1380*H1380,"")</f>
        <v/>
      </c>
    </row>
    <row r="1381" customFormat="false" ht="15" hidden="false" customHeight="false" outlineLevel="0" collapsed="false">
      <c r="A1381" s="9"/>
      <c r="B1381" s="10"/>
      <c r="C1381" s="9"/>
      <c r="D1381" s="9"/>
      <c r="E1381" s="9"/>
      <c r="F1381" s="9"/>
      <c r="G1381" s="9"/>
      <c r="H1381" s="11"/>
      <c r="I1381" s="8" t="str">
        <f aca="false">IF(AND(G1381&lt;&gt;"",H1381&lt;&gt;""),G1381*H1381,"")</f>
        <v/>
      </c>
    </row>
    <row r="1382" customFormat="false" ht="15" hidden="false" customHeight="false" outlineLevel="0" collapsed="false">
      <c r="A1382" s="9"/>
      <c r="B1382" s="10"/>
      <c r="C1382" s="9"/>
      <c r="D1382" s="9"/>
      <c r="E1382" s="9"/>
      <c r="F1382" s="9"/>
      <c r="G1382" s="9"/>
      <c r="H1382" s="11"/>
      <c r="I1382" s="8" t="str">
        <f aca="false">IF(AND(G1382&lt;&gt;"",H1382&lt;&gt;""),G1382*H1382,"")</f>
        <v/>
      </c>
    </row>
    <row r="1383" customFormat="false" ht="15" hidden="false" customHeight="false" outlineLevel="0" collapsed="false">
      <c r="A1383" s="9"/>
      <c r="B1383" s="10"/>
      <c r="C1383" s="9"/>
      <c r="D1383" s="9"/>
      <c r="E1383" s="9"/>
      <c r="F1383" s="9"/>
      <c r="G1383" s="9"/>
      <c r="H1383" s="11"/>
      <c r="I1383" s="8" t="str">
        <f aca="false">IF(AND(G1383&lt;&gt;"",H1383&lt;&gt;""),G1383*H1383,"")</f>
        <v/>
      </c>
    </row>
    <row r="1384" customFormat="false" ht="15" hidden="false" customHeight="false" outlineLevel="0" collapsed="false">
      <c r="A1384" s="9"/>
      <c r="B1384" s="10"/>
      <c r="C1384" s="9"/>
      <c r="D1384" s="9"/>
      <c r="E1384" s="9"/>
      <c r="F1384" s="9"/>
      <c r="G1384" s="9"/>
      <c r="H1384" s="11"/>
      <c r="I1384" s="8" t="str">
        <f aca="false">IF(AND(G1384&lt;&gt;"",H1384&lt;&gt;""),G1384*H1384,"")</f>
        <v/>
      </c>
    </row>
    <row r="1385" customFormat="false" ht="15" hidden="false" customHeight="false" outlineLevel="0" collapsed="false">
      <c r="A1385" s="9"/>
      <c r="B1385" s="10"/>
      <c r="C1385" s="9"/>
      <c r="D1385" s="9"/>
      <c r="E1385" s="9"/>
      <c r="F1385" s="9"/>
      <c r="G1385" s="9"/>
      <c r="H1385" s="11"/>
      <c r="I1385" s="8" t="str">
        <f aca="false">IF(AND(G1385&lt;&gt;"",H1385&lt;&gt;""),G1385*H1385,"")</f>
        <v/>
      </c>
    </row>
    <row r="1386" customFormat="false" ht="15" hidden="false" customHeight="false" outlineLevel="0" collapsed="false">
      <c r="A1386" s="9"/>
      <c r="B1386" s="10"/>
      <c r="C1386" s="9"/>
      <c r="D1386" s="9"/>
      <c r="E1386" s="9"/>
      <c r="F1386" s="9"/>
      <c r="G1386" s="9"/>
      <c r="H1386" s="11"/>
      <c r="I1386" s="8" t="str">
        <f aca="false">IF(AND(G1386&lt;&gt;"",H1386&lt;&gt;""),G1386*H1386,"")</f>
        <v/>
      </c>
    </row>
    <row r="1387" customFormat="false" ht="15" hidden="false" customHeight="false" outlineLevel="0" collapsed="false">
      <c r="A1387" s="9"/>
      <c r="B1387" s="10"/>
      <c r="C1387" s="9"/>
      <c r="D1387" s="9"/>
      <c r="E1387" s="9"/>
      <c r="F1387" s="9"/>
      <c r="G1387" s="9"/>
      <c r="H1387" s="11"/>
      <c r="I1387" s="8" t="str">
        <f aca="false">IF(AND(G1387&lt;&gt;"",H1387&lt;&gt;""),G1387*H1387,"")</f>
        <v/>
      </c>
    </row>
    <row r="1388" customFormat="false" ht="15" hidden="false" customHeight="false" outlineLevel="0" collapsed="false">
      <c r="A1388" s="9"/>
      <c r="B1388" s="10"/>
      <c r="C1388" s="9"/>
      <c r="D1388" s="9"/>
      <c r="E1388" s="9"/>
      <c r="F1388" s="9"/>
      <c r="G1388" s="9"/>
      <c r="H1388" s="11"/>
      <c r="I1388" s="8" t="str">
        <f aca="false">IF(AND(G1388&lt;&gt;"",H1388&lt;&gt;""),G1388*H1388,"")</f>
        <v/>
      </c>
    </row>
    <row r="1389" customFormat="false" ht="15" hidden="false" customHeight="false" outlineLevel="0" collapsed="false">
      <c r="A1389" s="9"/>
      <c r="B1389" s="10"/>
      <c r="C1389" s="9"/>
      <c r="D1389" s="9"/>
      <c r="E1389" s="9"/>
      <c r="F1389" s="9"/>
      <c r="G1389" s="9"/>
      <c r="H1389" s="11"/>
      <c r="I1389" s="8" t="str">
        <f aca="false">IF(AND(G1389&lt;&gt;"",H1389&lt;&gt;""),G1389*H1389,"")</f>
        <v/>
      </c>
    </row>
    <row r="1390" customFormat="false" ht="15" hidden="false" customHeight="false" outlineLevel="0" collapsed="false">
      <c r="A1390" s="9"/>
      <c r="B1390" s="10"/>
      <c r="C1390" s="9"/>
      <c r="D1390" s="9"/>
      <c r="E1390" s="9"/>
      <c r="F1390" s="9"/>
      <c r="G1390" s="9"/>
      <c r="H1390" s="11"/>
      <c r="I1390" s="8" t="str">
        <f aca="false">IF(AND(G1390&lt;&gt;"",H1390&lt;&gt;""),G1390*H1390,"")</f>
        <v/>
      </c>
    </row>
    <row r="1391" customFormat="false" ht="15" hidden="false" customHeight="false" outlineLevel="0" collapsed="false">
      <c r="A1391" s="9"/>
      <c r="B1391" s="10"/>
      <c r="C1391" s="9"/>
      <c r="D1391" s="9"/>
      <c r="E1391" s="9"/>
      <c r="F1391" s="9"/>
      <c r="G1391" s="9"/>
      <c r="H1391" s="11"/>
      <c r="I1391" s="8" t="str">
        <f aca="false">IF(AND(G1391&lt;&gt;"",H1391&lt;&gt;""),G1391*H1391,"")</f>
        <v/>
      </c>
    </row>
    <row r="1392" customFormat="false" ht="15" hidden="false" customHeight="false" outlineLevel="0" collapsed="false">
      <c r="A1392" s="9"/>
      <c r="B1392" s="10"/>
      <c r="C1392" s="9"/>
      <c r="D1392" s="9"/>
      <c r="E1392" s="9"/>
      <c r="F1392" s="9"/>
      <c r="G1392" s="9"/>
      <c r="H1392" s="11"/>
      <c r="I1392" s="8" t="str">
        <f aca="false">IF(AND(G1392&lt;&gt;"",H1392&lt;&gt;""),G1392*H1392,"")</f>
        <v/>
      </c>
    </row>
    <row r="1393" customFormat="false" ht="15" hidden="false" customHeight="false" outlineLevel="0" collapsed="false">
      <c r="A1393" s="9"/>
      <c r="B1393" s="10"/>
      <c r="C1393" s="9"/>
      <c r="D1393" s="9"/>
      <c r="E1393" s="9"/>
      <c r="F1393" s="9"/>
      <c r="G1393" s="9"/>
      <c r="H1393" s="11"/>
      <c r="I1393" s="8" t="str">
        <f aca="false">IF(AND(G1393&lt;&gt;"",H1393&lt;&gt;""),G1393*H1393,"")</f>
        <v/>
      </c>
    </row>
    <row r="1394" customFormat="false" ht="15" hidden="false" customHeight="false" outlineLevel="0" collapsed="false">
      <c r="A1394" s="9"/>
      <c r="B1394" s="10"/>
      <c r="C1394" s="9"/>
      <c r="D1394" s="9"/>
      <c r="E1394" s="9"/>
      <c r="F1394" s="9"/>
      <c r="G1394" s="9"/>
      <c r="H1394" s="11"/>
      <c r="I1394" s="8" t="str">
        <f aca="false">IF(AND(G1394&lt;&gt;"",H1394&lt;&gt;""),G1394*H1394,"")</f>
        <v/>
      </c>
    </row>
    <row r="1395" customFormat="false" ht="15" hidden="false" customHeight="false" outlineLevel="0" collapsed="false">
      <c r="A1395" s="9"/>
      <c r="B1395" s="10"/>
      <c r="C1395" s="9"/>
      <c r="D1395" s="9"/>
      <c r="E1395" s="9"/>
      <c r="F1395" s="9"/>
      <c r="G1395" s="9"/>
      <c r="H1395" s="11"/>
      <c r="I1395" s="8" t="str">
        <f aca="false">IF(AND(G1395&lt;&gt;"",H1395&lt;&gt;""),G1395*H1395,"")</f>
        <v/>
      </c>
    </row>
    <row r="1396" customFormat="false" ht="15" hidden="false" customHeight="false" outlineLevel="0" collapsed="false">
      <c r="A1396" s="9"/>
      <c r="B1396" s="10"/>
      <c r="C1396" s="9"/>
      <c r="D1396" s="9"/>
      <c r="E1396" s="9"/>
      <c r="F1396" s="9"/>
      <c r="G1396" s="9"/>
      <c r="H1396" s="11"/>
      <c r="I1396" s="8" t="str">
        <f aca="false">IF(AND(G1396&lt;&gt;"",H1396&lt;&gt;""),G1396*H1396,"")</f>
        <v/>
      </c>
    </row>
    <row r="1397" customFormat="false" ht="15" hidden="false" customHeight="false" outlineLevel="0" collapsed="false">
      <c r="A1397" s="9"/>
      <c r="B1397" s="10"/>
      <c r="C1397" s="9"/>
      <c r="D1397" s="9"/>
      <c r="E1397" s="9"/>
      <c r="F1397" s="9"/>
      <c r="G1397" s="9"/>
      <c r="H1397" s="11"/>
      <c r="I1397" s="8" t="str">
        <f aca="false">IF(AND(G1397&lt;&gt;"",H1397&lt;&gt;""),G1397*H1397,"")</f>
        <v/>
      </c>
    </row>
    <row r="1398" customFormat="false" ht="15" hidden="false" customHeight="false" outlineLevel="0" collapsed="false">
      <c r="A1398" s="9"/>
      <c r="B1398" s="10"/>
      <c r="C1398" s="9"/>
      <c r="D1398" s="9"/>
      <c r="E1398" s="9"/>
      <c r="F1398" s="9"/>
      <c r="G1398" s="9"/>
      <c r="H1398" s="11"/>
      <c r="I1398" s="8" t="str">
        <f aca="false">IF(AND(G1398&lt;&gt;"",H1398&lt;&gt;""),G1398*H1398,"")</f>
        <v/>
      </c>
    </row>
    <row r="1399" customFormat="false" ht="15" hidden="false" customHeight="false" outlineLevel="0" collapsed="false">
      <c r="A1399" s="9"/>
      <c r="B1399" s="10"/>
      <c r="C1399" s="9"/>
      <c r="D1399" s="9"/>
      <c r="E1399" s="9"/>
      <c r="F1399" s="9"/>
      <c r="G1399" s="9"/>
      <c r="H1399" s="11"/>
      <c r="I1399" s="8" t="str">
        <f aca="false">IF(AND(G1399&lt;&gt;"",H1399&lt;&gt;""),G1399*H1399,"")</f>
        <v/>
      </c>
    </row>
    <row r="1400" customFormat="false" ht="15" hidden="false" customHeight="false" outlineLevel="0" collapsed="false">
      <c r="A1400" s="9"/>
      <c r="B1400" s="10"/>
      <c r="C1400" s="9"/>
      <c r="D1400" s="9"/>
      <c r="E1400" s="9"/>
      <c r="F1400" s="9"/>
      <c r="G1400" s="9"/>
      <c r="H1400" s="11"/>
      <c r="I1400" s="8" t="str">
        <f aca="false">IF(AND(G1400&lt;&gt;"",H1400&lt;&gt;""),G1400*H1400,"")</f>
        <v/>
      </c>
    </row>
    <row r="1401" customFormat="false" ht="15" hidden="false" customHeight="false" outlineLevel="0" collapsed="false">
      <c r="A1401" s="9"/>
      <c r="B1401" s="10"/>
      <c r="C1401" s="9"/>
      <c r="D1401" s="9"/>
      <c r="E1401" s="9"/>
      <c r="F1401" s="9"/>
      <c r="G1401" s="9"/>
      <c r="H1401" s="11"/>
      <c r="I1401" s="8" t="str">
        <f aca="false">IF(AND(G1401&lt;&gt;"",H1401&lt;&gt;""),G1401*H1401,"")</f>
        <v/>
      </c>
    </row>
    <row r="1402" customFormat="false" ht="15" hidden="false" customHeight="false" outlineLevel="0" collapsed="false">
      <c r="A1402" s="9"/>
      <c r="B1402" s="10"/>
      <c r="C1402" s="9"/>
      <c r="D1402" s="9"/>
      <c r="E1402" s="9"/>
      <c r="F1402" s="9"/>
      <c r="G1402" s="9"/>
      <c r="H1402" s="11"/>
      <c r="I1402" s="8" t="str">
        <f aca="false">IF(AND(G1402&lt;&gt;"",H1402&lt;&gt;""),G1402*H1402,"")</f>
        <v/>
      </c>
    </row>
    <row r="1403" customFormat="false" ht="15" hidden="false" customHeight="false" outlineLevel="0" collapsed="false">
      <c r="A1403" s="9"/>
      <c r="B1403" s="10"/>
      <c r="C1403" s="9"/>
      <c r="D1403" s="9"/>
      <c r="E1403" s="9"/>
      <c r="F1403" s="9"/>
      <c r="G1403" s="9"/>
      <c r="H1403" s="11"/>
      <c r="I1403" s="8" t="str">
        <f aca="false">IF(AND(G1403&lt;&gt;"",H1403&lt;&gt;""),G1403*H1403,"")</f>
        <v/>
      </c>
    </row>
    <row r="1404" customFormat="false" ht="15" hidden="false" customHeight="false" outlineLevel="0" collapsed="false">
      <c r="A1404" s="9"/>
      <c r="B1404" s="10"/>
      <c r="C1404" s="9"/>
      <c r="D1404" s="9"/>
      <c r="E1404" s="9"/>
      <c r="F1404" s="9"/>
      <c r="G1404" s="9"/>
      <c r="H1404" s="11"/>
      <c r="I1404" s="8" t="str">
        <f aca="false">IF(AND(G1404&lt;&gt;"",H1404&lt;&gt;""),G1404*H1404,"")</f>
        <v/>
      </c>
    </row>
    <row r="1405" customFormat="false" ht="15" hidden="false" customHeight="false" outlineLevel="0" collapsed="false">
      <c r="A1405" s="9"/>
      <c r="B1405" s="10"/>
      <c r="C1405" s="9"/>
      <c r="D1405" s="9"/>
      <c r="E1405" s="9"/>
      <c r="F1405" s="9"/>
      <c r="G1405" s="9"/>
      <c r="H1405" s="11"/>
      <c r="I1405" s="8" t="str">
        <f aca="false">IF(AND(G1405&lt;&gt;"",H1405&lt;&gt;""),G1405*H1405,"")</f>
        <v/>
      </c>
    </row>
    <row r="1406" customFormat="false" ht="15" hidden="false" customHeight="false" outlineLevel="0" collapsed="false">
      <c r="A1406" s="9"/>
      <c r="B1406" s="10"/>
      <c r="C1406" s="9"/>
      <c r="D1406" s="9"/>
      <c r="E1406" s="9"/>
      <c r="F1406" s="9"/>
      <c r="G1406" s="9"/>
      <c r="H1406" s="11"/>
      <c r="I1406" s="8" t="str">
        <f aca="false">IF(AND(G1406&lt;&gt;"",H1406&lt;&gt;""),G1406*H1406,"")</f>
        <v/>
      </c>
    </row>
    <row r="1407" customFormat="false" ht="15" hidden="false" customHeight="false" outlineLevel="0" collapsed="false">
      <c r="A1407" s="9"/>
      <c r="B1407" s="10"/>
      <c r="C1407" s="9"/>
      <c r="D1407" s="9"/>
      <c r="E1407" s="9"/>
      <c r="F1407" s="9"/>
      <c r="G1407" s="9"/>
      <c r="H1407" s="11"/>
      <c r="I1407" s="8" t="str">
        <f aca="false">IF(AND(G1407&lt;&gt;"",H1407&lt;&gt;""),G1407*H1407,"")</f>
        <v/>
      </c>
    </row>
    <row r="1408" customFormat="false" ht="15" hidden="false" customHeight="false" outlineLevel="0" collapsed="false">
      <c r="A1408" s="9"/>
      <c r="B1408" s="10"/>
      <c r="C1408" s="9"/>
      <c r="D1408" s="9"/>
      <c r="E1408" s="9"/>
      <c r="F1408" s="9"/>
      <c r="G1408" s="9"/>
      <c r="H1408" s="11"/>
      <c r="I1408" s="8" t="str">
        <f aca="false">IF(AND(G1408&lt;&gt;"",H1408&lt;&gt;""),G1408*H1408,"")</f>
        <v/>
      </c>
    </row>
    <row r="1409" customFormat="false" ht="15" hidden="false" customHeight="false" outlineLevel="0" collapsed="false">
      <c r="A1409" s="9"/>
      <c r="B1409" s="10"/>
      <c r="C1409" s="9"/>
      <c r="D1409" s="9"/>
      <c r="E1409" s="9"/>
      <c r="F1409" s="9"/>
      <c r="G1409" s="9"/>
      <c r="H1409" s="11"/>
      <c r="I1409" s="8" t="str">
        <f aca="false">IF(AND(G1409&lt;&gt;"",H1409&lt;&gt;""),G1409*H1409,"")</f>
        <v/>
      </c>
    </row>
    <row r="1410" customFormat="false" ht="15" hidden="false" customHeight="false" outlineLevel="0" collapsed="false">
      <c r="A1410" s="9"/>
      <c r="B1410" s="10"/>
      <c r="C1410" s="9"/>
      <c r="D1410" s="9"/>
      <c r="E1410" s="9"/>
      <c r="F1410" s="9"/>
      <c r="G1410" s="9"/>
      <c r="H1410" s="11"/>
      <c r="I1410" s="8" t="str">
        <f aca="false">IF(AND(G1410&lt;&gt;"",H1410&lt;&gt;""),G1410*H1410,"")</f>
        <v/>
      </c>
    </row>
    <row r="1411" customFormat="false" ht="15" hidden="false" customHeight="false" outlineLevel="0" collapsed="false">
      <c r="A1411" s="9"/>
      <c r="B1411" s="10"/>
      <c r="C1411" s="9"/>
      <c r="D1411" s="9"/>
      <c r="E1411" s="9"/>
      <c r="F1411" s="9"/>
      <c r="G1411" s="9"/>
      <c r="H1411" s="11"/>
      <c r="I1411" s="8" t="str">
        <f aca="false">IF(AND(G1411&lt;&gt;"",H1411&lt;&gt;""),G1411*H1411,"")</f>
        <v/>
      </c>
    </row>
    <row r="1412" customFormat="false" ht="15" hidden="false" customHeight="false" outlineLevel="0" collapsed="false">
      <c r="A1412" s="9"/>
      <c r="B1412" s="10"/>
      <c r="C1412" s="9"/>
      <c r="D1412" s="9"/>
      <c r="E1412" s="9"/>
      <c r="F1412" s="9"/>
      <c r="G1412" s="9"/>
      <c r="H1412" s="11"/>
      <c r="I1412" s="8" t="str">
        <f aca="false">IF(AND(G1412&lt;&gt;"",H1412&lt;&gt;""),G1412*H1412,"")</f>
        <v/>
      </c>
    </row>
    <row r="1413" customFormat="false" ht="15" hidden="false" customHeight="false" outlineLevel="0" collapsed="false">
      <c r="A1413" s="9"/>
      <c r="B1413" s="10"/>
      <c r="C1413" s="9"/>
      <c r="D1413" s="9"/>
      <c r="E1413" s="9"/>
      <c r="F1413" s="9"/>
      <c r="G1413" s="9"/>
      <c r="H1413" s="11"/>
      <c r="I1413" s="8" t="str">
        <f aca="false">IF(AND(G1413&lt;&gt;"",H1413&lt;&gt;""),G1413*H1413,"")</f>
        <v/>
      </c>
    </row>
    <row r="1414" customFormat="false" ht="15" hidden="false" customHeight="false" outlineLevel="0" collapsed="false">
      <c r="A1414" s="9"/>
      <c r="B1414" s="10"/>
      <c r="C1414" s="9"/>
      <c r="D1414" s="9"/>
      <c r="E1414" s="9"/>
      <c r="F1414" s="9"/>
      <c r="G1414" s="9"/>
      <c r="H1414" s="11"/>
      <c r="I1414" s="8" t="str">
        <f aca="false">IF(AND(G1414&lt;&gt;"",H1414&lt;&gt;""),G1414*H1414,"")</f>
        <v/>
      </c>
    </row>
    <row r="1415" customFormat="false" ht="15" hidden="false" customHeight="false" outlineLevel="0" collapsed="false">
      <c r="A1415" s="9"/>
      <c r="B1415" s="10"/>
      <c r="C1415" s="9"/>
      <c r="D1415" s="9"/>
      <c r="E1415" s="9"/>
      <c r="F1415" s="9"/>
      <c r="G1415" s="9"/>
      <c r="H1415" s="11"/>
      <c r="I1415" s="8" t="str">
        <f aca="false">IF(AND(G1415&lt;&gt;"",H1415&lt;&gt;""),G1415*H1415,"")</f>
        <v/>
      </c>
    </row>
    <row r="1416" customFormat="false" ht="15" hidden="false" customHeight="false" outlineLevel="0" collapsed="false">
      <c r="A1416" s="9"/>
      <c r="B1416" s="10"/>
      <c r="C1416" s="9"/>
      <c r="D1416" s="9"/>
      <c r="E1416" s="9"/>
      <c r="F1416" s="9"/>
      <c r="G1416" s="9"/>
      <c r="H1416" s="11"/>
      <c r="I1416" s="8" t="str">
        <f aca="false">IF(AND(G1416&lt;&gt;"",H1416&lt;&gt;""),G1416*H1416,"")</f>
        <v/>
      </c>
    </row>
    <row r="1417" customFormat="false" ht="15" hidden="false" customHeight="false" outlineLevel="0" collapsed="false">
      <c r="A1417" s="9"/>
      <c r="B1417" s="10"/>
      <c r="C1417" s="9"/>
      <c r="D1417" s="9"/>
      <c r="E1417" s="9"/>
      <c r="F1417" s="9"/>
      <c r="G1417" s="9"/>
      <c r="H1417" s="11"/>
      <c r="I1417" s="8" t="str">
        <f aca="false">IF(AND(G1417&lt;&gt;"",H1417&lt;&gt;""),G1417*H1417,"")</f>
        <v/>
      </c>
    </row>
    <row r="1418" customFormat="false" ht="15" hidden="false" customHeight="false" outlineLevel="0" collapsed="false">
      <c r="A1418" s="9"/>
      <c r="B1418" s="10"/>
      <c r="C1418" s="9"/>
      <c r="D1418" s="9"/>
      <c r="E1418" s="9"/>
      <c r="F1418" s="9"/>
      <c r="G1418" s="9"/>
      <c r="H1418" s="11"/>
      <c r="I1418" s="8" t="str">
        <f aca="false">IF(AND(G1418&lt;&gt;"",H1418&lt;&gt;""),G1418*H1418,"")</f>
        <v/>
      </c>
    </row>
    <row r="1419" customFormat="false" ht="15" hidden="false" customHeight="false" outlineLevel="0" collapsed="false">
      <c r="A1419" s="9"/>
      <c r="B1419" s="10"/>
      <c r="C1419" s="9"/>
      <c r="D1419" s="9"/>
      <c r="E1419" s="9"/>
      <c r="F1419" s="9"/>
      <c r="G1419" s="9"/>
      <c r="H1419" s="11"/>
      <c r="I1419" s="8" t="str">
        <f aca="false">IF(AND(G1419&lt;&gt;"",H1419&lt;&gt;""),G1419*H1419,"")</f>
        <v/>
      </c>
    </row>
    <row r="1420" customFormat="false" ht="15" hidden="false" customHeight="false" outlineLevel="0" collapsed="false">
      <c r="A1420" s="9"/>
      <c r="B1420" s="10"/>
      <c r="C1420" s="9"/>
      <c r="D1420" s="9"/>
      <c r="E1420" s="9"/>
      <c r="F1420" s="9"/>
      <c r="G1420" s="9"/>
      <c r="H1420" s="11"/>
      <c r="I1420" s="8" t="str">
        <f aca="false">IF(AND(G1420&lt;&gt;"",H1420&lt;&gt;""),G1420*H1420,"")</f>
        <v/>
      </c>
    </row>
    <row r="1421" customFormat="false" ht="15" hidden="false" customHeight="false" outlineLevel="0" collapsed="false">
      <c r="A1421" s="9"/>
      <c r="B1421" s="10"/>
      <c r="C1421" s="9"/>
      <c r="D1421" s="9"/>
      <c r="E1421" s="9"/>
      <c r="F1421" s="9"/>
      <c r="G1421" s="9"/>
      <c r="H1421" s="11"/>
      <c r="I1421" s="8" t="str">
        <f aca="false">IF(AND(G1421&lt;&gt;"",H1421&lt;&gt;""),G1421*H1421,"")</f>
        <v/>
      </c>
    </row>
    <row r="1422" customFormat="false" ht="15" hidden="false" customHeight="false" outlineLevel="0" collapsed="false">
      <c r="A1422" s="9"/>
      <c r="B1422" s="10"/>
      <c r="C1422" s="9"/>
      <c r="D1422" s="9"/>
      <c r="E1422" s="9"/>
      <c r="F1422" s="9"/>
      <c r="G1422" s="9"/>
      <c r="H1422" s="11"/>
      <c r="I1422" s="8" t="str">
        <f aca="false">IF(AND(G1422&lt;&gt;"",H1422&lt;&gt;""),G1422*H1422,"")</f>
        <v/>
      </c>
    </row>
    <row r="1423" customFormat="false" ht="15" hidden="false" customHeight="false" outlineLevel="0" collapsed="false">
      <c r="A1423" s="9"/>
      <c r="B1423" s="10"/>
      <c r="C1423" s="9"/>
      <c r="D1423" s="9"/>
      <c r="E1423" s="9"/>
      <c r="F1423" s="9"/>
      <c r="G1423" s="9"/>
      <c r="H1423" s="11"/>
      <c r="I1423" s="8" t="str">
        <f aca="false">IF(AND(G1423&lt;&gt;"",H1423&lt;&gt;""),G1423*H1423,"")</f>
        <v/>
      </c>
    </row>
    <row r="1424" customFormat="false" ht="15" hidden="false" customHeight="false" outlineLevel="0" collapsed="false">
      <c r="A1424" s="9"/>
      <c r="B1424" s="10"/>
      <c r="C1424" s="9"/>
      <c r="D1424" s="9"/>
      <c r="E1424" s="9"/>
      <c r="F1424" s="9"/>
      <c r="G1424" s="9"/>
      <c r="H1424" s="11"/>
      <c r="I1424" s="8" t="str">
        <f aca="false">IF(AND(G1424&lt;&gt;"",H1424&lt;&gt;""),G1424*H1424,"")</f>
        <v/>
      </c>
    </row>
    <row r="1425" customFormat="false" ht="15" hidden="false" customHeight="false" outlineLevel="0" collapsed="false">
      <c r="A1425" s="9"/>
      <c r="B1425" s="10"/>
      <c r="C1425" s="9"/>
      <c r="D1425" s="9"/>
      <c r="E1425" s="9"/>
      <c r="F1425" s="9"/>
      <c r="G1425" s="9"/>
      <c r="H1425" s="11"/>
      <c r="I1425" s="8" t="str">
        <f aca="false">IF(AND(G1425&lt;&gt;"",H1425&lt;&gt;""),G1425*H1425,"")</f>
        <v/>
      </c>
    </row>
    <row r="1426" customFormat="false" ht="15" hidden="false" customHeight="false" outlineLevel="0" collapsed="false">
      <c r="A1426" s="9"/>
      <c r="B1426" s="10"/>
      <c r="C1426" s="9"/>
      <c r="D1426" s="9"/>
      <c r="E1426" s="9"/>
      <c r="F1426" s="9"/>
      <c r="G1426" s="9"/>
      <c r="H1426" s="11"/>
      <c r="I1426" s="8" t="str">
        <f aca="false">IF(AND(G1426&lt;&gt;"",H1426&lt;&gt;""),G1426*H1426,"")</f>
        <v/>
      </c>
    </row>
    <row r="1427" customFormat="false" ht="15" hidden="false" customHeight="false" outlineLevel="0" collapsed="false">
      <c r="A1427" s="9"/>
      <c r="B1427" s="10"/>
      <c r="C1427" s="9"/>
      <c r="D1427" s="9"/>
      <c r="E1427" s="9"/>
      <c r="F1427" s="9"/>
      <c r="G1427" s="9"/>
      <c r="H1427" s="11"/>
      <c r="I1427" s="8" t="str">
        <f aca="false">IF(AND(G1427&lt;&gt;"",H1427&lt;&gt;""),G1427*H1427,"")</f>
        <v/>
      </c>
    </row>
    <row r="1428" customFormat="false" ht="15" hidden="false" customHeight="false" outlineLevel="0" collapsed="false">
      <c r="A1428" s="9"/>
      <c r="B1428" s="10"/>
      <c r="C1428" s="9"/>
      <c r="D1428" s="9"/>
      <c r="E1428" s="9"/>
      <c r="F1428" s="9"/>
      <c r="G1428" s="9"/>
      <c r="H1428" s="11"/>
      <c r="I1428" s="8" t="str">
        <f aca="false">IF(AND(G1428&lt;&gt;"",H1428&lt;&gt;""),G1428*H1428,"")</f>
        <v/>
      </c>
    </row>
    <row r="1429" customFormat="false" ht="15" hidden="false" customHeight="false" outlineLevel="0" collapsed="false">
      <c r="A1429" s="9"/>
      <c r="B1429" s="10"/>
      <c r="C1429" s="9"/>
      <c r="D1429" s="9"/>
      <c r="E1429" s="9"/>
      <c r="F1429" s="9"/>
      <c r="G1429" s="9"/>
      <c r="H1429" s="11"/>
      <c r="I1429" s="8" t="str">
        <f aca="false">IF(AND(G1429&lt;&gt;"",H1429&lt;&gt;""),G1429*H1429,"")</f>
        <v/>
      </c>
    </row>
    <row r="1430" customFormat="false" ht="15" hidden="false" customHeight="false" outlineLevel="0" collapsed="false">
      <c r="A1430" s="9"/>
      <c r="B1430" s="10"/>
      <c r="C1430" s="9"/>
      <c r="D1430" s="9"/>
      <c r="E1430" s="9"/>
      <c r="F1430" s="9"/>
      <c r="G1430" s="9"/>
      <c r="H1430" s="11"/>
      <c r="I1430" s="8" t="str">
        <f aca="false">IF(AND(G1430&lt;&gt;"",H1430&lt;&gt;""),G1430*H1430,"")</f>
        <v/>
      </c>
    </row>
    <row r="1431" customFormat="false" ht="15" hidden="false" customHeight="false" outlineLevel="0" collapsed="false">
      <c r="A1431" s="9"/>
      <c r="B1431" s="10"/>
      <c r="C1431" s="9"/>
      <c r="D1431" s="9"/>
      <c r="E1431" s="9"/>
      <c r="F1431" s="9"/>
      <c r="G1431" s="9"/>
      <c r="H1431" s="11"/>
      <c r="I1431" s="8" t="str">
        <f aca="false">IF(AND(G1431&lt;&gt;"",H1431&lt;&gt;""),G1431*H1431,"")</f>
        <v/>
      </c>
    </row>
    <row r="1432" customFormat="false" ht="15" hidden="false" customHeight="false" outlineLevel="0" collapsed="false">
      <c r="A1432" s="9"/>
      <c r="B1432" s="10"/>
      <c r="C1432" s="9"/>
      <c r="D1432" s="9"/>
      <c r="E1432" s="9"/>
      <c r="F1432" s="9"/>
      <c r="G1432" s="9"/>
      <c r="H1432" s="11"/>
      <c r="I1432" s="8" t="str">
        <f aca="false">IF(AND(G1432&lt;&gt;"",H1432&lt;&gt;""),G1432*H1432,"")</f>
        <v/>
      </c>
    </row>
    <row r="1433" customFormat="false" ht="15" hidden="false" customHeight="false" outlineLevel="0" collapsed="false">
      <c r="A1433" s="9"/>
      <c r="B1433" s="10"/>
      <c r="C1433" s="9"/>
      <c r="D1433" s="9"/>
      <c r="E1433" s="9"/>
      <c r="F1433" s="9"/>
      <c r="G1433" s="9"/>
      <c r="H1433" s="11"/>
      <c r="I1433" s="8" t="str">
        <f aca="false">IF(AND(G1433&lt;&gt;"",H1433&lt;&gt;""),G1433*H1433,"")</f>
        <v/>
      </c>
    </row>
    <row r="1434" customFormat="false" ht="15" hidden="false" customHeight="false" outlineLevel="0" collapsed="false">
      <c r="A1434" s="9"/>
      <c r="B1434" s="10"/>
      <c r="C1434" s="9"/>
      <c r="D1434" s="9"/>
      <c r="E1434" s="9"/>
      <c r="F1434" s="9"/>
      <c r="G1434" s="9"/>
      <c r="H1434" s="11"/>
      <c r="I1434" s="8" t="str">
        <f aca="false">IF(AND(G1434&lt;&gt;"",H1434&lt;&gt;""),G1434*H1434,"")</f>
        <v/>
      </c>
    </row>
    <row r="1435" customFormat="false" ht="15" hidden="false" customHeight="false" outlineLevel="0" collapsed="false">
      <c r="A1435" s="9"/>
      <c r="B1435" s="10"/>
      <c r="C1435" s="9"/>
      <c r="D1435" s="9"/>
      <c r="E1435" s="9"/>
      <c r="F1435" s="9"/>
      <c r="G1435" s="9"/>
      <c r="H1435" s="11"/>
      <c r="I1435" s="8" t="str">
        <f aca="false">IF(AND(G1435&lt;&gt;"",H1435&lt;&gt;""),G1435*H1435,"")</f>
        <v/>
      </c>
    </row>
    <row r="1436" customFormat="false" ht="15" hidden="false" customHeight="false" outlineLevel="0" collapsed="false">
      <c r="A1436" s="9"/>
      <c r="B1436" s="10"/>
      <c r="C1436" s="9"/>
      <c r="D1436" s="9"/>
      <c r="E1436" s="9"/>
      <c r="F1436" s="9"/>
      <c r="G1436" s="9"/>
      <c r="H1436" s="11"/>
      <c r="I1436" s="8" t="str">
        <f aca="false">IF(AND(G1436&lt;&gt;"",H1436&lt;&gt;""),G1436*H1436,"")</f>
        <v/>
      </c>
    </row>
    <row r="1437" customFormat="false" ht="15" hidden="false" customHeight="false" outlineLevel="0" collapsed="false">
      <c r="A1437" s="9"/>
      <c r="B1437" s="10"/>
      <c r="C1437" s="9"/>
      <c r="D1437" s="9"/>
      <c r="E1437" s="9"/>
      <c r="F1437" s="9"/>
      <c r="G1437" s="9"/>
      <c r="H1437" s="11"/>
      <c r="I1437" s="8" t="str">
        <f aca="false">IF(AND(G1437&lt;&gt;"",H1437&lt;&gt;""),G1437*H1437,"")</f>
        <v/>
      </c>
    </row>
    <row r="1438" customFormat="false" ht="15" hidden="false" customHeight="false" outlineLevel="0" collapsed="false">
      <c r="A1438" s="9"/>
      <c r="B1438" s="10"/>
      <c r="C1438" s="9"/>
      <c r="D1438" s="9"/>
      <c r="E1438" s="9"/>
      <c r="F1438" s="9"/>
      <c r="G1438" s="9"/>
      <c r="H1438" s="11"/>
      <c r="I1438" s="8" t="str">
        <f aca="false">IF(AND(G1438&lt;&gt;"",H1438&lt;&gt;""),G1438*H1438,"")</f>
        <v/>
      </c>
    </row>
    <row r="1439" customFormat="false" ht="15" hidden="false" customHeight="false" outlineLevel="0" collapsed="false">
      <c r="A1439" s="9"/>
      <c r="B1439" s="10"/>
      <c r="C1439" s="9"/>
      <c r="D1439" s="9"/>
      <c r="E1439" s="9"/>
      <c r="F1439" s="9"/>
      <c r="G1439" s="9"/>
      <c r="H1439" s="11"/>
      <c r="I1439" s="8" t="str">
        <f aca="false">IF(AND(G1439&lt;&gt;"",H1439&lt;&gt;""),G1439*H1439,"")</f>
        <v/>
      </c>
    </row>
    <row r="1440" customFormat="false" ht="15" hidden="false" customHeight="false" outlineLevel="0" collapsed="false">
      <c r="A1440" s="9"/>
      <c r="B1440" s="10"/>
      <c r="C1440" s="9"/>
      <c r="D1440" s="9"/>
      <c r="E1440" s="9"/>
      <c r="F1440" s="9"/>
      <c r="G1440" s="9"/>
      <c r="H1440" s="11"/>
      <c r="I1440" s="8" t="str">
        <f aca="false">IF(AND(G1440&lt;&gt;"",H1440&lt;&gt;""),G1440*H1440,"")</f>
        <v/>
      </c>
    </row>
    <row r="1441" customFormat="false" ht="15" hidden="false" customHeight="false" outlineLevel="0" collapsed="false">
      <c r="A1441" s="9"/>
      <c r="B1441" s="10"/>
      <c r="C1441" s="9"/>
      <c r="D1441" s="9"/>
      <c r="E1441" s="9"/>
      <c r="F1441" s="9"/>
      <c r="G1441" s="9"/>
      <c r="H1441" s="11"/>
      <c r="I1441" s="8" t="str">
        <f aca="false">IF(AND(G1441&lt;&gt;"",H1441&lt;&gt;""),G1441*H1441,"")</f>
        <v/>
      </c>
    </row>
    <row r="1442" customFormat="false" ht="15" hidden="false" customHeight="false" outlineLevel="0" collapsed="false">
      <c r="A1442" s="9"/>
      <c r="B1442" s="10"/>
      <c r="C1442" s="9"/>
      <c r="D1442" s="9"/>
      <c r="E1442" s="9"/>
      <c r="F1442" s="9"/>
      <c r="G1442" s="9"/>
      <c r="H1442" s="11"/>
      <c r="I1442" s="8" t="str">
        <f aca="false">IF(AND(G1442&lt;&gt;"",H1442&lt;&gt;""),G1442*H1442,"")</f>
        <v/>
      </c>
    </row>
    <row r="1443" customFormat="false" ht="15" hidden="false" customHeight="false" outlineLevel="0" collapsed="false">
      <c r="A1443" s="9"/>
      <c r="B1443" s="10"/>
      <c r="C1443" s="9"/>
      <c r="D1443" s="9"/>
      <c r="E1443" s="9"/>
      <c r="F1443" s="9"/>
      <c r="G1443" s="9"/>
      <c r="H1443" s="11"/>
      <c r="I1443" s="8" t="str">
        <f aca="false">IF(AND(G1443&lt;&gt;"",H1443&lt;&gt;""),G1443*H1443,"")</f>
        <v/>
      </c>
    </row>
    <row r="1444" customFormat="false" ht="15" hidden="false" customHeight="false" outlineLevel="0" collapsed="false">
      <c r="A1444" s="9"/>
      <c r="B1444" s="10"/>
      <c r="C1444" s="9"/>
      <c r="D1444" s="9"/>
      <c r="E1444" s="9"/>
      <c r="F1444" s="9"/>
      <c r="G1444" s="9"/>
      <c r="H1444" s="11"/>
      <c r="I1444" s="8" t="str">
        <f aca="false">IF(AND(G1444&lt;&gt;"",H1444&lt;&gt;""),G1444*H1444,"")</f>
        <v/>
      </c>
    </row>
    <row r="1445" customFormat="false" ht="15" hidden="false" customHeight="false" outlineLevel="0" collapsed="false">
      <c r="A1445" s="9"/>
      <c r="B1445" s="10"/>
      <c r="C1445" s="9"/>
      <c r="D1445" s="9"/>
      <c r="E1445" s="9"/>
      <c r="F1445" s="9"/>
      <c r="G1445" s="9"/>
      <c r="H1445" s="11"/>
      <c r="I1445" s="8" t="str">
        <f aca="false">IF(AND(G1445&lt;&gt;"",H1445&lt;&gt;""),G1445*H1445,"")</f>
        <v/>
      </c>
    </row>
    <row r="1446" customFormat="false" ht="15" hidden="false" customHeight="false" outlineLevel="0" collapsed="false">
      <c r="A1446" s="9"/>
      <c r="B1446" s="10"/>
      <c r="C1446" s="9"/>
      <c r="D1446" s="9"/>
      <c r="E1446" s="9"/>
      <c r="F1446" s="9"/>
      <c r="G1446" s="9"/>
      <c r="H1446" s="11"/>
      <c r="I1446" s="8" t="str">
        <f aca="false">IF(AND(G1446&lt;&gt;"",H1446&lt;&gt;""),G1446*H1446,"")</f>
        <v/>
      </c>
    </row>
    <row r="1447" customFormat="false" ht="15" hidden="false" customHeight="false" outlineLevel="0" collapsed="false">
      <c r="A1447" s="9"/>
      <c r="B1447" s="10"/>
      <c r="C1447" s="9"/>
      <c r="D1447" s="9"/>
      <c r="E1447" s="9"/>
      <c r="F1447" s="9"/>
      <c r="G1447" s="9"/>
      <c r="H1447" s="11"/>
      <c r="I1447" s="8" t="str">
        <f aca="false">IF(AND(G1447&lt;&gt;"",H1447&lt;&gt;""),G1447*H1447,"")</f>
        <v/>
      </c>
    </row>
    <row r="1448" customFormat="false" ht="15" hidden="false" customHeight="false" outlineLevel="0" collapsed="false">
      <c r="A1448" s="9"/>
      <c r="B1448" s="10"/>
      <c r="C1448" s="9"/>
      <c r="D1448" s="9"/>
      <c r="E1448" s="9"/>
      <c r="F1448" s="9"/>
      <c r="G1448" s="9"/>
      <c r="H1448" s="11"/>
      <c r="I1448" s="8" t="str">
        <f aca="false">IF(AND(G1448&lt;&gt;"",H1448&lt;&gt;""),G1448*H1448,"")</f>
        <v/>
      </c>
    </row>
    <row r="1449" customFormat="false" ht="15" hidden="false" customHeight="false" outlineLevel="0" collapsed="false">
      <c r="A1449" s="9"/>
      <c r="B1449" s="10"/>
      <c r="C1449" s="9"/>
      <c r="D1449" s="9"/>
      <c r="E1449" s="9"/>
      <c r="F1449" s="9"/>
      <c r="G1449" s="9"/>
      <c r="H1449" s="11"/>
      <c r="I1449" s="8" t="str">
        <f aca="false">IF(AND(G1449&lt;&gt;"",H1449&lt;&gt;""),G1449*H1449,"")</f>
        <v/>
      </c>
    </row>
    <row r="1450" customFormat="false" ht="15" hidden="false" customHeight="false" outlineLevel="0" collapsed="false">
      <c r="A1450" s="9"/>
      <c r="B1450" s="10"/>
      <c r="C1450" s="9"/>
      <c r="D1450" s="9"/>
      <c r="E1450" s="9"/>
      <c r="F1450" s="9"/>
      <c r="G1450" s="9"/>
      <c r="H1450" s="11"/>
      <c r="I1450" s="8" t="str">
        <f aca="false">IF(AND(G1450&lt;&gt;"",H1450&lt;&gt;""),G1450*H1450,"")</f>
        <v/>
      </c>
    </row>
    <row r="1451" customFormat="false" ht="15" hidden="false" customHeight="false" outlineLevel="0" collapsed="false">
      <c r="A1451" s="9"/>
      <c r="B1451" s="10"/>
      <c r="C1451" s="9"/>
      <c r="D1451" s="9"/>
      <c r="E1451" s="9"/>
      <c r="F1451" s="9"/>
      <c r="G1451" s="9"/>
      <c r="H1451" s="11"/>
      <c r="I1451" s="8" t="str">
        <f aca="false">IF(AND(G1451&lt;&gt;"",H1451&lt;&gt;""),G1451*H1451,"")</f>
        <v/>
      </c>
    </row>
    <row r="1452" customFormat="false" ht="15" hidden="false" customHeight="false" outlineLevel="0" collapsed="false">
      <c r="A1452" s="9"/>
      <c r="B1452" s="10"/>
      <c r="C1452" s="9"/>
      <c r="D1452" s="9"/>
      <c r="E1452" s="9"/>
      <c r="F1452" s="9"/>
      <c r="G1452" s="9"/>
      <c r="H1452" s="11"/>
      <c r="I1452" s="8" t="str">
        <f aca="false">IF(AND(G1452&lt;&gt;"",H1452&lt;&gt;""),G1452*H1452,"")</f>
        <v/>
      </c>
    </row>
    <row r="1453" customFormat="false" ht="15" hidden="false" customHeight="false" outlineLevel="0" collapsed="false">
      <c r="A1453" s="9"/>
      <c r="B1453" s="10"/>
      <c r="C1453" s="9"/>
      <c r="D1453" s="9"/>
      <c r="E1453" s="9"/>
      <c r="F1453" s="9"/>
      <c r="G1453" s="9"/>
      <c r="H1453" s="11"/>
      <c r="I1453" s="8" t="str">
        <f aca="false">IF(AND(G1453&lt;&gt;"",H1453&lt;&gt;""),G1453*H1453,"")</f>
        <v/>
      </c>
    </row>
    <row r="1454" customFormat="false" ht="15" hidden="false" customHeight="false" outlineLevel="0" collapsed="false">
      <c r="A1454" s="9"/>
      <c r="B1454" s="10"/>
      <c r="C1454" s="9"/>
      <c r="D1454" s="9"/>
      <c r="E1454" s="9"/>
      <c r="F1454" s="9"/>
      <c r="G1454" s="9"/>
      <c r="H1454" s="11"/>
      <c r="I1454" s="8" t="str">
        <f aca="false">IF(AND(G1454&lt;&gt;"",H1454&lt;&gt;""),G1454*H1454,"")</f>
        <v/>
      </c>
    </row>
    <row r="1455" customFormat="false" ht="15" hidden="false" customHeight="false" outlineLevel="0" collapsed="false">
      <c r="A1455" s="9"/>
      <c r="B1455" s="10"/>
      <c r="C1455" s="9"/>
      <c r="D1455" s="9"/>
      <c r="E1455" s="9"/>
      <c r="F1455" s="9"/>
      <c r="G1455" s="9"/>
      <c r="H1455" s="11"/>
      <c r="I1455" s="8" t="str">
        <f aca="false">IF(AND(G1455&lt;&gt;"",H1455&lt;&gt;""),G1455*H1455,"")</f>
        <v/>
      </c>
    </row>
    <row r="1456" customFormat="false" ht="15" hidden="false" customHeight="false" outlineLevel="0" collapsed="false">
      <c r="A1456" s="9"/>
      <c r="B1456" s="10"/>
      <c r="C1456" s="9"/>
      <c r="D1456" s="9"/>
      <c r="E1456" s="9"/>
      <c r="F1456" s="9"/>
      <c r="G1456" s="9"/>
      <c r="H1456" s="11"/>
      <c r="I1456" s="8" t="str">
        <f aca="false">IF(AND(G1456&lt;&gt;"",H1456&lt;&gt;""),G1456*H1456,"")</f>
        <v/>
      </c>
    </row>
    <row r="1457" customFormat="false" ht="15" hidden="false" customHeight="false" outlineLevel="0" collapsed="false">
      <c r="A1457" s="9"/>
      <c r="B1457" s="10"/>
      <c r="C1457" s="9"/>
      <c r="D1457" s="9"/>
      <c r="E1457" s="9"/>
      <c r="F1457" s="9"/>
      <c r="G1457" s="9"/>
      <c r="H1457" s="11"/>
      <c r="I1457" s="8" t="str">
        <f aca="false">IF(AND(G1457&lt;&gt;"",H1457&lt;&gt;""),G1457*H1457,"")</f>
        <v/>
      </c>
    </row>
    <row r="1458" customFormat="false" ht="15" hidden="false" customHeight="false" outlineLevel="0" collapsed="false">
      <c r="A1458" s="9"/>
      <c r="B1458" s="10"/>
      <c r="C1458" s="9"/>
      <c r="D1458" s="9"/>
      <c r="E1458" s="9"/>
      <c r="F1458" s="9"/>
      <c r="G1458" s="9"/>
      <c r="H1458" s="11"/>
      <c r="I1458" s="8" t="str">
        <f aca="false">IF(AND(G1458&lt;&gt;"",H1458&lt;&gt;""),G1458*H1458,"")</f>
        <v/>
      </c>
    </row>
    <row r="1459" customFormat="false" ht="15" hidden="false" customHeight="false" outlineLevel="0" collapsed="false">
      <c r="A1459" s="9"/>
      <c r="B1459" s="10"/>
      <c r="C1459" s="9"/>
      <c r="D1459" s="9"/>
      <c r="E1459" s="9"/>
      <c r="F1459" s="9"/>
      <c r="G1459" s="9"/>
      <c r="H1459" s="11"/>
      <c r="I1459" s="8" t="str">
        <f aca="false">IF(AND(G1459&lt;&gt;"",H1459&lt;&gt;""),G1459*H1459,"")</f>
        <v/>
      </c>
    </row>
    <row r="1460" customFormat="false" ht="15" hidden="false" customHeight="false" outlineLevel="0" collapsed="false">
      <c r="A1460" s="9"/>
      <c r="B1460" s="10"/>
      <c r="C1460" s="9"/>
      <c r="D1460" s="9"/>
      <c r="E1460" s="9"/>
      <c r="F1460" s="9"/>
      <c r="G1460" s="9"/>
      <c r="H1460" s="11"/>
      <c r="I1460" s="8" t="str">
        <f aca="false">IF(AND(G1460&lt;&gt;"",H1460&lt;&gt;""),G1460*H1460,"")</f>
        <v/>
      </c>
    </row>
    <row r="1461" customFormat="false" ht="15" hidden="false" customHeight="false" outlineLevel="0" collapsed="false">
      <c r="A1461" s="9"/>
      <c r="B1461" s="10"/>
      <c r="C1461" s="9"/>
      <c r="D1461" s="9"/>
      <c r="E1461" s="9"/>
      <c r="F1461" s="9"/>
      <c r="G1461" s="9"/>
      <c r="H1461" s="11"/>
      <c r="I1461" s="8" t="str">
        <f aca="false">IF(AND(G1461&lt;&gt;"",H1461&lt;&gt;""),G1461*H1461,"")</f>
        <v/>
      </c>
    </row>
    <row r="1462" customFormat="false" ht="15" hidden="false" customHeight="false" outlineLevel="0" collapsed="false">
      <c r="A1462" s="9"/>
      <c r="B1462" s="10"/>
      <c r="C1462" s="9"/>
      <c r="D1462" s="9"/>
      <c r="E1462" s="9"/>
      <c r="F1462" s="9"/>
      <c r="G1462" s="9"/>
      <c r="H1462" s="11"/>
      <c r="I1462" s="8" t="str">
        <f aca="false">IF(AND(G1462&lt;&gt;"",H1462&lt;&gt;""),G1462*H1462,"")</f>
        <v/>
      </c>
    </row>
    <row r="1463" customFormat="false" ht="15" hidden="false" customHeight="false" outlineLevel="0" collapsed="false">
      <c r="A1463" s="9"/>
      <c r="B1463" s="10"/>
      <c r="C1463" s="9"/>
      <c r="D1463" s="9"/>
      <c r="E1463" s="9"/>
      <c r="F1463" s="9"/>
      <c r="G1463" s="9"/>
      <c r="H1463" s="11"/>
      <c r="I1463" s="8" t="str">
        <f aca="false">IF(AND(G1463&lt;&gt;"",H1463&lt;&gt;""),G1463*H1463,"")</f>
        <v/>
      </c>
    </row>
    <row r="1464" customFormat="false" ht="15" hidden="false" customHeight="false" outlineLevel="0" collapsed="false">
      <c r="A1464" s="9"/>
      <c r="B1464" s="10"/>
      <c r="C1464" s="9"/>
      <c r="D1464" s="9"/>
      <c r="E1464" s="9"/>
      <c r="F1464" s="9"/>
      <c r="G1464" s="9"/>
      <c r="H1464" s="11"/>
      <c r="I1464" s="8" t="str">
        <f aca="false">IF(AND(G1464&lt;&gt;"",H1464&lt;&gt;""),G1464*H1464,"")</f>
        <v/>
      </c>
    </row>
    <row r="1465" customFormat="false" ht="15" hidden="false" customHeight="false" outlineLevel="0" collapsed="false">
      <c r="A1465" s="9"/>
      <c r="B1465" s="10"/>
      <c r="C1465" s="9"/>
      <c r="D1465" s="9"/>
      <c r="E1465" s="9"/>
      <c r="F1465" s="9"/>
      <c r="G1465" s="9"/>
      <c r="H1465" s="11"/>
      <c r="I1465" s="8" t="str">
        <f aca="false">IF(AND(G1465&lt;&gt;"",H1465&lt;&gt;""),G1465*H1465,"")</f>
        <v/>
      </c>
    </row>
    <row r="1466" customFormat="false" ht="15" hidden="false" customHeight="false" outlineLevel="0" collapsed="false">
      <c r="A1466" s="9"/>
      <c r="B1466" s="10"/>
      <c r="C1466" s="9"/>
      <c r="D1466" s="9"/>
      <c r="E1466" s="9"/>
      <c r="F1466" s="9"/>
      <c r="G1466" s="9"/>
      <c r="H1466" s="11"/>
      <c r="I1466" s="8" t="str">
        <f aca="false">IF(AND(G1466&lt;&gt;"",H1466&lt;&gt;""),G1466*H1466,"")</f>
        <v/>
      </c>
    </row>
    <row r="1467" customFormat="false" ht="15" hidden="false" customHeight="false" outlineLevel="0" collapsed="false">
      <c r="A1467" s="9"/>
      <c r="B1467" s="10"/>
      <c r="C1467" s="9"/>
      <c r="D1467" s="9"/>
      <c r="E1467" s="9"/>
      <c r="F1467" s="9"/>
      <c r="G1467" s="9"/>
      <c r="H1467" s="11"/>
      <c r="I1467" s="8" t="str">
        <f aca="false">IF(AND(G1467&lt;&gt;"",H1467&lt;&gt;""),G1467*H1467,"")</f>
        <v/>
      </c>
    </row>
    <row r="1468" customFormat="false" ht="15" hidden="false" customHeight="false" outlineLevel="0" collapsed="false">
      <c r="A1468" s="9"/>
      <c r="B1468" s="10"/>
      <c r="C1468" s="9"/>
      <c r="D1468" s="9"/>
      <c r="E1468" s="9"/>
      <c r="F1468" s="9"/>
      <c r="G1468" s="9"/>
      <c r="H1468" s="11"/>
      <c r="I1468" s="8" t="str">
        <f aca="false">IF(AND(G1468&lt;&gt;"",H1468&lt;&gt;""),G1468*H1468,"")</f>
        <v/>
      </c>
    </row>
    <row r="1469" customFormat="false" ht="15" hidden="false" customHeight="false" outlineLevel="0" collapsed="false">
      <c r="A1469" s="9"/>
      <c r="B1469" s="10"/>
      <c r="C1469" s="9"/>
      <c r="D1469" s="9"/>
      <c r="E1469" s="9"/>
      <c r="F1469" s="9"/>
      <c r="G1469" s="9"/>
      <c r="H1469" s="11"/>
      <c r="I1469" s="8" t="str">
        <f aca="false">IF(AND(G1469&lt;&gt;"",H1469&lt;&gt;""),G1469*H1469,"")</f>
        <v/>
      </c>
    </row>
    <row r="1470" customFormat="false" ht="15" hidden="false" customHeight="false" outlineLevel="0" collapsed="false">
      <c r="A1470" s="9"/>
      <c r="B1470" s="10"/>
      <c r="C1470" s="9"/>
      <c r="D1470" s="9"/>
      <c r="E1470" s="9"/>
      <c r="F1470" s="9"/>
      <c r="G1470" s="9"/>
      <c r="H1470" s="11"/>
      <c r="I1470" s="8" t="str">
        <f aca="false">IF(AND(G1470&lt;&gt;"",H1470&lt;&gt;""),G1470*H1470,"")</f>
        <v/>
      </c>
    </row>
    <row r="1471" customFormat="false" ht="15" hidden="false" customHeight="false" outlineLevel="0" collapsed="false">
      <c r="A1471" s="9"/>
      <c r="B1471" s="10"/>
      <c r="C1471" s="9"/>
      <c r="D1471" s="9"/>
      <c r="E1471" s="9"/>
      <c r="F1471" s="9"/>
      <c r="G1471" s="9"/>
      <c r="H1471" s="11"/>
      <c r="I1471" s="8" t="str">
        <f aca="false">IF(AND(G1471&lt;&gt;"",H1471&lt;&gt;""),G1471*H1471,"")</f>
        <v/>
      </c>
    </row>
    <row r="1472" customFormat="false" ht="15" hidden="false" customHeight="false" outlineLevel="0" collapsed="false">
      <c r="A1472" s="9"/>
      <c r="B1472" s="10"/>
      <c r="C1472" s="9"/>
      <c r="D1472" s="9"/>
      <c r="E1472" s="9"/>
      <c r="F1472" s="9"/>
      <c r="G1472" s="9"/>
      <c r="H1472" s="11"/>
      <c r="I1472" s="8" t="str">
        <f aca="false">IF(AND(G1472&lt;&gt;"",H1472&lt;&gt;""),G1472*H1472,"")</f>
        <v/>
      </c>
    </row>
    <row r="1473" customFormat="false" ht="15" hidden="false" customHeight="false" outlineLevel="0" collapsed="false">
      <c r="A1473" s="9"/>
      <c r="B1473" s="10"/>
      <c r="C1473" s="9"/>
      <c r="D1473" s="9"/>
      <c r="E1473" s="9"/>
      <c r="F1473" s="9"/>
      <c r="G1473" s="9"/>
      <c r="H1473" s="11"/>
      <c r="I1473" s="8" t="str">
        <f aca="false">IF(AND(G1473&lt;&gt;"",H1473&lt;&gt;""),G1473*H1473,"")</f>
        <v/>
      </c>
    </row>
    <row r="1474" customFormat="false" ht="15" hidden="false" customHeight="false" outlineLevel="0" collapsed="false">
      <c r="A1474" s="9"/>
      <c r="B1474" s="10"/>
      <c r="C1474" s="9"/>
      <c r="D1474" s="9"/>
      <c r="E1474" s="9"/>
      <c r="F1474" s="9"/>
      <c r="G1474" s="9"/>
      <c r="H1474" s="11"/>
      <c r="I1474" s="8" t="str">
        <f aca="false">IF(AND(G1474&lt;&gt;"",H1474&lt;&gt;""),G1474*H1474,"")</f>
        <v/>
      </c>
    </row>
    <row r="1475" customFormat="false" ht="15" hidden="false" customHeight="false" outlineLevel="0" collapsed="false">
      <c r="A1475" s="9"/>
      <c r="B1475" s="10"/>
      <c r="C1475" s="9"/>
      <c r="D1475" s="9"/>
      <c r="E1475" s="9"/>
      <c r="F1475" s="9"/>
      <c r="G1475" s="9"/>
      <c r="H1475" s="11"/>
      <c r="I1475" s="8" t="str">
        <f aca="false">IF(AND(G1475&lt;&gt;"",H1475&lt;&gt;""),G1475*H1475,"")</f>
        <v/>
      </c>
    </row>
    <row r="1476" customFormat="false" ht="15" hidden="false" customHeight="false" outlineLevel="0" collapsed="false">
      <c r="A1476" s="9"/>
      <c r="B1476" s="10"/>
      <c r="C1476" s="9"/>
      <c r="D1476" s="9"/>
      <c r="E1476" s="9"/>
      <c r="F1476" s="9"/>
      <c r="G1476" s="9"/>
      <c r="H1476" s="11"/>
      <c r="I1476" s="8" t="str">
        <f aca="false">IF(AND(G1476&lt;&gt;"",H1476&lt;&gt;""),G1476*H1476,"")</f>
        <v/>
      </c>
    </row>
    <row r="1477" customFormat="false" ht="15" hidden="false" customHeight="false" outlineLevel="0" collapsed="false">
      <c r="A1477" s="9"/>
      <c r="B1477" s="10"/>
      <c r="C1477" s="9"/>
      <c r="D1477" s="9"/>
      <c r="E1477" s="9"/>
      <c r="F1477" s="9"/>
      <c r="G1477" s="9"/>
      <c r="H1477" s="11"/>
      <c r="I1477" s="8" t="str">
        <f aca="false">IF(AND(G1477&lt;&gt;"",H1477&lt;&gt;""),G1477*H1477,"")</f>
        <v/>
      </c>
    </row>
    <row r="1478" customFormat="false" ht="15" hidden="false" customHeight="false" outlineLevel="0" collapsed="false">
      <c r="A1478" s="9"/>
      <c r="B1478" s="10"/>
      <c r="C1478" s="9"/>
      <c r="D1478" s="9"/>
      <c r="E1478" s="9"/>
      <c r="F1478" s="9"/>
      <c r="G1478" s="9"/>
      <c r="H1478" s="11"/>
      <c r="I1478" s="8" t="str">
        <f aca="false">IF(AND(G1478&lt;&gt;"",H1478&lt;&gt;""),G1478*H1478,"")</f>
        <v/>
      </c>
    </row>
    <row r="1479" customFormat="false" ht="15" hidden="false" customHeight="false" outlineLevel="0" collapsed="false">
      <c r="A1479" s="9"/>
      <c r="B1479" s="10"/>
      <c r="C1479" s="9"/>
      <c r="D1479" s="9"/>
      <c r="E1479" s="9"/>
      <c r="F1479" s="9"/>
      <c r="G1479" s="9"/>
      <c r="H1479" s="11"/>
      <c r="I1479" s="8" t="str">
        <f aca="false">IF(AND(G1479&lt;&gt;"",H1479&lt;&gt;""),G1479*H1479,"")</f>
        <v/>
      </c>
    </row>
    <row r="1480" customFormat="false" ht="15" hidden="false" customHeight="false" outlineLevel="0" collapsed="false">
      <c r="A1480" s="9"/>
      <c r="B1480" s="10"/>
      <c r="C1480" s="9"/>
      <c r="D1480" s="9"/>
      <c r="E1480" s="9"/>
      <c r="F1480" s="9"/>
      <c r="G1480" s="9"/>
      <c r="H1480" s="11"/>
      <c r="I1480" s="8" t="str">
        <f aca="false">IF(AND(G1480&lt;&gt;"",H1480&lt;&gt;""),G1480*H1480,"")</f>
        <v/>
      </c>
    </row>
    <row r="1481" customFormat="false" ht="15" hidden="false" customHeight="false" outlineLevel="0" collapsed="false">
      <c r="A1481" s="9"/>
      <c r="B1481" s="10"/>
      <c r="C1481" s="9"/>
      <c r="D1481" s="9"/>
      <c r="E1481" s="9"/>
      <c r="F1481" s="9"/>
      <c r="G1481" s="9"/>
      <c r="H1481" s="11"/>
      <c r="I1481" s="8" t="str">
        <f aca="false">IF(AND(G1481&lt;&gt;"",H1481&lt;&gt;""),G1481*H1481,"")</f>
        <v/>
      </c>
    </row>
    <row r="1482" customFormat="false" ht="15" hidden="false" customHeight="false" outlineLevel="0" collapsed="false">
      <c r="A1482" s="9"/>
      <c r="B1482" s="10"/>
      <c r="C1482" s="9"/>
      <c r="D1482" s="9"/>
      <c r="E1482" s="9"/>
      <c r="F1482" s="9"/>
      <c r="G1482" s="9"/>
      <c r="H1482" s="11"/>
      <c r="I1482" s="8" t="str">
        <f aca="false">IF(AND(G1482&lt;&gt;"",H1482&lt;&gt;""),G1482*H1482,"")</f>
        <v/>
      </c>
    </row>
    <row r="1483" customFormat="false" ht="15" hidden="false" customHeight="false" outlineLevel="0" collapsed="false">
      <c r="A1483" s="9"/>
      <c r="B1483" s="10"/>
      <c r="C1483" s="9"/>
      <c r="D1483" s="9"/>
      <c r="E1483" s="9"/>
      <c r="F1483" s="9"/>
      <c r="G1483" s="9"/>
      <c r="H1483" s="11"/>
      <c r="I1483" s="8" t="str">
        <f aca="false">IF(AND(G1483&lt;&gt;"",H1483&lt;&gt;""),G1483*H1483,"")</f>
        <v/>
      </c>
    </row>
    <row r="1484" customFormat="false" ht="15" hidden="false" customHeight="false" outlineLevel="0" collapsed="false">
      <c r="A1484" s="9"/>
      <c r="B1484" s="10"/>
      <c r="C1484" s="9"/>
      <c r="D1484" s="9"/>
      <c r="E1484" s="9"/>
      <c r="F1484" s="9"/>
      <c r="G1484" s="9"/>
      <c r="H1484" s="11"/>
      <c r="I1484" s="8" t="str">
        <f aca="false">IF(AND(G1484&lt;&gt;"",H1484&lt;&gt;""),G1484*H1484,"")</f>
        <v/>
      </c>
    </row>
    <row r="1485" customFormat="false" ht="15" hidden="false" customHeight="false" outlineLevel="0" collapsed="false">
      <c r="A1485" s="9"/>
      <c r="B1485" s="10"/>
      <c r="C1485" s="9"/>
      <c r="D1485" s="9"/>
      <c r="E1485" s="9"/>
      <c r="F1485" s="9"/>
      <c r="G1485" s="9"/>
      <c r="H1485" s="11"/>
      <c r="I1485" s="8" t="str">
        <f aca="false">IF(AND(G1485&lt;&gt;"",H1485&lt;&gt;""),G1485*H1485,"")</f>
        <v/>
      </c>
    </row>
    <row r="1486" customFormat="false" ht="15" hidden="false" customHeight="false" outlineLevel="0" collapsed="false">
      <c r="A1486" s="9"/>
      <c r="B1486" s="10"/>
      <c r="C1486" s="9"/>
      <c r="D1486" s="9"/>
      <c r="E1486" s="9"/>
      <c r="F1486" s="9"/>
      <c r="G1486" s="9"/>
      <c r="H1486" s="11"/>
      <c r="I1486" s="8" t="str">
        <f aca="false">IF(AND(G1486&lt;&gt;"",H1486&lt;&gt;""),G1486*H1486,"")</f>
        <v/>
      </c>
    </row>
    <row r="1487" customFormat="false" ht="15" hidden="false" customHeight="false" outlineLevel="0" collapsed="false">
      <c r="A1487" s="9"/>
      <c r="B1487" s="10"/>
      <c r="C1487" s="9"/>
      <c r="D1487" s="9"/>
      <c r="E1487" s="9"/>
      <c r="F1487" s="9"/>
      <c r="G1487" s="9"/>
      <c r="H1487" s="11"/>
      <c r="I1487" s="8" t="str">
        <f aca="false">IF(AND(G1487&lt;&gt;"",H1487&lt;&gt;""),G1487*H1487,"")</f>
        <v/>
      </c>
    </row>
    <row r="1488" customFormat="false" ht="15" hidden="false" customHeight="false" outlineLevel="0" collapsed="false">
      <c r="A1488" s="9"/>
      <c r="B1488" s="10"/>
      <c r="C1488" s="9"/>
      <c r="D1488" s="9"/>
      <c r="E1488" s="9"/>
      <c r="F1488" s="9"/>
      <c r="G1488" s="9"/>
      <c r="H1488" s="11"/>
      <c r="I1488" s="8" t="str">
        <f aca="false">IF(AND(G1488&lt;&gt;"",H1488&lt;&gt;""),G1488*H1488,"")</f>
        <v/>
      </c>
    </row>
    <row r="1489" customFormat="false" ht="15" hidden="false" customHeight="false" outlineLevel="0" collapsed="false">
      <c r="A1489" s="9"/>
      <c r="B1489" s="10"/>
      <c r="C1489" s="9"/>
      <c r="D1489" s="9"/>
      <c r="E1489" s="9"/>
      <c r="F1489" s="9"/>
      <c r="G1489" s="9"/>
      <c r="H1489" s="11"/>
      <c r="I1489" s="8" t="str">
        <f aca="false">IF(AND(G1489&lt;&gt;"",H1489&lt;&gt;""),G1489*H1489,"")</f>
        <v/>
      </c>
    </row>
    <row r="1490" customFormat="false" ht="15" hidden="false" customHeight="false" outlineLevel="0" collapsed="false">
      <c r="A1490" s="9"/>
      <c r="B1490" s="10"/>
      <c r="C1490" s="9"/>
      <c r="D1490" s="9"/>
      <c r="E1490" s="9"/>
      <c r="F1490" s="9"/>
      <c r="G1490" s="9"/>
      <c r="H1490" s="11"/>
      <c r="I1490" s="8" t="str">
        <f aca="false">IF(AND(G1490&lt;&gt;"",H1490&lt;&gt;""),G1490*H1490,"")</f>
        <v/>
      </c>
    </row>
    <row r="1491" customFormat="false" ht="15" hidden="false" customHeight="false" outlineLevel="0" collapsed="false">
      <c r="A1491" s="9"/>
      <c r="B1491" s="10"/>
      <c r="C1491" s="9"/>
      <c r="D1491" s="9"/>
      <c r="E1491" s="9"/>
      <c r="F1491" s="9"/>
      <c r="G1491" s="9"/>
      <c r="H1491" s="11"/>
      <c r="I1491" s="8" t="str">
        <f aca="false">IF(AND(G1491&lt;&gt;"",H1491&lt;&gt;""),G1491*H1491,"")</f>
        <v/>
      </c>
    </row>
    <row r="1492" customFormat="false" ht="15" hidden="false" customHeight="false" outlineLevel="0" collapsed="false">
      <c r="A1492" s="9"/>
      <c r="B1492" s="10"/>
      <c r="C1492" s="9"/>
      <c r="D1492" s="9"/>
      <c r="E1492" s="9"/>
      <c r="F1492" s="9"/>
      <c r="G1492" s="9"/>
      <c r="H1492" s="11"/>
      <c r="I1492" s="8" t="str">
        <f aca="false">IF(AND(G1492&lt;&gt;"",H1492&lt;&gt;""),G1492*H1492,"")</f>
        <v/>
      </c>
    </row>
    <row r="1493" customFormat="false" ht="15" hidden="false" customHeight="false" outlineLevel="0" collapsed="false">
      <c r="A1493" s="9"/>
      <c r="B1493" s="10"/>
      <c r="C1493" s="9"/>
      <c r="D1493" s="9"/>
      <c r="E1493" s="9"/>
      <c r="F1493" s="9"/>
      <c r="G1493" s="9"/>
      <c r="H1493" s="11"/>
      <c r="I1493" s="8" t="str">
        <f aca="false">IF(AND(G1493&lt;&gt;"",H1493&lt;&gt;""),G1493*H1493,"")</f>
        <v/>
      </c>
    </row>
    <row r="1494" customFormat="false" ht="15" hidden="false" customHeight="false" outlineLevel="0" collapsed="false">
      <c r="A1494" s="9"/>
      <c r="B1494" s="10"/>
      <c r="C1494" s="9"/>
      <c r="D1494" s="9"/>
      <c r="E1494" s="9"/>
      <c r="F1494" s="9"/>
      <c r="G1494" s="9"/>
      <c r="H1494" s="11"/>
      <c r="I1494" s="8" t="str">
        <f aca="false">IF(AND(G1494&lt;&gt;"",H1494&lt;&gt;""),G1494*H1494,"")</f>
        <v/>
      </c>
    </row>
    <row r="1495" customFormat="false" ht="15" hidden="false" customHeight="false" outlineLevel="0" collapsed="false">
      <c r="A1495" s="9"/>
      <c r="B1495" s="10"/>
      <c r="C1495" s="9"/>
      <c r="D1495" s="9"/>
      <c r="E1495" s="9"/>
      <c r="F1495" s="9"/>
      <c r="G1495" s="9"/>
      <c r="H1495" s="11"/>
      <c r="I1495" s="8" t="str">
        <f aca="false">IF(AND(G1495&lt;&gt;"",H1495&lt;&gt;""),G1495*H1495,"")</f>
        <v/>
      </c>
    </row>
    <row r="1496" customFormat="false" ht="15" hidden="false" customHeight="false" outlineLevel="0" collapsed="false">
      <c r="A1496" s="9"/>
      <c r="B1496" s="10"/>
      <c r="C1496" s="9"/>
      <c r="D1496" s="9"/>
      <c r="E1496" s="9"/>
      <c r="F1496" s="9"/>
      <c r="G1496" s="9"/>
      <c r="H1496" s="11"/>
      <c r="I1496" s="8" t="str">
        <f aca="false">IF(AND(G1496&lt;&gt;"",H1496&lt;&gt;""),G1496*H1496,"")</f>
        <v/>
      </c>
    </row>
    <row r="1497" customFormat="false" ht="15" hidden="false" customHeight="false" outlineLevel="0" collapsed="false">
      <c r="A1497" s="9"/>
      <c r="B1497" s="10"/>
      <c r="C1497" s="9"/>
      <c r="D1497" s="9"/>
      <c r="E1497" s="9"/>
      <c r="F1497" s="9"/>
      <c r="G1497" s="9"/>
      <c r="H1497" s="11"/>
      <c r="I1497" s="8" t="str">
        <f aca="false">IF(AND(G1497&lt;&gt;"",H1497&lt;&gt;""),G1497*H1497,"")</f>
        <v/>
      </c>
    </row>
    <row r="1498" customFormat="false" ht="15" hidden="false" customHeight="false" outlineLevel="0" collapsed="false">
      <c r="A1498" s="9"/>
      <c r="B1498" s="10"/>
      <c r="C1498" s="9"/>
      <c r="D1498" s="9"/>
      <c r="E1498" s="9"/>
      <c r="F1498" s="9"/>
      <c r="G1498" s="9"/>
      <c r="H1498" s="11"/>
      <c r="I1498" s="8" t="str">
        <f aca="false">IF(AND(G1498&lt;&gt;"",H1498&lt;&gt;""),G1498*H1498,"")</f>
        <v/>
      </c>
    </row>
    <row r="1499" customFormat="false" ht="15" hidden="false" customHeight="false" outlineLevel="0" collapsed="false">
      <c r="A1499" s="9"/>
      <c r="B1499" s="10"/>
      <c r="C1499" s="9"/>
      <c r="D1499" s="9"/>
      <c r="E1499" s="9"/>
      <c r="F1499" s="9"/>
      <c r="G1499" s="9"/>
      <c r="H1499" s="11"/>
      <c r="I1499" s="8" t="str">
        <f aca="false">IF(AND(G1499&lt;&gt;"",H1499&lt;&gt;""),G1499*H1499,"")</f>
        <v/>
      </c>
    </row>
    <row r="1500" customFormat="false" ht="15" hidden="false" customHeight="false" outlineLevel="0" collapsed="false">
      <c r="A1500" s="9"/>
      <c r="B1500" s="10"/>
      <c r="C1500" s="9"/>
      <c r="D1500" s="9"/>
      <c r="E1500" s="9"/>
      <c r="F1500" s="9"/>
      <c r="G1500" s="9"/>
      <c r="H1500" s="11"/>
      <c r="I1500" s="8" t="str">
        <f aca="false">IF(AND(G1500&lt;&gt;"",H1500&lt;&gt;""),G1500*H1500,"")</f>
        <v/>
      </c>
    </row>
    <row r="1501" customFormat="false" ht="15" hidden="false" customHeight="false" outlineLevel="0" collapsed="false">
      <c r="A1501" s="9"/>
      <c r="B1501" s="10"/>
      <c r="C1501" s="9"/>
      <c r="D1501" s="9"/>
      <c r="E1501" s="9"/>
      <c r="F1501" s="9"/>
      <c r="G1501" s="9"/>
      <c r="H1501" s="11"/>
      <c r="I1501" s="8" t="str">
        <f aca="false">IF(AND(G1501&lt;&gt;"",H1501&lt;&gt;""),G1501*H1501,"")</f>
        <v/>
      </c>
    </row>
  </sheetData>
  <dataValidations count="5">
    <dataValidation allowBlank="true" error="Please choose Male or Female from the dropdown." errorStyle="stop" errorTitle="Invalid Gender" operator="between" showDropDown="false" showErrorMessage="true" showInputMessage="false" sqref="D2:D1501" type="list">
      <formula1>"Male,Female"</formula1>
      <formula2>0</formula2>
    </dataValidation>
    <dataValidation allowBlank="true" error="Please choose Beauty, Clothing, or Electronics from the dropdown." errorStyle="stop" errorTitle="Invalid Product Category" operator="between" showDropDown="false" showErrorMessage="true" showInputMessage="false" sqref="F2:F1501" type="list">
      <formula1>"Beauty,Clothing,Electronics"</formula1>
      <formula2>0</formula2>
    </dataValidation>
    <dataValidation allowBlank="true" error="Quantity must be a whole number greater than 0." errorStyle="stop" errorTitle="Invalid Quantity" operator="greaterThan" showDropDown="false" showErrorMessage="true" showInputMessage="false" sqref="G2:G1501" type="whole">
      <formula1>0</formula1>
      <formula2>0</formula2>
    </dataValidation>
    <dataValidation allowBlank="true" error="Price per Unit must be a number greater than 0." errorStyle="stop" errorTitle="Invalid Price" operator="greaterThan" showDropDown="false" showErrorMessage="true" showInputMessage="false" sqref="H2:H1501" type="decimal">
      <formula1>0</formula1>
      <formula2>0</formula2>
    </dataValidation>
    <dataValidation allowBlank="true" error="Age must be between 0 and 120." errorStyle="stop" errorTitle="Invalid Age" operator="between" showDropDown="false" showErrorMessage="true" showInputMessage="false" sqref="E2:E1501" type="whole">
      <formula1>0</formula1>
      <formula2>120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8"/>
    <col collapsed="false" customWidth="true" hidden="false" outlineLevel="0" max="5" min="5" style="0" width="16"/>
  </cols>
  <sheetData>
    <row r="1" customFormat="false" ht="17.35" hidden="false" customHeight="false" outlineLevel="0" collapsed="false">
      <c r="A1" s="1" t="s">
        <v>1048</v>
      </c>
    </row>
    <row r="2" customFormat="false" ht="15" hidden="false" customHeight="false" outlineLevel="0" collapsed="false">
      <c r="A2" s="12" t="s">
        <v>1049</v>
      </c>
    </row>
    <row r="4" customFormat="false" ht="21.75" hidden="false" customHeight="true" outlineLevel="0" collapsed="false">
      <c r="A4" s="5" t="s">
        <v>35</v>
      </c>
      <c r="B4" s="5" t="s">
        <v>1050</v>
      </c>
      <c r="C4" s="5" t="s">
        <v>1051</v>
      </c>
      <c r="D4" s="5" t="s">
        <v>1052</v>
      </c>
      <c r="E4" s="5" t="s">
        <v>1053</v>
      </c>
    </row>
    <row r="5" customFormat="false" ht="15" hidden="false" customHeight="false" outlineLevel="0" collapsed="false">
      <c r="A5" s="7" t="n">
        <v>44927</v>
      </c>
      <c r="B5" s="8" t="n">
        <f aca="false">SUMIFS('Raw Entries'!$I$2:$I$1501,'Raw Entries'!$B$2:$B$1501,A5)</f>
        <v>3600</v>
      </c>
      <c r="C5" s="6" t="n">
        <f aca="false">COUNTIFS('Raw Entries'!$B$2:$B$1501,A5)</f>
        <v>3</v>
      </c>
      <c r="D5" s="6" t="n">
        <f aca="false">SUMIFS('Raw Entries'!$G$2:$G$1501,'Raw Entries'!$B$2:$B$1501,A5)</f>
        <v>10</v>
      </c>
      <c r="E5" s="8" t="n">
        <f aca="false">IFERROR(B5/C5,0)</f>
        <v>1200</v>
      </c>
    </row>
    <row r="6" customFormat="false" ht="15" hidden="false" customHeight="false" outlineLevel="0" collapsed="false">
      <c r="A6" s="7" t="n">
        <v>44928</v>
      </c>
      <c r="B6" s="8" t="n">
        <f aca="false">SUMIFS('Raw Entries'!$I$2:$I$1501,'Raw Entries'!$B$2:$B$1501,A6)</f>
        <v>1765</v>
      </c>
      <c r="C6" s="6" t="n">
        <f aca="false">COUNTIFS('Raw Entries'!$B$2:$B$1501,A6)</f>
        <v>4</v>
      </c>
      <c r="D6" s="6" t="n">
        <f aca="false">SUMIFS('Raw Entries'!$G$2:$G$1501,'Raw Entries'!$B$2:$B$1501,A6)</f>
        <v>10</v>
      </c>
      <c r="E6" s="8" t="n">
        <f aca="false">IFERROR(B6/C6,0)</f>
        <v>441.25</v>
      </c>
    </row>
    <row r="7" customFormat="false" ht="15" hidden="false" customHeight="false" outlineLevel="0" collapsed="false">
      <c r="A7" s="7" t="n">
        <v>44929</v>
      </c>
      <c r="B7" s="8" t="n">
        <f aca="false">SUMIFS('Raw Entries'!$I$2:$I$1501,'Raw Entries'!$B$2:$B$1501,A7)</f>
        <v>600</v>
      </c>
      <c r="C7" s="6" t="n">
        <f aca="false">COUNTIFS('Raw Entries'!$B$2:$B$1501,A7)</f>
        <v>1</v>
      </c>
      <c r="D7" s="6" t="n">
        <f aca="false">SUMIFS('Raw Entries'!$G$2:$G$1501,'Raw Entries'!$B$2:$B$1501,A7)</f>
        <v>2</v>
      </c>
      <c r="E7" s="8" t="n">
        <f aca="false">IFERROR(B7/C7,0)</f>
        <v>600</v>
      </c>
    </row>
    <row r="8" customFormat="false" ht="15" hidden="false" customHeight="false" outlineLevel="0" collapsed="false">
      <c r="A8" s="7" t="n">
        <v>44930</v>
      </c>
      <c r="B8" s="8" t="n">
        <f aca="false">SUMIFS('Raw Entries'!$I$2:$I$1501,'Raw Entries'!$B$2:$B$1501,A8)</f>
        <v>1240</v>
      </c>
      <c r="C8" s="6" t="n">
        <f aca="false">COUNTIFS('Raw Entries'!$B$2:$B$1501,A8)</f>
        <v>3</v>
      </c>
      <c r="D8" s="6" t="n">
        <f aca="false">SUMIFS('Raw Entries'!$G$2:$G$1501,'Raw Entries'!$B$2:$B$1501,A8)</f>
        <v>8</v>
      </c>
      <c r="E8" s="8" t="n">
        <f aca="false">IFERROR(B8/C8,0)</f>
        <v>413.333333333333</v>
      </c>
    </row>
    <row r="9" customFormat="false" ht="15" hidden="false" customHeight="false" outlineLevel="0" collapsed="false">
      <c r="A9" s="7" t="n">
        <v>44931</v>
      </c>
      <c r="B9" s="8" t="n">
        <f aca="false">SUMIFS('Raw Entries'!$I$2:$I$1501,'Raw Entries'!$B$2:$B$1501,A9)</f>
        <v>1100</v>
      </c>
      <c r="C9" s="6" t="n">
        <f aca="false">COUNTIFS('Raw Entries'!$B$2:$B$1501,A9)</f>
        <v>3</v>
      </c>
      <c r="D9" s="6" t="n">
        <f aca="false">SUMIFS('Raw Entries'!$G$2:$G$1501,'Raw Entries'!$B$2:$B$1501,A9)</f>
        <v>5</v>
      </c>
      <c r="E9" s="8" t="n">
        <f aca="false">IFERROR(B9/C9,0)</f>
        <v>366.666666666667</v>
      </c>
    </row>
    <row r="10" customFormat="false" ht="15" hidden="false" customHeight="false" outlineLevel="0" collapsed="false">
      <c r="A10" s="7" t="n">
        <v>44932</v>
      </c>
      <c r="B10" s="8" t="n">
        <f aca="false">SUMIFS('Raw Entries'!$I$2:$I$1501,'Raw Entries'!$B$2:$B$1501,A10)</f>
        <v>620</v>
      </c>
      <c r="C10" s="6" t="n">
        <f aca="false">COUNTIFS('Raw Entries'!$B$2:$B$1501,A10)</f>
        <v>2</v>
      </c>
      <c r="D10" s="6" t="n">
        <f aca="false">SUMIFS('Raw Entries'!$G$2:$G$1501,'Raw Entries'!$B$2:$B$1501,A10)</f>
        <v>5</v>
      </c>
      <c r="E10" s="8" t="n">
        <f aca="false">IFERROR(B10/C10,0)</f>
        <v>310</v>
      </c>
    </row>
    <row r="11" customFormat="false" ht="15" hidden="false" customHeight="false" outlineLevel="0" collapsed="false">
      <c r="A11" s="7" t="n">
        <v>44933</v>
      </c>
      <c r="B11" s="8" t="n">
        <f aca="false">SUMIFS('Raw Entries'!$I$2:$I$1501,'Raw Entries'!$B$2:$B$1501,A11)</f>
        <v>150</v>
      </c>
      <c r="C11" s="6" t="n">
        <f aca="false">COUNTIFS('Raw Entries'!$B$2:$B$1501,A11)</f>
        <v>2</v>
      </c>
      <c r="D11" s="6" t="n">
        <f aca="false">SUMIFS('Raw Entries'!$G$2:$G$1501,'Raw Entries'!$B$2:$B$1501,A11)</f>
        <v>6</v>
      </c>
      <c r="E11" s="8" t="n">
        <f aca="false">IFERROR(B11/C11,0)</f>
        <v>75</v>
      </c>
    </row>
    <row r="12" customFormat="false" ht="15" hidden="false" customHeight="false" outlineLevel="0" collapsed="false">
      <c r="A12" s="7" t="n">
        <v>44934</v>
      </c>
      <c r="B12" s="8" t="n">
        <f aca="false">SUMIFS('Raw Entries'!$I$2:$I$1501,'Raw Entries'!$B$2:$B$1501,A12)</f>
        <v>625</v>
      </c>
      <c r="C12" s="6" t="n">
        <f aca="false">COUNTIFS('Raw Entries'!$B$2:$B$1501,A12)</f>
        <v>2</v>
      </c>
      <c r="D12" s="6" t="n">
        <f aca="false">SUMIFS('Raw Entries'!$G$2:$G$1501,'Raw Entries'!$B$2:$B$1501,A12)</f>
        <v>3</v>
      </c>
      <c r="E12" s="8" t="n">
        <f aca="false">IFERROR(B12/C12,0)</f>
        <v>312.5</v>
      </c>
    </row>
    <row r="13" customFormat="false" ht="15" hidden="false" customHeight="false" outlineLevel="0" collapsed="false">
      <c r="A13" s="7" t="n">
        <v>44935</v>
      </c>
      <c r="B13" s="8" t="n">
        <f aca="false">SUMIFS('Raw Entries'!$I$2:$I$1501,'Raw Entries'!$B$2:$B$1501,A13)</f>
        <v>200</v>
      </c>
      <c r="C13" s="6" t="n">
        <f aca="false">COUNTIFS('Raw Entries'!$B$2:$B$1501,A13)</f>
        <v>1</v>
      </c>
      <c r="D13" s="6" t="n">
        <f aca="false">SUMIFS('Raw Entries'!$G$2:$G$1501,'Raw Entries'!$B$2:$B$1501,A13)</f>
        <v>4</v>
      </c>
      <c r="E13" s="8" t="n">
        <f aca="false">IFERROR(B13/C13,0)</f>
        <v>200</v>
      </c>
    </row>
    <row r="14" customFormat="false" ht="15" hidden="false" customHeight="false" outlineLevel="0" collapsed="false">
      <c r="A14" s="7" t="n">
        <v>44936</v>
      </c>
      <c r="B14" s="8" t="n">
        <f aca="false">SUMIFS('Raw Entries'!$I$2:$I$1501,'Raw Entries'!$B$2:$B$1501,A14)</f>
        <v>230</v>
      </c>
      <c r="C14" s="6" t="n">
        <f aca="false">COUNTIFS('Raw Entries'!$B$2:$B$1501,A14)</f>
        <v>2</v>
      </c>
      <c r="D14" s="6" t="n">
        <f aca="false">SUMIFS('Raw Entries'!$G$2:$G$1501,'Raw Entries'!$B$2:$B$1501,A14)</f>
        <v>5</v>
      </c>
      <c r="E14" s="8" t="n">
        <f aca="false">IFERROR(B14/C14,0)</f>
        <v>115</v>
      </c>
    </row>
    <row r="15" customFormat="false" ht="15" hidden="false" customHeight="false" outlineLevel="0" collapsed="false">
      <c r="A15" s="7" t="n">
        <v>44937</v>
      </c>
      <c r="B15" s="8" t="n">
        <f aca="false">SUMIFS('Raw Entries'!$I$2:$I$1501,'Raw Entries'!$B$2:$B$1501,A15)</f>
        <v>280</v>
      </c>
      <c r="C15" s="6" t="n">
        <f aca="false">COUNTIFS('Raw Entries'!$B$2:$B$1501,A15)</f>
        <v>3</v>
      </c>
      <c r="D15" s="6" t="n">
        <f aca="false">SUMIFS('Raw Entries'!$G$2:$G$1501,'Raw Entries'!$B$2:$B$1501,A15)</f>
        <v>10</v>
      </c>
      <c r="E15" s="8" t="n">
        <f aca="false">IFERROR(B15/C15,0)</f>
        <v>93.3333333333333</v>
      </c>
    </row>
    <row r="16" customFormat="false" ht="15" hidden="false" customHeight="false" outlineLevel="0" collapsed="false">
      <c r="A16" s="7" t="n">
        <v>44939</v>
      </c>
      <c r="B16" s="8" t="n">
        <f aca="false">SUMIFS('Raw Entries'!$I$2:$I$1501,'Raw Entries'!$B$2:$B$1501,A16)</f>
        <v>1930</v>
      </c>
      <c r="C16" s="6" t="n">
        <f aca="false">COUNTIFS('Raw Entries'!$B$2:$B$1501,A16)</f>
        <v>4</v>
      </c>
      <c r="D16" s="6" t="n">
        <f aca="false">SUMIFS('Raw Entries'!$G$2:$G$1501,'Raw Entries'!$B$2:$B$1501,A16)</f>
        <v>11</v>
      </c>
      <c r="E16" s="8" t="n">
        <f aca="false">IFERROR(B16/C16,0)</f>
        <v>482.5</v>
      </c>
    </row>
    <row r="17" customFormat="false" ht="15" hidden="false" customHeight="false" outlineLevel="0" collapsed="false">
      <c r="A17" s="7" t="n">
        <v>44940</v>
      </c>
      <c r="B17" s="8" t="n">
        <f aca="false">SUMIFS('Raw Entries'!$I$2:$I$1501,'Raw Entries'!$B$2:$B$1501,A17)</f>
        <v>1550</v>
      </c>
      <c r="C17" s="6" t="n">
        <f aca="false">COUNTIFS('Raw Entries'!$B$2:$B$1501,A17)</f>
        <v>4</v>
      </c>
      <c r="D17" s="6" t="n">
        <f aca="false">SUMIFS('Raw Entries'!$G$2:$G$1501,'Raw Entries'!$B$2:$B$1501,A17)</f>
        <v>10</v>
      </c>
      <c r="E17" s="8" t="n">
        <f aca="false">IFERROR(B17/C17,0)</f>
        <v>387.5</v>
      </c>
    </row>
    <row r="18" customFormat="false" ht="15" hidden="false" customHeight="false" outlineLevel="0" collapsed="false">
      <c r="A18" s="7" t="n">
        <v>44941</v>
      </c>
      <c r="B18" s="8" t="n">
        <f aca="false">SUMIFS('Raw Entries'!$I$2:$I$1501,'Raw Entries'!$B$2:$B$1501,A18)</f>
        <v>660</v>
      </c>
      <c r="C18" s="6" t="n">
        <f aca="false">COUNTIFS('Raw Entries'!$B$2:$B$1501,A18)</f>
        <v>3</v>
      </c>
      <c r="D18" s="6" t="n">
        <f aca="false">SUMIFS('Raw Entries'!$G$2:$G$1501,'Raw Entries'!$B$2:$B$1501,A18)</f>
        <v>7</v>
      </c>
      <c r="E18" s="8" t="n">
        <f aca="false">IFERROR(B18/C18,0)</f>
        <v>220</v>
      </c>
    </row>
    <row r="19" customFormat="false" ht="15" hidden="false" customHeight="false" outlineLevel="0" collapsed="false">
      <c r="A19" s="7" t="n">
        <v>44942</v>
      </c>
      <c r="B19" s="8" t="n">
        <f aca="false">SUMIFS('Raw Entries'!$I$2:$I$1501,'Raw Entries'!$B$2:$B$1501,A19)</f>
        <v>4000</v>
      </c>
      <c r="C19" s="6" t="n">
        <f aca="false">COUNTIFS('Raw Entries'!$B$2:$B$1501,A19)</f>
        <v>2</v>
      </c>
      <c r="D19" s="6" t="n">
        <f aca="false">SUMIFS('Raw Entries'!$G$2:$G$1501,'Raw Entries'!$B$2:$B$1501,A19)</f>
        <v>8</v>
      </c>
      <c r="E19" s="8" t="n">
        <f aca="false">IFERROR(B19/C19,0)</f>
        <v>2000</v>
      </c>
    </row>
    <row r="20" customFormat="false" ht="15" hidden="false" customHeight="false" outlineLevel="0" collapsed="false">
      <c r="A20" s="7" t="n">
        <v>44943</v>
      </c>
      <c r="B20" s="8" t="n">
        <f aca="false">SUMIFS('Raw Entries'!$I$2:$I$1501,'Raw Entries'!$B$2:$B$1501,A20)</f>
        <v>1645</v>
      </c>
      <c r="C20" s="6" t="n">
        <f aca="false">COUNTIFS('Raw Entries'!$B$2:$B$1501,A20)</f>
        <v>4</v>
      </c>
      <c r="D20" s="6" t="n">
        <f aca="false">SUMIFS('Raw Entries'!$G$2:$G$1501,'Raw Entries'!$B$2:$B$1501,A20)</f>
        <v>8</v>
      </c>
      <c r="E20" s="8" t="n">
        <f aca="false">IFERROR(B20/C20,0)</f>
        <v>411.25</v>
      </c>
    </row>
    <row r="21" customFormat="false" ht="15" hidden="false" customHeight="false" outlineLevel="0" collapsed="false">
      <c r="A21" s="7" t="n">
        <v>44945</v>
      </c>
      <c r="B21" s="8" t="n">
        <f aca="false">SUMIFS('Raw Entries'!$I$2:$I$1501,'Raw Entries'!$B$2:$B$1501,A21)</f>
        <v>30</v>
      </c>
      <c r="C21" s="6" t="n">
        <f aca="false">COUNTIFS('Raw Entries'!$B$2:$B$1501,A21)</f>
        <v>1</v>
      </c>
      <c r="D21" s="6" t="n">
        <f aca="false">SUMIFS('Raw Entries'!$G$2:$G$1501,'Raw Entries'!$B$2:$B$1501,A21)</f>
        <v>1</v>
      </c>
      <c r="E21" s="8" t="n">
        <f aca="false">IFERROR(B21/C21,0)</f>
        <v>30</v>
      </c>
    </row>
    <row r="22" customFormat="false" ht="15" hidden="false" customHeight="false" outlineLevel="0" collapsed="false">
      <c r="A22" s="7" t="n">
        <v>44946</v>
      </c>
      <c r="B22" s="8" t="n">
        <f aca="false">SUMIFS('Raw Entries'!$I$2:$I$1501,'Raw Entries'!$B$2:$B$1501,A22)</f>
        <v>125</v>
      </c>
      <c r="C22" s="6" t="n">
        <f aca="false">COUNTIFS('Raw Entries'!$B$2:$B$1501,A22)</f>
        <v>2</v>
      </c>
      <c r="D22" s="6" t="n">
        <f aca="false">SUMIFS('Raw Entries'!$G$2:$G$1501,'Raw Entries'!$B$2:$B$1501,A22)</f>
        <v>4</v>
      </c>
      <c r="E22" s="8" t="n">
        <f aca="false">IFERROR(B22/C22,0)</f>
        <v>62.5</v>
      </c>
    </row>
    <row r="23" customFormat="false" ht="15" hidden="false" customHeight="false" outlineLevel="0" collapsed="false">
      <c r="A23" s="7" t="n">
        <v>44947</v>
      </c>
      <c r="B23" s="8" t="n">
        <f aca="false">SUMIFS('Raw Entries'!$I$2:$I$1501,'Raw Entries'!$B$2:$B$1501,A23)</f>
        <v>2090</v>
      </c>
      <c r="C23" s="6" t="n">
        <f aca="false">COUNTIFS('Raw Entries'!$B$2:$B$1501,A23)</f>
        <v>3</v>
      </c>
      <c r="D23" s="6" t="n">
        <f aca="false">SUMIFS('Raw Entries'!$G$2:$G$1501,'Raw Entries'!$B$2:$B$1501,A23)</f>
        <v>7</v>
      </c>
      <c r="E23" s="8" t="n">
        <f aca="false">IFERROR(B23/C23,0)</f>
        <v>696.666666666667</v>
      </c>
    </row>
    <row r="24" customFormat="false" ht="15" hidden="false" customHeight="false" outlineLevel="0" collapsed="false">
      <c r="A24" s="7" t="n">
        <v>44948</v>
      </c>
      <c r="B24" s="8" t="n">
        <f aca="false">SUMIFS('Raw Entries'!$I$2:$I$1501,'Raw Entries'!$B$2:$B$1501,A24)</f>
        <v>325</v>
      </c>
      <c r="C24" s="6" t="n">
        <f aca="false">COUNTIFS('Raw Entries'!$B$2:$B$1501,A24)</f>
        <v>2</v>
      </c>
      <c r="D24" s="6" t="n">
        <f aca="false">SUMIFS('Raw Entries'!$G$2:$G$1501,'Raw Entries'!$B$2:$B$1501,A24)</f>
        <v>2</v>
      </c>
      <c r="E24" s="8" t="n">
        <f aca="false">IFERROR(B24/C24,0)</f>
        <v>162.5</v>
      </c>
    </row>
    <row r="25" customFormat="false" ht="15" hidden="false" customHeight="false" outlineLevel="0" collapsed="false">
      <c r="A25" s="7" t="n">
        <v>44949</v>
      </c>
      <c r="B25" s="8" t="n">
        <f aca="false">SUMIFS('Raw Entries'!$I$2:$I$1501,'Raw Entries'!$B$2:$B$1501,A25)</f>
        <v>3120</v>
      </c>
      <c r="C25" s="6" t="n">
        <f aca="false">COUNTIFS('Raw Entries'!$B$2:$B$1501,A25)</f>
        <v>3</v>
      </c>
      <c r="D25" s="6" t="n">
        <f aca="false">SUMIFS('Raw Entries'!$G$2:$G$1501,'Raw Entries'!$B$2:$B$1501,A25)</f>
        <v>10</v>
      </c>
      <c r="E25" s="8" t="n">
        <f aca="false">IFERROR(B25/C25,0)</f>
        <v>1040</v>
      </c>
    </row>
    <row r="26" customFormat="false" ht="15" hidden="false" customHeight="false" outlineLevel="0" collapsed="false">
      <c r="A26" s="7" t="n">
        <v>44950</v>
      </c>
      <c r="B26" s="8" t="n">
        <f aca="false">SUMIFS('Raw Entries'!$I$2:$I$1501,'Raw Entries'!$B$2:$B$1501,A26)</f>
        <v>2250</v>
      </c>
      <c r="C26" s="6" t="n">
        <f aca="false">COUNTIFS('Raw Entries'!$B$2:$B$1501,A26)</f>
        <v>3</v>
      </c>
      <c r="D26" s="6" t="n">
        <f aca="false">SUMIFS('Raw Entries'!$G$2:$G$1501,'Raw Entries'!$B$2:$B$1501,A26)</f>
        <v>11</v>
      </c>
      <c r="E26" s="8" t="n">
        <f aca="false">IFERROR(B26/C26,0)</f>
        <v>750</v>
      </c>
    </row>
    <row r="27" customFormat="false" ht="15" hidden="false" customHeight="false" outlineLevel="0" collapsed="false">
      <c r="A27" s="7" t="n">
        <v>44951</v>
      </c>
      <c r="B27" s="8" t="n">
        <f aca="false">SUMIFS('Raw Entries'!$I$2:$I$1501,'Raw Entries'!$B$2:$B$1501,A27)</f>
        <v>50</v>
      </c>
      <c r="C27" s="6" t="n">
        <f aca="false">COUNTIFS('Raw Entries'!$B$2:$B$1501,A27)</f>
        <v>1</v>
      </c>
      <c r="D27" s="6" t="n">
        <f aca="false">SUMIFS('Raw Entries'!$G$2:$G$1501,'Raw Entries'!$B$2:$B$1501,A27)</f>
        <v>1</v>
      </c>
      <c r="E27" s="8" t="n">
        <f aca="false">IFERROR(B27/C27,0)</f>
        <v>50</v>
      </c>
    </row>
    <row r="28" customFormat="false" ht="15" hidden="false" customHeight="false" outlineLevel="0" collapsed="false">
      <c r="A28" s="7" t="n">
        <v>44952</v>
      </c>
      <c r="B28" s="8" t="n">
        <f aca="false">SUMIFS('Raw Entries'!$I$2:$I$1501,'Raw Entries'!$B$2:$B$1501,A28)</f>
        <v>2570</v>
      </c>
      <c r="C28" s="6" t="n">
        <f aca="false">COUNTIFS('Raw Entries'!$B$2:$B$1501,A28)</f>
        <v>4</v>
      </c>
      <c r="D28" s="6" t="n">
        <f aca="false">SUMIFS('Raw Entries'!$G$2:$G$1501,'Raw Entries'!$B$2:$B$1501,A28)</f>
        <v>11</v>
      </c>
      <c r="E28" s="8" t="n">
        <f aca="false">IFERROR(B28/C28,0)</f>
        <v>642.5</v>
      </c>
    </row>
    <row r="29" customFormat="false" ht="15" hidden="false" customHeight="false" outlineLevel="0" collapsed="false">
      <c r="A29" s="7" t="n">
        <v>44953</v>
      </c>
      <c r="B29" s="8" t="n">
        <f aca="false">SUMIFS('Raw Entries'!$I$2:$I$1501,'Raw Entries'!$B$2:$B$1501,A29)</f>
        <v>235</v>
      </c>
      <c r="C29" s="6" t="n">
        <f aca="false">COUNTIFS('Raw Entries'!$B$2:$B$1501,A29)</f>
        <v>3</v>
      </c>
      <c r="D29" s="6" t="n">
        <f aca="false">SUMIFS('Raw Entries'!$G$2:$G$1501,'Raw Entries'!$B$2:$B$1501,A29)</f>
        <v>9</v>
      </c>
      <c r="E29" s="8" t="n">
        <f aca="false">IFERROR(B29/C29,0)</f>
        <v>78.3333333333333</v>
      </c>
    </row>
    <row r="30" customFormat="false" ht="15" hidden="false" customHeight="false" outlineLevel="0" collapsed="false">
      <c r="A30" s="7" t="n">
        <v>44954</v>
      </c>
      <c r="B30" s="8" t="n">
        <f aca="false">SUMIFS('Raw Entries'!$I$2:$I$1501,'Raw Entries'!$B$2:$B$1501,A30)</f>
        <v>1020</v>
      </c>
      <c r="C30" s="6" t="n">
        <f aca="false">COUNTIFS('Raw Entries'!$B$2:$B$1501,A30)</f>
        <v>3</v>
      </c>
      <c r="D30" s="6" t="n">
        <f aca="false">SUMIFS('Raw Entries'!$G$2:$G$1501,'Raw Entries'!$B$2:$B$1501,A30)</f>
        <v>7</v>
      </c>
      <c r="E30" s="8" t="n">
        <f aca="false">IFERROR(B30/C30,0)</f>
        <v>340</v>
      </c>
    </row>
    <row r="31" customFormat="false" ht="15" hidden="false" customHeight="false" outlineLevel="0" collapsed="false">
      <c r="A31" s="7" t="n">
        <v>44955</v>
      </c>
      <c r="B31" s="8" t="n">
        <f aca="false">SUMIFS('Raw Entries'!$I$2:$I$1501,'Raw Entries'!$B$2:$B$1501,A31)</f>
        <v>600</v>
      </c>
      <c r="C31" s="6" t="n">
        <f aca="false">COUNTIFS('Raw Entries'!$B$2:$B$1501,A31)</f>
        <v>1</v>
      </c>
      <c r="D31" s="6" t="n">
        <f aca="false">SUMIFS('Raw Entries'!$G$2:$G$1501,'Raw Entries'!$B$2:$B$1501,A31)</f>
        <v>2</v>
      </c>
      <c r="E31" s="8" t="n">
        <f aca="false">IFERROR(B31/C31,0)</f>
        <v>600</v>
      </c>
    </row>
    <row r="32" customFormat="false" ht="15" hidden="false" customHeight="false" outlineLevel="0" collapsed="false">
      <c r="A32" s="7" t="n">
        <v>44956</v>
      </c>
      <c r="B32" s="8" t="n">
        <f aca="false">SUMIFS('Raw Entries'!$I$2:$I$1501,'Raw Entries'!$B$2:$B$1501,A32)</f>
        <v>740</v>
      </c>
      <c r="C32" s="6" t="n">
        <f aca="false">COUNTIFS('Raw Entries'!$B$2:$B$1501,A32)</f>
        <v>4</v>
      </c>
      <c r="D32" s="6" t="n">
        <f aca="false">SUMIFS('Raw Entries'!$G$2:$G$1501,'Raw Entries'!$B$2:$B$1501,A32)</f>
        <v>9</v>
      </c>
      <c r="E32" s="8" t="n">
        <f aca="false">IFERROR(B32/C32,0)</f>
        <v>185</v>
      </c>
    </row>
    <row r="33" customFormat="false" ht="15" hidden="false" customHeight="false" outlineLevel="0" collapsed="false">
      <c r="A33" s="7" t="n">
        <v>44957</v>
      </c>
      <c r="B33" s="8" t="n">
        <f aca="false">SUMIFS('Raw Entries'!$I$2:$I$1501,'Raw Entries'!$B$2:$B$1501,A33)</f>
        <v>2100</v>
      </c>
      <c r="C33" s="6" t="n">
        <f aca="false">COUNTIFS('Raw Entries'!$B$2:$B$1501,A33)</f>
        <v>3</v>
      </c>
      <c r="D33" s="6" t="n">
        <f aca="false">SUMIFS('Raw Entries'!$G$2:$G$1501,'Raw Entries'!$B$2:$B$1501,A33)</f>
        <v>9</v>
      </c>
      <c r="E33" s="8" t="n">
        <f aca="false">IFERROR(B33/C33,0)</f>
        <v>700</v>
      </c>
    </row>
    <row r="34" customFormat="false" ht="15" hidden="false" customHeight="false" outlineLevel="0" collapsed="false">
      <c r="A34" s="7" t="n">
        <v>44958</v>
      </c>
      <c r="B34" s="8" t="n">
        <f aca="false">SUMIFS('Raw Entries'!$I$2:$I$1501,'Raw Entries'!$B$2:$B$1501,A34)</f>
        <v>4700</v>
      </c>
      <c r="C34" s="6" t="n">
        <f aca="false">COUNTIFS('Raw Entries'!$B$2:$B$1501,A34)</f>
        <v>3</v>
      </c>
      <c r="D34" s="6" t="n">
        <f aca="false">SUMIFS('Raw Entries'!$G$2:$G$1501,'Raw Entries'!$B$2:$B$1501,A34)</f>
        <v>11</v>
      </c>
      <c r="E34" s="8" t="n">
        <f aca="false">IFERROR(B34/C34,0)</f>
        <v>1566.66666666667</v>
      </c>
    </row>
    <row r="35" customFormat="false" ht="15" hidden="false" customHeight="false" outlineLevel="0" collapsed="false">
      <c r="A35" s="7" t="n">
        <v>44959</v>
      </c>
      <c r="B35" s="8" t="n">
        <f aca="false">SUMIFS('Raw Entries'!$I$2:$I$1501,'Raw Entries'!$B$2:$B$1501,A35)</f>
        <v>1375</v>
      </c>
      <c r="C35" s="6" t="n">
        <f aca="false">COUNTIFS('Raw Entries'!$B$2:$B$1501,A35)</f>
        <v>3</v>
      </c>
      <c r="D35" s="6" t="n">
        <f aca="false">SUMIFS('Raw Entries'!$G$2:$G$1501,'Raw Entries'!$B$2:$B$1501,A35)</f>
        <v>8</v>
      </c>
      <c r="E35" s="8" t="n">
        <f aca="false">IFERROR(B35/C35,0)</f>
        <v>458.333333333333</v>
      </c>
    </row>
    <row r="36" customFormat="false" ht="15" hidden="false" customHeight="false" outlineLevel="0" collapsed="false">
      <c r="A36" s="7" t="n">
        <v>44960</v>
      </c>
      <c r="B36" s="8" t="n">
        <f aca="false">SUMIFS('Raw Entries'!$I$2:$I$1501,'Raw Entries'!$B$2:$B$1501,A36)</f>
        <v>1230</v>
      </c>
      <c r="C36" s="6" t="n">
        <f aca="false">COUNTIFS('Raw Entries'!$B$2:$B$1501,A36)</f>
        <v>2</v>
      </c>
      <c r="D36" s="6" t="n">
        <f aca="false">SUMIFS('Raw Entries'!$G$2:$G$1501,'Raw Entries'!$B$2:$B$1501,A36)</f>
        <v>5</v>
      </c>
      <c r="E36" s="8" t="n">
        <f aca="false">IFERROR(B36/C36,0)</f>
        <v>615</v>
      </c>
    </row>
    <row r="37" customFormat="false" ht="15" hidden="false" customHeight="false" outlineLevel="0" collapsed="false">
      <c r="A37" s="7" t="n">
        <v>44961</v>
      </c>
      <c r="B37" s="8" t="n">
        <f aca="false">SUMIFS('Raw Entries'!$I$2:$I$1501,'Raw Entries'!$B$2:$B$1501,A37)</f>
        <v>1120</v>
      </c>
      <c r="C37" s="6" t="n">
        <f aca="false">COUNTIFS('Raw Entries'!$B$2:$B$1501,A37)</f>
        <v>2</v>
      </c>
      <c r="D37" s="6" t="n">
        <f aca="false">SUMIFS('Raw Entries'!$G$2:$G$1501,'Raw Entries'!$B$2:$B$1501,A37)</f>
        <v>6</v>
      </c>
      <c r="E37" s="8" t="n">
        <f aca="false">IFERROR(B37/C37,0)</f>
        <v>560</v>
      </c>
    </row>
    <row r="38" customFormat="false" ht="15" hidden="false" customHeight="false" outlineLevel="0" collapsed="false">
      <c r="A38" s="7" t="n">
        <v>44962</v>
      </c>
      <c r="B38" s="8" t="n">
        <f aca="false">SUMIFS('Raw Entries'!$I$2:$I$1501,'Raw Entries'!$B$2:$B$1501,A38)</f>
        <v>1805</v>
      </c>
      <c r="C38" s="6" t="n">
        <f aca="false">COUNTIFS('Raw Entries'!$B$2:$B$1501,A38)</f>
        <v>8</v>
      </c>
      <c r="D38" s="6" t="n">
        <f aca="false">SUMIFS('Raw Entries'!$G$2:$G$1501,'Raw Entries'!$B$2:$B$1501,A38)</f>
        <v>20</v>
      </c>
      <c r="E38" s="8" t="n">
        <f aca="false">IFERROR(B38/C38,0)</f>
        <v>225.625</v>
      </c>
    </row>
    <row r="39" customFormat="false" ht="15" hidden="false" customHeight="false" outlineLevel="0" collapsed="false">
      <c r="A39" s="7" t="n">
        <v>44963</v>
      </c>
      <c r="B39" s="8" t="n">
        <f aca="false">SUMIFS('Raw Entries'!$I$2:$I$1501,'Raw Entries'!$B$2:$B$1501,A39)</f>
        <v>625</v>
      </c>
      <c r="C39" s="6" t="n">
        <f aca="false">COUNTIFS('Raw Entries'!$B$2:$B$1501,A39)</f>
        <v>4</v>
      </c>
      <c r="D39" s="6" t="n">
        <f aca="false">SUMIFS('Raw Entries'!$G$2:$G$1501,'Raw Entries'!$B$2:$B$1501,A39)</f>
        <v>8</v>
      </c>
      <c r="E39" s="8" t="n">
        <f aca="false">IFERROR(B39/C39,0)</f>
        <v>156.25</v>
      </c>
    </row>
    <row r="40" customFormat="false" ht="15" hidden="false" customHeight="false" outlineLevel="0" collapsed="false">
      <c r="A40" s="7" t="n">
        <v>44964</v>
      </c>
      <c r="B40" s="8" t="n">
        <f aca="false">SUMIFS('Raw Entries'!$I$2:$I$1501,'Raw Entries'!$B$2:$B$1501,A40)</f>
        <v>2100</v>
      </c>
      <c r="C40" s="6" t="n">
        <f aca="false">COUNTIFS('Raw Entries'!$B$2:$B$1501,A40)</f>
        <v>4</v>
      </c>
      <c r="D40" s="6" t="n">
        <f aca="false">SUMIFS('Raw Entries'!$G$2:$G$1501,'Raw Entries'!$B$2:$B$1501,A40)</f>
        <v>10</v>
      </c>
      <c r="E40" s="8" t="n">
        <f aca="false">IFERROR(B40/C40,0)</f>
        <v>525</v>
      </c>
    </row>
    <row r="41" customFormat="false" ht="15" hidden="false" customHeight="false" outlineLevel="0" collapsed="false">
      <c r="A41" s="7" t="n">
        <v>44965</v>
      </c>
      <c r="B41" s="8" t="n">
        <f aca="false">SUMIFS('Raw Entries'!$I$2:$I$1501,'Raw Entries'!$B$2:$B$1501,A41)</f>
        <v>425</v>
      </c>
      <c r="C41" s="6" t="n">
        <f aca="false">COUNTIFS('Raw Entries'!$B$2:$B$1501,A41)</f>
        <v>4</v>
      </c>
      <c r="D41" s="6" t="n">
        <f aca="false">SUMIFS('Raw Entries'!$G$2:$G$1501,'Raw Entries'!$B$2:$B$1501,A41)</f>
        <v>13</v>
      </c>
      <c r="E41" s="8" t="n">
        <f aca="false">IFERROR(B41/C41,0)</f>
        <v>106.25</v>
      </c>
    </row>
    <row r="42" customFormat="false" ht="15" hidden="false" customHeight="false" outlineLevel="0" collapsed="false">
      <c r="A42" s="7" t="n">
        <v>44966</v>
      </c>
      <c r="B42" s="8" t="n">
        <f aca="false">SUMIFS('Raw Entries'!$I$2:$I$1501,'Raw Entries'!$B$2:$B$1501,A42)</f>
        <v>600</v>
      </c>
      <c r="C42" s="6" t="n">
        <f aca="false">COUNTIFS('Raw Entries'!$B$2:$B$1501,A42)</f>
        <v>1</v>
      </c>
      <c r="D42" s="6" t="n">
        <f aca="false">SUMIFS('Raw Entries'!$G$2:$G$1501,'Raw Entries'!$B$2:$B$1501,A42)</f>
        <v>2</v>
      </c>
      <c r="E42" s="8" t="n">
        <f aca="false">IFERROR(B42/C42,0)</f>
        <v>600</v>
      </c>
    </row>
    <row r="43" customFormat="false" ht="15" hidden="false" customHeight="false" outlineLevel="0" collapsed="false">
      <c r="A43" s="7" t="n">
        <v>44967</v>
      </c>
      <c r="B43" s="8" t="n">
        <f aca="false">SUMIFS('Raw Entries'!$I$2:$I$1501,'Raw Entries'!$B$2:$B$1501,A43)</f>
        <v>1900</v>
      </c>
      <c r="C43" s="6" t="n">
        <f aca="false">COUNTIFS('Raw Entries'!$B$2:$B$1501,A43)</f>
        <v>3</v>
      </c>
      <c r="D43" s="6" t="n">
        <f aca="false">SUMIFS('Raw Entries'!$G$2:$G$1501,'Raw Entries'!$B$2:$B$1501,A43)</f>
        <v>6</v>
      </c>
      <c r="E43" s="8" t="n">
        <f aca="false">IFERROR(B43/C43,0)</f>
        <v>633.333333333333</v>
      </c>
    </row>
    <row r="44" customFormat="false" ht="15" hidden="false" customHeight="false" outlineLevel="0" collapsed="false">
      <c r="A44" s="7" t="n">
        <v>44968</v>
      </c>
      <c r="B44" s="8" t="n">
        <f aca="false">SUMIFS('Raw Entries'!$I$2:$I$1501,'Raw Entries'!$B$2:$B$1501,A44)</f>
        <v>2215</v>
      </c>
      <c r="C44" s="6" t="n">
        <f aca="false">COUNTIFS('Raw Entries'!$B$2:$B$1501,A44)</f>
        <v>5</v>
      </c>
      <c r="D44" s="6" t="n">
        <f aca="false">SUMIFS('Raw Entries'!$G$2:$G$1501,'Raw Entries'!$B$2:$B$1501,A44)</f>
        <v>12</v>
      </c>
      <c r="E44" s="8" t="n">
        <f aca="false">IFERROR(B44/C44,0)</f>
        <v>443</v>
      </c>
    </row>
    <row r="45" customFormat="false" ht="15" hidden="false" customHeight="false" outlineLevel="0" collapsed="false">
      <c r="A45" s="7" t="n">
        <v>44969</v>
      </c>
      <c r="B45" s="8" t="n">
        <f aca="false">SUMIFS('Raw Entries'!$I$2:$I$1501,'Raw Entries'!$B$2:$B$1501,A45)</f>
        <v>500</v>
      </c>
      <c r="C45" s="6" t="n">
        <f aca="false">COUNTIFS('Raw Entries'!$B$2:$B$1501,A45)</f>
        <v>1</v>
      </c>
      <c r="D45" s="6" t="n">
        <f aca="false">SUMIFS('Raw Entries'!$G$2:$G$1501,'Raw Entries'!$B$2:$B$1501,A45)</f>
        <v>1</v>
      </c>
      <c r="E45" s="8" t="n">
        <f aca="false">IFERROR(B45/C45,0)</f>
        <v>500</v>
      </c>
    </row>
    <row r="46" customFormat="false" ht="15" hidden="false" customHeight="false" outlineLevel="0" collapsed="false">
      <c r="A46" s="7" t="n">
        <v>44970</v>
      </c>
      <c r="B46" s="8" t="n">
        <f aca="false">SUMIFS('Raw Entries'!$I$2:$I$1501,'Raw Entries'!$B$2:$B$1501,A46)</f>
        <v>3600</v>
      </c>
      <c r="C46" s="6" t="n">
        <f aca="false">COUNTIFS('Raw Entries'!$B$2:$B$1501,A46)</f>
        <v>4</v>
      </c>
      <c r="D46" s="6" t="n">
        <f aca="false">SUMIFS('Raw Entries'!$G$2:$G$1501,'Raw Entries'!$B$2:$B$1501,A46)</f>
        <v>11</v>
      </c>
      <c r="E46" s="8" t="n">
        <f aca="false">IFERROR(B46/C46,0)</f>
        <v>900</v>
      </c>
    </row>
    <row r="47" customFormat="false" ht="15" hidden="false" customHeight="false" outlineLevel="0" collapsed="false">
      <c r="A47" s="7" t="n">
        <v>44971</v>
      </c>
      <c r="B47" s="8" t="n">
        <f aca="false">SUMIFS('Raw Entries'!$I$2:$I$1501,'Raw Entries'!$B$2:$B$1501,A47)</f>
        <v>400</v>
      </c>
      <c r="C47" s="6" t="n">
        <f aca="false">COUNTIFS('Raw Entries'!$B$2:$B$1501,A47)</f>
        <v>2</v>
      </c>
      <c r="D47" s="6" t="n">
        <f aca="false">SUMIFS('Raw Entries'!$G$2:$G$1501,'Raw Entries'!$B$2:$B$1501,A47)</f>
        <v>3</v>
      </c>
      <c r="E47" s="8" t="n">
        <f aca="false">IFERROR(B47/C47,0)</f>
        <v>200</v>
      </c>
    </row>
    <row r="48" customFormat="false" ht="15" hidden="false" customHeight="false" outlineLevel="0" collapsed="false">
      <c r="A48" s="7" t="n">
        <v>44973</v>
      </c>
      <c r="B48" s="8" t="n">
        <f aca="false">SUMIFS('Raw Entries'!$I$2:$I$1501,'Raw Entries'!$B$2:$B$1501,A48)</f>
        <v>900</v>
      </c>
      <c r="C48" s="6" t="n">
        <f aca="false">COUNTIFS('Raw Entries'!$B$2:$B$1501,A48)</f>
        <v>1</v>
      </c>
      <c r="D48" s="6" t="n">
        <f aca="false">SUMIFS('Raw Entries'!$G$2:$G$1501,'Raw Entries'!$B$2:$B$1501,A48)</f>
        <v>3</v>
      </c>
      <c r="E48" s="8" t="n">
        <f aca="false">IFERROR(B48/C48,0)</f>
        <v>900</v>
      </c>
    </row>
    <row r="49" customFormat="false" ht="15" hidden="false" customHeight="false" outlineLevel="0" collapsed="false">
      <c r="A49" s="7" t="n">
        <v>44974</v>
      </c>
      <c r="B49" s="8" t="n">
        <f aca="false">SUMIFS('Raw Entries'!$I$2:$I$1501,'Raw Entries'!$B$2:$B$1501,A49)</f>
        <v>5890</v>
      </c>
      <c r="C49" s="6" t="n">
        <f aca="false">COUNTIFS('Raw Entries'!$B$2:$B$1501,A49)</f>
        <v>6</v>
      </c>
      <c r="D49" s="6" t="n">
        <f aca="false">SUMIFS('Raw Entries'!$G$2:$G$1501,'Raw Entries'!$B$2:$B$1501,A49)</f>
        <v>21</v>
      </c>
      <c r="E49" s="8" t="n">
        <f aca="false">IFERROR(B49/C49,0)</f>
        <v>981.666666666667</v>
      </c>
    </row>
    <row r="50" customFormat="false" ht="15" hidden="false" customHeight="false" outlineLevel="0" collapsed="false">
      <c r="A50" s="7" t="n">
        <v>44975</v>
      </c>
      <c r="B50" s="8" t="n">
        <f aca="false">SUMIFS('Raw Entries'!$I$2:$I$1501,'Raw Entries'!$B$2:$B$1501,A50)</f>
        <v>1000</v>
      </c>
      <c r="C50" s="6" t="n">
        <f aca="false">COUNTIFS('Raw Entries'!$B$2:$B$1501,A50)</f>
        <v>1</v>
      </c>
      <c r="D50" s="6" t="n">
        <f aca="false">SUMIFS('Raw Entries'!$G$2:$G$1501,'Raw Entries'!$B$2:$B$1501,A50)</f>
        <v>2</v>
      </c>
      <c r="E50" s="8" t="n">
        <f aca="false">IFERROR(B50/C50,0)</f>
        <v>1000</v>
      </c>
    </row>
    <row r="51" customFormat="false" ht="15" hidden="false" customHeight="false" outlineLevel="0" collapsed="false">
      <c r="A51" s="7" t="n">
        <v>44976</v>
      </c>
      <c r="B51" s="8" t="n">
        <f aca="false">SUMIFS('Raw Entries'!$I$2:$I$1501,'Raw Entries'!$B$2:$B$1501,A51)</f>
        <v>2025</v>
      </c>
      <c r="C51" s="6" t="n">
        <f aca="false">COUNTIFS('Raw Entries'!$B$2:$B$1501,A51)</f>
        <v>2</v>
      </c>
      <c r="D51" s="6" t="n">
        <f aca="false">SUMIFS('Raw Entries'!$G$2:$G$1501,'Raw Entries'!$B$2:$B$1501,A51)</f>
        <v>5</v>
      </c>
      <c r="E51" s="8" t="n">
        <f aca="false">IFERROR(B51/C51,0)</f>
        <v>1012.5</v>
      </c>
    </row>
    <row r="52" customFormat="false" ht="15" hidden="false" customHeight="false" outlineLevel="0" collapsed="false">
      <c r="A52" s="7" t="n">
        <v>44977</v>
      </c>
      <c r="B52" s="8" t="n">
        <f aca="false">SUMIFS('Raw Entries'!$I$2:$I$1501,'Raw Entries'!$B$2:$B$1501,A52)</f>
        <v>1130</v>
      </c>
      <c r="C52" s="6" t="n">
        <f aca="false">COUNTIFS('Raw Entries'!$B$2:$B$1501,A52)</f>
        <v>3</v>
      </c>
      <c r="D52" s="6" t="n">
        <f aca="false">SUMIFS('Raw Entries'!$G$2:$G$1501,'Raw Entries'!$B$2:$B$1501,A52)</f>
        <v>7</v>
      </c>
      <c r="E52" s="8" t="n">
        <f aca="false">IFERROR(B52/C52,0)</f>
        <v>376.666666666667</v>
      </c>
    </row>
    <row r="53" customFormat="false" ht="15" hidden="false" customHeight="false" outlineLevel="0" collapsed="false">
      <c r="A53" s="7" t="n">
        <v>44978</v>
      </c>
      <c r="B53" s="8" t="n">
        <f aca="false">SUMIFS('Raw Entries'!$I$2:$I$1501,'Raw Entries'!$B$2:$B$1501,A53)</f>
        <v>385</v>
      </c>
      <c r="C53" s="6" t="n">
        <f aca="false">COUNTIFS('Raw Entries'!$B$2:$B$1501,A53)</f>
        <v>3</v>
      </c>
      <c r="D53" s="6" t="n">
        <f aca="false">SUMIFS('Raw Entries'!$G$2:$G$1501,'Raw Entries'!$B$2:$B$1501,A53)</f>
        <v>4</v>
      </c>
      <c r="E53" s="8" t="n">
        <f aca="false">IFERROR(B53/C53,0)</f>
        <v>128.333333333333</v>
      </c>
    </row>
    <row r="54" customFormat="false" ht="15" hidden="false" customHeight="false" outlineLevel="0" collapsed="false">
      <c r="A54" s="7" t="n">
        <v>44979</v>
      </c>
      <c r="B54" s="8" t="n">
        <f aca="false">SUMIFS('Raw Entries'!$I$2:$I$1501,'Raw Entries'!$B$2:$B$1501,A54)</f>
        <v>300</v>
      </c>
      <c r="C54" s="6" t="n">
        <f aca="false">COUNTIFS('Raw Entries'!$B$2:$B$1501,A54)</f>
        <v>5</v>
      </c>
      <c r="D54" s="6" t="n">
        <f aca="false">SUMIFS('Raw Entries'!$G$2:$G$1501,'Raw Entries'!$B$2:$B$1501,A54)</f>
        <v>12</v>
      </c>
      <c r="E54" s="8" t="n">
        <f aca="false">IFERROR(B54/C54,0)</f>
        <v>60</v>
      </c>
    </row>
    <row r="55" customFormat="false" ht="15" hidden="false" customHeight="false" outlineLevel="0" collapsed="false">
      <c r="A55" s="7" t="n">
        <v>44980</v>
      </c>
      <c r="B55" s="8" t="n">
        <f aca="false">SUMIFS('Raw Entries'!$I$2:$I$1501,'Raw Entries'!$B$2:$B$1501,A55)</f>
        <v>30</v>
      </c>
      <c r="C55" s="6" t="n">
        <f aca="false">COUNTIFS('Raw Entries'!$B$2:$B$1501,A55)</f>
        <v>1</v>
      </c>
      <c r="D55" s="6" t="n">
        <f aca="false">SUMIFS('Raw Entries'!$G$2:$G$1501,'Raw Entries'!$B$2:$B$1501,A55)</f>
        <v>1</v>
      </c>
      <c r="E55" s="8" t="n">
        <f aca="false">IFERROR(B55/C55,0)</f>
        <v>30</v>
      </c>
    </row>
    <row r="56" customFormat="false" ht="15" hidden="false" customHeight="false" outlineLevel="0" collapsed="false">
      <c r="A56" s="7" t="n">
        <v>44981</v>
      </c>
      <c r="B56" s="8" t="n">
        <f aca="false">SUMIFS('Raw Entries'!$I$2:$I$1501,'Raw Entries'!$B$2:$B$1501,A56)</f>
        <v>3200</v>
      </c>
      <c r="C56" s="6" t="n">
        <f aca="false">COUNTIFS('Raw Entries'!$B$2:$B$1501,A56)</f>
        <v>4</v>
      </c>
      <c r="D56" s="6" t="n">
        <f aca="false">SUMIFS('Raw Entries'!$G$2:$G$1501,'Raw Entries'!$B$2:$B$1501,A56)</f>
        <v>12</v>
      </c>
      <c r="E56" s="8" t="n">
        <f aca="false">IFERROR(B56/C56,0)</f>
        <v>800</v>
      </c>
    </row>
    <row r="57" customFormat="false" ht="15" hidden="false" customHeight="false" outlineLevel="0" collapsed="false">
      <c r="A57" s="7" t="n">
        <v>44982</v>
      </c>
      <c r="B57" s="8" t="n">
        <f aca="false">SUMIFS('Raw Entries'!$I$2:$I$1501,'Raw Entries'!$B$2:$B$1501,A57)</f>
        <v>2550</v>
      </c>
      <c r="C57" s="6" t="n">
        <f aca="false">COUNTIFS('Raw Entries'!$B$2:$B$1501,A57)</f>
        <v>4</v>
      </c>
      <c r="D57" s="6" t="n">
        <f aca="false">SUMIFS('Raw Entries'!$G$2:$G$1501,'Raw Entries'!$B$2:$B$1501,A57)</f>
        <v>9</v>
      </c>
      <c r="E57" s="8" t="n">
        <f aca="false">IFERROR(B57/C57,0)</f>
        <v>637.5</v>
      </c>
    </row>
    <row r="58" customFormat="false" ht="15" hidden="false" customHeight="false" outlineLevel="0" collapsed="false">
      <c r="A58" s="7" t="n">
        <v>44983</v>
      </c>
      <c r="B58" s="8" t="n">
        <f aca="false">SUMIFS('Raw Entries'!$I$2:$I$1501,'Raw Entries'!$B$2:$B$1501,A58)</f>
        <v>50</v>
      </c>
      <c r="C58" s="6" t="n">
        <f aca="false">COUNTIFS('Raw Entries'!$B$2:$B$1501,A58)</f>
        <v>1</v>
      </c>
      <c r="D58" s="6" t="n">
        <f aca="false">SUMIFS('Raw Entries'!$G$2:$G$1501,'Raw Entries'!$B$2:$B$1501,A58)</f>
        <v>2</v>
      </c>
      <c r="E58" s="8" t="n">
        <f aca="false">IFERROR(B58/C58,0)</f>
        <v>50</v>
      </c>
    </row>
    <row r="59" customFormat="false" ht="15" hidden="false" customHeight="false" outlineLevel="0" collapsed="false">
      <c r="A59" s="7" t="n">
        <v>44984</v>
      </c>
      <c r="B59" s="8" t="n">
        <f aca="false">SUMIFS('Raw Entries'!$I$2:$I$1501,'Raw Entries'!$B$2:$B$1501,A59)</f>
        <v>1825</v>
      </c>
      <c r="C59" s="6" t="n">
        <f aca="false">COUNTIFS('Raw Entries'!$B$2:$B$1501,A59)</f>
        <v>4</v>
      </c>
      <c r="D59" s="6" t="n">
        <f aca="false">SUMIFS('Raw Entries'!$G$2:$G$1501,'Raw Entries'!$B$2:$B$1501,A59)</f>
        <v>9</v>
      </c>
      <c r="E59" s="8" t="n">
        <f aca="false">IFERROR(B59/C59,0)</f>
        <v>456.25</v>
      </c>
    </row>
    <row r="60" customFormat="false" ht="15" hidden="false" customHeight="false" outlineLevel="0" collapsed="false">
      <c r="A60" s="7" t="n">
        <v>44985</v>
      </c>
      <c r="B60" s="8" t="n">
        <f aca="false">SUMIFS('Raw Entries'!$I$2:$I$1501,'Raw Entries'!$B$2:$B$1501,A60)</f>
        <v>2180</v>
      </c>
      <c r="C60" s="6" t="n">
        <f aca="false">COUNTIFS('Raw Entries'!$B$2:$B$1501,A60)</f>
        <v>4</v>
      </c>
      <c r="D60" s="6" t="n">
        <f aca="false">SUMIFS('Raw Entries'!$G$2:$G$1501,'Raw Entries'!$B$2:$B$1501,A60)</f>
        <v>11</v>
      </c>
      <c r="E60" s="8" t="n">
        <f aca="false">IFERROR(B60/C60,0)</f>
        <v>545</v>
      </c>
    </row>
    <row r="61" customFormat="false" ht="15" hidden="false" customHeight="false" outlineLevel="0" collapsed="false">
      <c r="A61" s="7" t="n">
        <v>44986</v>
      </c>
      <c r="B61" s="8" t="n">
        <f aca="false">SUMIFS('Raw Entries'!$I$2:$I$1501,'Raw Entries'!$B$2:$B$1501,A61)</f>
        <v>460</v>
      </c>
      <c r="C61" s="6" t="n">
        <f aca="false">COUNTIFS('Raw Entries'!$B$2:$B$1501,A61)</f>
        <v>3</v>
      </c>
      <c r="D61" s="6" t="n">
        <f aca="false">SUMIFS('Raw Entries'!$G$2:$G$1501,'Raw Entries'!$B$2:$B$1501,A61)</f>
        <v>7</v>
      </c>
      <c r="E61" s="8" t="n">
        <f aca="false">IFERROR(B61/C61,0)</f>
        <v>153.333333333333</v>
      </c>
    </row>
    <row r="62" customFormat="false" ht="15" hidden="false" customHeight="false" outlineLevel="0" collapsed="false">
      <c r="A62" s="7" t="n">
        <v>44987</v>
      </c>
      <c r="B62" s="8" t="n">
        <f aca="false">SUMIFS('Raw Entries'!$I$2:$I$1501,'Raw Entries'!$B$2:$B$1501,A62)</f>
        <v>300</v>
      </c>
      <c r="C62" s="6" t="n">
        <f aca="false">COUNTIFS('Raw Entries'!$B$2:$B$1501,A62)</f>
        <v>1</v>
      </c>
      <c r="D62" s="6" t="n">
        <f aca="false">SUMIFS('Raw Entries'!$G$2:$G$1501,'Raw Entries'!$B$2:$B$1501,A62)</f>
        <v>1</v>
      </c>
      <c r="E62" s="8" t="n">
        <f aca="false">IFERROR(B62/C62,0)</f>
        <v>300</v>
      </c>
    </row>
    <row r="63" customFormat="false" ht="15" hidden="false" customHeight="false" outlineLevel="0" collapsed="false">
      <c r="A63" s="7" t="n">
        <v>44988</v>
      </c>
      <c r="B63" s="8" t="n">
        <f aca="false">SUMIFS('Raw Entries'!$I$2:$I$1501,'Raw Entries'!$B$2:$B$1501,A63)</f>
        <v>970</v>
      </c>
      <c r="C63" s="6" t="n">
        <f aca="false">COUNTIFS('Raw Entries'!$B$2:$B$1501,A63)</f>
        <v>5</v>
      </c>
      <c r="D63" s="6" t="n">
        <f aca="false">SUMIFS('Raw Entries'!$G$2:$G$1501,'Raw Entries'!$B$2:$B$1501,A63)</f>
        <v>15</v>
      </c>
      <c r="E63" s="8" t="n">
        <f aca="false">IFERROR(B63/C63,0)</f>
        <v>194</v>
      </c>
    </row>
    <row r="64" customFormat="false" ht="15" hidden="false" customHeight="false" outlineLevel="0" collapsed="false">
      <c r="A64" s="7" t="n">
        <v>44989</v>
      </c>
      <c r="B64" s="8" t="n">
        <f aca="false">SUMIFS('Raw Entries'!$I$2:$I$1501,'Raw Entries'!$B$2:$B$1501,A64)</f>
        <v>1000</v>
      </c>
      <c r="C64" s="6" t="n">
        <f aca="false">COUNTIFS('Raw Entries'!$B$2:$B$1501,A64)</f>
        <v>1</v>
      </c>
      <c r="D64" s="6" t="n">
        <f aca="false">SUMIFS('Raw Entries'!$G$2:$G$1501,'Raw Entries'!$B$2:$B$1501,A64)</f>
        <v>2</v>
      </c>
      <c r="E64" s="8" t="n">
        <f aca="false">IFERROR(B64/C64,0)</f>
        <v>1000</v>
      </c>
    </row>
    <row r="65" customFormat="false" ht="15" hidden="false" customHeight="false" outlineLevel="0" collapsed="false">
      <c r="A65" s="7" t="n">
        <v>44990</v>
      </c>
      <c r="B65" s="8" t="n">
        <f aca="false">SUMIFS('Raw Entries'!$I$2:$I$1501,'Raw Entries'!$B$2:$B$1501,A65)</f>
        <v>420</v>
      </c>
      <c r="C65" s="6" t="n">
        <f aca="false">COUNTIFS('Raw Entries'!$B$2:$B$1501,A65)</f>
        <v>2</v>
      </c>
      <c r="D65" s="6" t="n">
        <f aca="false">SUMIFS('Raw Entries'!$G$2:$G$1501,'Raw Entries'!$B$2:$B$1501,A65)</f>
        <v>5</v>
      </c>
      <c r="E65" s="8" t="n">
        <f aca="false">IFERROR(B65/C65,0)</f>
        <v>210</v>
      </c>
    </row>
    <row r="66" customFormat="false" ht="15" hidden="false" customHeight="false" outlineLevel="0" collapsed="false">
      <c r="A66" s="7" t="n">
        <v>44991</v>
      </c>
      <c r="B66" s="8" t="n">
        <f aca="false">SUMIFS('Raw Entries'!$I$2:$I$1501,'Raw Entries'!$B$2:$B$1501,A66)</f>
        <v>625</v>
      </c>
      <c r="C66" s="6" t="n">
        <f aca="false">COUNTIFS('Raw Entries'!$B$2:$B$1501,A66)</f>
        <v>4</v>
      </c>
      <c r="D66" s="6" t="n">
        <f aca="false">SUMIFS('Raw Entries'!$G$2:$G$1501,'Raw Entries'!$B$2:$B$1501,A66)</f>
        <v>14</v>
      </c>
      <c r="E66" s="8" t="n">
        <f aca="false">IFERROR(B66/C66,0)</f>
        <v>156.25</v>
      </c>
    </row>
    <row r="67" customFormat="false" ht="15" hidden="false" customHeight="false" outlineLevel="0" collapsed="false">
      <c r="A67" s="7" t="n">
        <v>44992</v>
      </c>
      <c r="B67" s="8" t="n">
        <f aca="false">SUMIFS('Raw Entries'!$I$2:$I$1501,'Raw Entries'!$B$2:$B$1501,A67)</f>
        <v>3040</v>
      </c>
      <c r="C67" s="6" t="n">
        <f aca="false">COUNTIFS('Raw Entries'!$B$2:$B$1501,A67)</f>
        <v>4</v>
      </c>
      <c r="D67" s="6" t="n">
        <f aca="false">SUMIFS('Raw Entries'!$G$2:$G$1501,'Raw Entries'!$B$2:$B$1501,A67)</f>
        <v>12</v>
      </c>
      <c r="E67" s="8" t="n">
        <f aca="false">IFERROR(B67/C67,0)</f>
        <v>760</v>
      </c>
    </row>
    <row r="68" customFormat="false" ht="15" hidden="false" customHeight="false" outlineLevel="0" collapsed="false">
      <c r="A68" s="7" t="n">
        <v>44993</v>
      </c>
      <c r="B68" s="8" t="n">
        <f aca="false">SUMIFS('Raw Entries'!$I$2:$I$1501,'Raw Entries'!$B$2:$B$1501,A68)</f>
        <v>25</v>
      </c>
      <c r="C68" s="6" t="n">
        <f aca="false">COUNTIFS('Raw Entries'!$B$2:$B$1501,A68)</f>
        <v>1</v>
      </c>
      <c r="D68" s="6" t="n">
        <f aca="false">SUMIFS('Raw Entries'!$G$2:$G$1501,'Raw Entries'!$B$2:$B$1501,A68)</f>
        <v>1</v>
      </c>
      <c r="E68" s="8" t="n">
        <f aca="false">IFERROR(B68/C68,0)</f>
        <v>25</v>
      </c>
    </row>
    <row r="69" customFormat="false" ht="15" hidden="false" customHeight="false" outlineLevel="0" collapsed="false">
      <c r="A69" s="7" t="n">
        <v>44994</v>
      </c>
      <c r="B69" s="8" t="n">
        <f aca="false">SUMIFS('Raw Entries'!$I$2:$I$1501,'Raw Entries'!$B$2:$B$1501,A69)</f>
        <v>1200</v>
      </c>
      <c r="C69" s="6" t="n">
        <f aca="false">COUNTIFS('Raw Entries'!$B$2:$B$1501,A69)</f>
        <v>3</v>
      </c>
      <c r="D69" s="6" t="n">
        <f aca="false">SUMIFS('Raw Entries'!$G$2:$G$1501,'Raw Entries'!$B$2:$B$1501,A69)</f>
        <v>11</v>
      </c>
      <c r="E69" s="8" t="n">
        <f aca="false">IFERROR(B69/C69,0)</f>
        <v>400</v>
      </c>
    </row>
    <row r="70" customFormat="false" ht="15" hidden="false" customHeight="false" outlineLevel="0" collapsed="false">
      <c r="A70" s="7" t="n">
        <v>44995</v>
      </c>
      <c r="B70" s="8" t="n">
        <f aca="false">SUMIFS('Raw Entries'!$I$2:$I$1501,'Raw Entries'!$B$2:$B$1501,A70)</f>
        <v>175</v>
      </c>
      <c r="C70" s="6" t="n">
        <f aca="false">COUNTIFS('Raw Entries'!$B$2:$B$1501,A70)</f>
        <v>2</v>
      </c>
      <c r="D70" s="6" t="n">
        <f aca="false">SUMIFS('Raw Entries'!$G$2:$G$1501,'Raw Entries'!$B$2:$B$1501,A70)</f>
        <v>4</v>
      </c>
      <c r="E70" s="8" t="n">
        <f aca="false">IFERROR(B70/C70,0)</f>
        <v>87.5</v>
      </c>
    </row>
    <row r="71" customFormat="false" ht="15" hidden="false" customHeight="false" outlineLevel="0" collapsed="false">
      <c r="A71" s="7" t="n">
        <v>44996</v>
      </c>
      <c r="B71" s="8" t="n">
        <f aca="false">SUMIFS('Raw Entries'!$I$2:$I$1501,'Raw Entries'!$B$2:$B$1501,A71)</f>
        <v>500</v>
      </c>
      <c r="C71" s="6" t="n">
        <f aca="false">COUNTIFS('Raw Entries'!$B$2:$B$1501,A71)</f>
        <v>1</v>
      </c>
      <c r="D71" s="6" t="n">
        <f aca="false">SUMIFS('Raw Entries'!$G$2:$G$1501,'Raw Entries'!$B$2:$B$1501,A71)</f>
        <v>1</v>
      </c>
      <c r="E71" s="8" t="n">
        <f aca="false">IFERROR(B71/C71,0)</f>
        <v>500</v>
      </c>
    </row>
    <row r="72" customFormat="false" ht="15" hidden="false" customHeight="false" outlineLevel="0" collapsed="false">
      <c r="A72" s="7" t="n">
        <v>44997</v>
      </c>
      <c r="B72" s="8" t="n">
        <f aca="false">SUMIFS('Raw Entries'!$I$2:$I$1501,'Raw Entries'!$B$2:$B$1501,A72)</f>
        <v>525</v>
      </c>
      <c r="C72" s="6" t="n">
        <f aca="false">COUNTIFS('Raw Entries'!$B$2:$B$1501,A72)</f>
        <v>2</v>
      </c>
      <c r="D72" s="6" t="n">
        <f aca="false">SUMIFS('Raw Entries'!$G$2:$G$1501,'Raw Entries'!$B$2:$B$1501,A72)</f>
        <v>2</v>
      </c>
      <c r="E72" s="8" t="n">
        <f aca="false">IFERROR(B72/C72,0)</f>
        <v>262.5</v>
      </c>
    </row>
    <row r="73" customFormat="false" ht="15" hidden="false" customHeight="false" outlineLevel="0" collapsed="false">
      <c r="A73" s="7" t="n">
        <v>44998</v>
      </c>
      <c r="B73" s="8" t="n">
        <f aca="false">SUMIFS('Raw Entries'!$I$2:$I$1501,'Raw Entries'!$B$2:$B$1501,A73)</f>
        <v>300</v>
      </c>
      <c r="C73" s="6" t="n">
        <f aca="false">COUNTIFS('Raw Entries'!$B$2:$B$1501,A73)</f>
        <v>3</v>
      </c>
      <c r="D73" s="6" t="n">
        <f aca="false">SUMIFS('Raw Entries'!$G$2:$G$1501,'Raw Entries'!$B$2:$B$1501,A73)</f>
        <v>9</v>
      </c>
      <c r="E73" s="8" t="n">
        <f aca="false">IFERROR(B73/C73,0)</f>
        <v>100</v>
      </c>
    </row>
    <row r="74" customFormat="false" ht="15" hidden="false" customHeight="false" outlineLevel="0" collapsed="false">
      <c r="A74" s="7" t="n">
        <v>45000</v>
      </c>
      <c r="B74" s="8" t="n">
        <f aca="false">SUMIFS('Raw Entries'!$I$2:$I$1501,'Raw Entries'!$B$2:$B$1501,A74)</f>
        <v>1000</v>
      </c>
      <c r="C74" s="6" t="n">
        <f aca="false">COUNTIFS('Raw Entries'!$B$2:$B$1501,A74)</f>
        <v>1</v>
      </c>
      <c r="D74" s="6" t="n">
        <f aca="false">SUMIFS('Raw Entries'!$G$2:$G$1501,'Raw Entries'!$B$2:$B$1501,A74)</f>
        <v>2</v>
      </c>
      <c r="E74" s="8" t="n">
        <f aca="false">IFERROR(B74/C74,0)</f>
        <v>1000</v>
      </c>
    </row>
    <row r="75" customFormat="false" ht="15" hidden="false" customHeight="false" outlineLevel="0" collapsed="false">
      <c r="A75" s="7" t="n">
        <v>45002</v>
      </c>
      <c r="B75" s="8" t="n">
        <f aca="false">SUMIFS('Raw Entries'!$I$2:$I$1501,'Raw Entries'!$B$2:$B$1501,A75)</f>
        <v>1075</v>
      </c>
      <c r="C75" s="6" t="n">
        <f aca="false">COUNTIFS('Raw Entries'!$B$2:$B$1501,A75)</f>
        <v>3</v>
      </c>
      <c r="D75" s="6" t="n">
        <f aca="false">SUMIFS('Raw Entries'!$G$2:$G$1501,'Raw Entries'!$B$2:$B$1501,A75)</f>
        <v>10</v>
      </c>
      <c r="E75" s="8" t="n">
        <f aca="false">IFERROR(B75/C75,0)</f>
        <v>358.333333333333</v>
      </c>
    </row>
    <row r="76" customFormat="false" ht="15" hidden="false" customHeight="false" outlineLevel="0" collapsed="false">
      <c r="A76" s="7" t="n">
        <v>45003</v>
      </c>
      <c r="B76" s="8" t="n">
        <f aca="false">SUMIFS('Raw Entries'!$I$2:$I$1501,'Raw Entries'!$B$2:$B$1501,A76)</f>
        <v>1620</v>
      </c>
      <c r="C76" s="6" t="n">
        <f aca="false">COUNTIFS('Raw Entries'!$B$2:$B$1501,A76)</f>
        <v>2</v>
      </c>
      <c r="D76" s="6" t="n">
        <f aca="false">SUMIFS('Raw Entries'!$G$2:$G$1501,'Raw Entries'!$B$2:$B$1501,A76)</f>
        <v>7</v>
      </c>
      <c r="E76" s="8" t="n">
        <f aca="false">IFERROR(B76/C76,0)</f>
        <v>810</v>
      </c>
    </row>
    <row r="77" customFormat="false" ht="15" hidden="false" customHeight="false" outlineLevel="0" collapsed="false">
      <c r="A77" s="7" t="n">
        <v>45004</v>
      </c>
      <c r="B77" s="8" t="n">
        <f aca="false">SUMIFS('Raw Entries'!$I$2:$I$1501,'Raw Entries'!$B$2:$B$1501,A77)</f>
        <v>80</v>
      </c>
      <c r="C77" s="6" t="n">
        <f aca="false">COUNTIFS('Raw Entries'!$B$2:$B$1501,A77)</f>
        <v>2</v>
      </c>
      <c r="D77" s="6" t="n">
        <f aca="false">SUMIFS('Raw Entries'!$G$2:$G$1501,'Raw Entries'!$B$2:$B$1501,A77)</f>
        <v>3</v>
      </c>
      <c r="E77" s="8" t="n">
        <f aca="false">IFERROR(B77/C77,0)</f>
        <v>40</v>
      </c>
    </row>
    <row r="78" customFormat="false" ht="15" hidden="false" customHeight="false" outlineLevel="0" collapsed="false">
      <c r="A78" s="7" t="n">
        <v>45005</v>
      </c>
      <c r="B78" s="8" t="n">
        <f aca="false">SUMIFS('Raw Entries'!$I$2:$I$1501,'Raw Entries'!$B$2:$B$1501,A78)</f>
        <v>2950</v>
      </c>
      <c r="C78" s="6" t="n">
        <f aca="false">COUNTIFS('Raw Entries'!$B$2:$B$1501,A78)</f>
        <v>5</v>
      </c>
      <c r="D78" s="6" t="n">
        <f aca="false">SUMIFS('Raw Entries'!$G$2:$G$1501,'Raw Entries'!$B$2:$B$1501,A78)</f>
        <v>16</v>
      </c>
      <c r="E78" s="8" t="n">
        <f aca="false">IFERROR(B78/C78,0)</f>
        <v>590</v>
      </c>
    </row>
    <row r="79" customFormat="false" ht="15" hidden="false" customHeight="false" outlineLevel="0" collapsed="false">
      <c r="A79" s="7" t="n">
        <v>45006</v>
      </c>
      <c r="B79" s="8" t="n">
        <f aca="false">SUMIFS('Raw Entries'!$I$2:$I$1501,'Raw Entries'!$B$2:$B$1501,A79)</f>
        <v>3500</v>
      </c>
      <c r="C79" s="6" t="n">
        <f aca="false">COUNTIFS('Raw Entries'!$B$2:$B$1501,A79)</f>
        <v>4</v>
      </c>
      <c r="D79" s="6" t="n">
        <f aca="false">SUMIFS('Raw Entries'!$G$2:$G$1501,'Raw Entries'!$B$2:$B$1501,A79)</f>
        <v>13</v>
      </c>
      <c r="E79" s="8" t="n">
        <f aca="false">IFERROR(B79/C79,0)</f>
        <v>875</v>
      </c>
    </row>
    <row r="80" customFormat="false" ht="15" hidden="false" customHeight="false" outlineLevel="0" collapsed="false">
      <c r="A80" s="7" t="n">
        <v>45007</v>
      </c>
      <c r="B80" s="8" t="n">
        <f aca="false">SUMIFS('Raw Entries'!$I$2:$I$1501,'Raw Entries'!$B$2:$B$1501,A80)</f>
        <v>1390</v>
      </c>
      <c r="C80" s="6" t="n">
        <f aca="false">COUNTIFS('Raw Entries'!$B$2:$B$1501,A80)</f>
        <v>5</v>
      </c>
      <c r="D80" s="6" t="n">
        <f aca="false">SUMIFS('Raw Entries'!$G$2:$G$1501,'Raw Entries'!$B$2:$B$1501,A80)</f>
        <v>11</v>
      </c>
      <c r="E80" s="8" t="n">
        <f aca="false">IFERROR(B80/C80,0)</f>
        <v>278</v>
      </c>
    </row>
    <row r="81" customFormat="false" ht="15" hidden="false" customHeight="false" outlineLevel="0" collapsed="false">
      <c r="A81" s="7" t="n">
        <v>45008</v>
      </c>
      <c r="B81" s="8" t="n">
        <f aca="false">SUMIFS('Raw Entries'!$I$2:$I$1501,'Raw Entries'!$B$2:$B$1501,A81)</f>
        <v>1950</v>
      </c>
      <c r="C81" s="6" t="n">
        <f aca="false">COUNTIFS('Raw Entries'!$B$2:$B$1501,A81)</f>
        <v>4</v>
      </c>
      <c r="D81" s="6" t="n">
        <f aca="false">SUMIFS('Raw Entries'!$G$2:$G$1501,'Raw Entries'!$B$2:$B$1501,A81)</f>
        <v>12</v>
      </c>
      <c r="E81" s="8" t="n">
        <f aca="false">IFERROR(B81/C81,0)</f>
        <v>487.5</v>
      </c>
    </row>
    <row r="82" customFormat="false" ht="15" hidden="false" customHeight="false" outlineLevel="0" collapsed="false">
      <c r="A82" s="7" t="n">
        <v>45009</v>
      </c>
      <c r="B82" s="8" t="n">
        <f aca="false">SUMIFS('Raw Entries'!$I$2:$I$1501,'Raw Entries'!$B$2:$B$1501,A82)</f>
        <v>250</v>
      </c>
      <c r="C82" s="6" t="n">
        <f aca="false">COUNTIFS('Raw Entries'!$B$2:$B$1501,A82)</f>
        <v>2</v>
      </c>
      <c r="D82" s="6" t="n">
        <f aca="false">SUMIFS('Raw Entries'!$G$2:$G$1501,'Raw Entries'!$B$2:$B$1501,A82)</f>
        <v>5</v>
      </c>
      <c r="E82" s="8" t="n">
        <f aca="false">IFERROR(B82/C82,0)</f>
        <v>125</v>
      </c>
    </row>
    <row r="83" customFormat="false" ht="15" hidden="false" customHeight="false" outlineLevel="0" collapsed="false">
      <c r="A83" s="7" t="n">
        <v>45010</v>
      </c>
      <c r="B83" s="8" t="n">
        <f aca="false">SUMIFS('Raw Entries'!$I$2:$I$1501,'Raw Entries'!$B$2:$B$1501,A83)</f>
        <v>1625</v>
      </c>
      <c r="C83" s="6" t="n">
        <f aca="false">COUNTIFS('Raw Entries'!$B$2:$B$1501,A83)</f>
        <v>4</v>
      </c>
      <c r="D83" s="6" t="n">
        <f aca="false">SUMIFS('Raw Entries'!$G$2:$G$1501,'Raw Entries'!$B$2:$B$1501,A83)</f>
        <v>6</v>
      </c>
      <c r="E83" s="8" t="n">
        <f aca="false">IFERROR(B83/C83,0)</f>
        <v>406.25</v>
      </c>
    </row>
    <row r="84" customFormat="false" ht="15" hidden="false" customHeight="false" outlineLevel="0" collapsed="false">
      <c r="A84" s="7" t="n">
        <v>45011</v>
      </c>
      <c r="B84" s="8" t="n">
        <f aca="false">SUMIFS('Raw Entries'!$I$2:$I$1501,'Raw Entries'!$B$2:$B$1501,A84)</f>
        <v>1420</v>
      </c>
      <c r="C84" s="6" t="n">
        <f aca="false">COUNTIFS('Raw Entries'!$B$2:$B$1501,A84)</f>
        <v>3</v>
      </c>
      <c r="D84" s="6" t="n">
        <f aca="false">SUMIFS('Raw Entries'!$G$2:$G$1501,'Raw Entries'!$B$2:$B$1501,A84)</f>
        <v>10</v>
      </c>
      <c r="E84" s="8" t="n">
        <f aca="false">IFERROR(B84/C84,0)</f>
        <v>473.333333333333</v>
      </c>
    </row>
    <row r="85" customFormat="false" ht="15" hidden="false" customHeight="false" outlineLevel="0" collapsed="false">
      <c r="A85" s="7" t="n">
        <v>45012</v>
      </c>
      <c r="B85" s="8" t="n">
        <f aca="false">SUMIFS('Raw Entries'!$I$2:$I$1501,'Raw Entries'!$B$2:$B$1501,A85)</f>
        <v>590</v>
      </c>
      <c r="C85" s="6" t="n">
        <f aca="false">COUNTIFS('Raw Entries'!$B$2:$B$1501,A85)</f>
        <v>2</v>
      </c>
      <c r="D85" s="6" t="n">
        <f aca="false">SUMIFS('Raw Entries'!$G$2:$G$1501,'Raw Entries'!$B$2:$B$1501,A85)</f>
        <v>4</v>
      </c>
      <c r="E85" s="8" t="n">
        <f aca="false">IFERROR(B85/C85,0)</f>
        <v>295</v>
      </c>
    </row>
    <row r="86" customFormat="false" ht="15" hidden="false" customHeight="false" outlineLevel="0" collapsed="false">
      <c r="A86" s="7" t="n">
        <v>45013</v>
      </c>
      <c r="B86" s="8" t="n">
        <f aca="false">SUMIFS('Raw Entries'!$I$2:$I$1501,'Raw Entries'!$B$2:$B$1501,A86)</f>
        <v>100</v>
      </c>
      <c r="C86" s="6" t="n">
        <f aca="false">COUNTIFS('Raw Entries'!$B$2:$B$1501,A86)</f>
        <v>1</v>
      </c>
      <c r="D86" s="6" t="n">
        <f aca="false">SUMIFS('Raw Entries'!$G$2:$G$1501,'Raw Entries'!$B$2:$B$1501,A86)</f>
        <v>2</v>
      </c>
      <c r="E86" s="8" t="n">
        <f aca="false">IFERROR(B86/C86,0)</f>
        <v>100</v>
      </c>
    </row>
    <row r="87" customFormat="false" ht="15" hidden="false" customHeight="false" outlineLevel="0" collapsed="false">
      <c r="A87" s="7" t="n">
        <v>45014</v>
      </c>
      <c r="B87" s="8" t="n">
        <f aca="false">SUMIFS('Raw Entries'!$I$2:$I$1501,'Raw Entries'!$B$2:$B$1501,A87)</f>
        <v>500</v>
      </c>
      <c r="C87" s="6" t="n">
        <f aca="false">COUNTIFS('Raw Entries'!$B$2:$B$1501,A87)</f>
        <v>1</v>
      </c>
      <c r="D87" s="6" t="n">
        <f aca="false">SUMIFS('Raw Entries'!$G$2:$G$1501,'Raw Entries'!$B$2:$B$1501,A87)</f>
        <v>1</v>
      </c>
      <c r="E87" s="8" t="n">
        <f aca="false">IFERROR(B87/C87,0)</f>
        <v>500</v>
      </c>
    </row>
    <row r="88" customFormat="false" ht="15" hidden="false" customHeight="false" outlineLevel="0" collapsed="false">
      <c r="A88" s="7" t="n">
        <v>45015</v>
      </c>
      <c r="B88" s="8" t="n">
        <f aca="false">SUMIFS('Raw Entries'!$I$2:$I$1501,'Raw Entries'!$B$2:$B$1501,A88)</f>
        <v>200</v>
      </c>
      <c r="C88" s="6" t="n">
        <f aca="false">COUNTIFS('Raw Entries'!$B$2:$B$1501,A88)</f>
        <v>1</v>
      </c>
      <c r="D88" s="6" t="n">
        <f aca="false">SUMIFS('Raw Entries'!$G$2:$G$1501,'Raw Entries'!$B$2:$B$1501,A88)</f>
        <v>4</v>
      </c>
      <c r="E88" s="8" t="n">
        <f aca="false">IFERROR(B88/C88,0)</f>
        <v>200</v>
      </c>
    </row>
    <row r="89" customFormat="false" ht="15" hidden="false" customHeight="false" outlineLevel="0" collapsed="false">
      <c r="A89" s="7" t="n">
        <v>45016</v>
      </c>
      <c r="B89" s="8" t="n">
        <f aca="false">SUMIFS('Raw Entries'!$I$2:$I$1501,'Raw Entries'!$B$2:$B$1501,A89)</f>
        <v>1200</v>
      </c>
      <c r="C89" s="6" t="n">
        <f aca="false">COUNTIFS('Raw Entries'!$B$2:$B$1501,A89)</f>
        <v>1</v>
      </c>
      <c r="D89" s="6" t="n">
        <f aca="false">SUMIFS('Raw Entries'!$G$2:$G$1501,'Raw Entries'!$B$2:$B$1501,A89)</f>
        <v>4</v>
      </c>
      <c r="E89" s="8" t="n">
        <f aca="false">IFERROR(B89/C89,0)</f>
        <v>1200</v>
      </c>
    </row>
    <row r="90" customFormat="false" ht="15" hidden="false" customHeight="false" outlineLevel="0" collapsed="false">
      <c r="A90" s="7" t="n">
        <v>45017</v>
      </c>
      <c r="B90" s="8" t="n">
        <f aca="false">SUMIFS('Raw Entries'!$I$2:$I$1501,'Raw Entries'!$B$2:$B$1501,A90)</f>
        <v>4400</v>
      </c>
      <c r="C90" s="6" t="n">
        <f aca="false">COUNTIFS('Raw Entries'!$B$2:$B$1501,A90)</f>
        <v>3</v>
      </c>
      <c r="D90" s="6" t="n">
        <f aca="false">SUMIFS('Raw Entries'!$G$2:$G$1501,'Raw Entries'!$B$2:$B$1501,A90)</f>
        <v>12</v>
      </c>
      <c r="E90" s="8" t="n">
        <f aca="false">IFERROR(B90/C90,0)</f>
        <v>1466.66666666667</v>
      </c>
    </row>
    <row r="91" customFormat="false" ht="15" hidden="false" customHeight="false" outlineLevel="0" collapsed="false">
      <c r="A91" s="7" t="n">
        <v>45018</v>
      </c>
      <c r="B91" s="8" t="n">
        <f aca="false">SUMIFS('Raw Entries'!$I$2:$I$1501,'Raw Entries'!$B$2:$B$1501,A91)</f>
        <v>2600</v>
      </c>
      <c r="C91" s="6" t="n">
        <f aca="false">COUNTIFS('Raw Entries'!$B$2:$B$1501,A91)</f>
        <v>4</v>
      </c>
      <c r="D91" s="6" t="n">
        <f aca="false">SUMIFS('Raw Entries'!$G$2:$G$1501,'Raw Entries'!$B$2:$B$1501,A91)</f>
        <v>11</v>
      </c>
      <c r="E91" s="8" t="n">
        <f aca="false">IFERROR(B91/C91,0)</f>
        <v>650</v>
      </c>
    </row>
    <row r="92" customFormat="false" ht="15" hidden="false" customHeight="false" outlineLevel="0" collapsed="false">
      <c r="A92" s="7" t="n">
        <v>45020</v>
      </c>
      <c r="B92" s="8" t="n">
        <f aca="false">SUMIFS('Raw Entries'!$I$2:$I$1501,'Raw Entries'!$B$2:$B$1501,A92)</f>
        <v>1620</v>
      </c>
      <c r="C92" s="6" t="n">
        <f aca="false">COUNTIFS('Raw Entries'!$B$2:$B$1501,A92)</f>
        <v>3</v>
      </c>
      <c r="D92" s="6" t="n">
        <f aca="false">SUMIFS('Raw Entries'!$G$2:$G$1501,'Raw Entries'!$B$2:$B$1501,A92)</f>
        <v>7</v>
      </c>
      <c r="E92" s="8" t="n">
        <f aca="false">IFERROR(B92/C92,0)</f>
        <v>540</v>
      </c>
    </row>
    <row r="93" customFormat="false" ht="15" hidden="false" customHeight="false" outlineLevel="0" collapsed="false">
      <c r="A93" s="7" t="n">
        <v>45021</v>
      </c>
      <c r="B93" s="8" t="n">
        <f aca="false">SUMIFS('Raw Entries'!$I$2:$I$1501,'Raw Entries'!$B$2:$B$1501,A93)</f>
        <v>2100</v>
      </c>
      <c r="C93" s="6" t="n">
        <f aca="false">COUNTIFS('Raw Entries'!$B$2:$B$1501,A93)</f>
        <v>2</v>
      </c>
      <c r="D93" s="6" t="n">
        <f aca="false">SUMIFS('Raw Entries'!$G$2:$G$1501,'Raw Entries'!$B$2:$B$1501,A93)</f>
        <v>7</v>
      </c>
      <c r="E93" s="8" t="n">
        <f aca="false">IFERROR(B93/C93,0)</f>
        <v>1050</v>
      </c>
    </row>
    <row r="94" customFormat="false" ht="15" hidden="false" customHeight="false" outlineLevel="0" collapsed="false">
      <c r="A94" s="7" t="n">
        <v>45022</v>
      </c>
      <c r="B94" s="8" t="n">
        <f aca="false">SUMIFS('Raw Entries'!$I$2:$I$1501,'Raw Entries'!$B$2:$B$1501,A94)</f>
        <v>1200</v>
      </c>
      <c r="C94" s="6" t="n">
        <f aca="false">COUNTIFS('Raw Entries'!$B$2:$B$1501,A94)</f>
        <v>1</v>
      </c>
      <c r="D94" s="6" t="n">
        <f aca="false">SUMIFS('Raw Entries'!$G$2:$G$1501,'Raw Entries'!$B$2:$B$1501,A94)</f>
        <v>4</v>
      </c>
      <c r="E94" s="8" t="n">
        <f aca="false">IFERROR(B94/C94,0)</f>
        <v>1200</v>
      </c>
    </row>
    <row r="95" customFormat="false" ht="15" hidden="false" customHeight="false" outlineLevel="0" collapsed="false">
      <c r="A95" s="7" t="n">
        <v>45024</v>
      </c>
      <c r="B95" s="8" t="n">
        <f aca="false">SUMIFS('Raw Entries'!$I$2:$I$1501,'Raw Entries'!$B$2:$B$1501,A95)</f>
        <v>2450</v>
      </c>
      <c r="C95" s="6" t="n">
        <f aca="false">COUNTIFS('Raw Entries'!$B$2:$B$1501,A95)</f>
        <v>5</v>
      </c>
      <c r="D95" s="6" t="n">
        <f aca="false">SUMIFS('Raw Entries'!$G$2:$G$1501,'Raw Entries'!$B$2:$B$1501,A95)</f>
        <v>15</v>
      </c>
      <c r="E95" s="8" t="n">
        <f aca="false">IFERROR(B95/C95,0)</f>
        <v>490</v>
      </c>
    </row>
    <row r="96" customFormat="false" ht="15" hidden="false" customHeight="false" outlineLevel="0" collapsed="false">
      <c r="A96" s="7" t="n">
        <v>45025</v>
      </c>
      <c r="B96" s="8" t="n">
        <f aca="false">SUMIFS('Raw Entries'!$I$2:$I$1501,'Raw Entries'!$B$2:$B$1501,A96)</f>
        <v>2235</v>
      </c>
      <c r="C96" s="6" t="n">
        <f aca="false">COUNTIFS('Raw Entries'!$B$2:$B$1501,A96)</f>
        <v>6</v>
      </c>
      <c r="D96" s="6" t="n">
        <f aca="false">SUMIFS('Raw Entries'!$G$2:$G$1501,'Raw Entries'!$B$2:$B$1501,A96)</f>
        <v>13</v>
      </c>
      <c r="E96" s="8" t="n">
        <f aca="false">IFERROR(B96/C96,0)</f>
        <v>372.5</v>
      </c>
    </row>
    <row r="97" customFormat="false" ht="15" hidden="false" customHeight="false" outlineLevel="0" collapsed="false">
      <c r="A97" s="7" t="n">
        <v>45026</v>
      </c>
      <c r="B97" s="8" t="n">
        <f aca="false">SUMIFS('Raw Entries'!$I$2:$I$1501,'Raw Entries'!$B$2:$B$1501,A97)</f>
        <v>60</v>
      </c>
      <c r="C97" s="6" t="n">
        <f aca="false">COUNTIFS('Raw Entries'!$B$2:$B$1501,A97)</f>
        <v>2</v>
      </c>
      <c r="D97" s="6" t="n">
        <f aca="false">SUMIFS('Raw Entries'!$G$2:$G$1501,'Raw Entries'!$B$2:$B$1501,A97)</f>
        <v>2</v>
      </c>
      <c r="E97" s="8" t="n">
        <f aca="false">IFERROR(B97/C97,0)</f>
        <v>30</v>
      </c>
    </row>
    <row r="98" customFormat="false" ht="15" hidden="false" customHeight="false" outlineLevel="0" collapsed="false">
      <c r="A98" s="7" t="n">
        <v>45027</v>
      </c>
      <c r="B98" s="8" t="n">
        <f aca="false">SUMIFS('Raw Entries'!$I$2:$I$1501,'Raw Entries'!$B$2:$B$1501,A98)</f>
        <v>50</v>
      </c>
      <c r="C98" s="6" t="n">
        <f aca="false">COUNTIFS('Raw Entries'!$B$2:$B$1501,A98)</f>
        <v>1</v>
      </c>
      <c r="D98" s="6" t="n">
        <f aca="false">SUMIFS('Raw Entries'!$G$2:$G$1501,'Raw Entries'!$B$2:$B$1501,A98)</f>
        <v>2</v>
      </c>
      <c r="E98" s="8" t="n">
        <f aca="false">IFERROR(B98/C98,0)</f>
        <v>50</v>
      </c>
    </row>
    <row r="99" customFormat="false" ht="15" hidden="false" customHeight="false" outlineLevel="0" collapsed="false">
      <c r="A99" s="7" t="n">
        <v>45028</v>
      </c>
      <c r="B99" s="8" t="n">
        <f aca="false">SUMIFS('Raw Entries'!$I$2:$I$1501,'Raw Entries'!$B$2:$B$1501,A99)</f>
        <v>1590</v>
      </c>
      <c r="C99" s="6" t="n">
        <f aca="false">COUNTIFS('Raw Entries'!$B$2:$B$1501,A99)</f>
        <v>5</v>
      </c>
      <c r="D99" s="6" t="n">
        <f aca="false">SUMIFS('Raw Entries'!$G$2:$G$1501,'Raw Entries'!$B$2:$B$1501,A99)</f>
        <v>13</v>
      </c>
      <c r="E99" s="8" t="n">
        <f aca="false">IFERROR(B99/C99,0)</f>
        <v>318</v>
      </c>
    </row>
    <row r="100" customFormat="false" ht="15" hidden="false" customHeight="false" outlineLevel="0" collapsed="false">
      <c r="A100" s="7" t="n">
        <v>45029</v>
      </c>
      <c r="B100" s="8" t="n">
        <f aca="false">SUMIFS('Raw Entries'!$I$2:$I$1501,'Raw Entries'!$B$2:$B$1501,A100)</f>
        <v>360</v>
      </c>
      <c r="C100" s="6" t="n">
        <f aca="false">COUNTIFS('Raw Entries'!$B$2:$B$1501,A100)</f>
        <v>3</v>
      </c>
      <c r="D100" s="6" t="n">
        <f aca="false">SUMIFS('Raw Entries'!$G$2:$G$1501,'Raw Entries'!$B$2:$B$1501,A100)</f>
        <v>8</v>
      </c>
      <c r="E100" s="8" t="n">
        <f aca="false">IFERROR(B100/C100,0)</f>
        <v>120</v>
      </c>
    </row>
    <row r="101" customFormat="false" ht="15" hidden="false" customHeight="false" outlineLevel="0" collapsed="false">
      <c r="A101" s="7" t="n">
        <v>45031</v>
      </c>
      <c r="B101" s="8" t="n">
        <f aca="false">SUMIFS('Raw Entries'!$I$2:$I$1501,'Raw Entries'!$B$2:$B$1501,A101)</f>
        <v>700</v>
      </c>
      <c r="C101" s="6" t="n">
        <f aca="false">COUNTIFS('Raw Entries'!$B$2:$B$1501,A101)</f>
        <v>2</v>
      </c>
      <c r="D101" s="6" t="n">
        <f aca="false">SUMIFS('Raw Entries'!$G$2:$G$1501,'Raw Entries'!$B$2:$B$1501,A101)</f>
        <v>5</v>
      </c>
      <c r="E101" s="8" t="n">
        <f aca="false">IFERROR(B101/C101,0)</f>
        <v>350</v>
      </c>
    </row>
    <row r="102" customFormat="false" ht="15" hidden="false" customHeight="false" outlineLevel="0" collapsed="false">
      <c r="A102" s="7" t="n">
        <v>45032</v>
      </c>
      <c r="B102" s="8" t="n">
        <f aca="false">SUMIFS('Raw Entries'!$I$2:$I$1501,'Raw Entries'!$B$2:$B$1501,A102)</f>
        <v>300</v>
      </c>
      <c r="C102" s="6" t="n">
        <f aca="false">COUNTIFS('Raw Entries'!$B$2:$B$1501,A102)</f>
        <v>1</v>
      </c>
      <c r="D102" s="6" t="n">
        <f aca="false">SUMIFS('Raw Entries'!$G$2:$G$1501,'Raw Entries'!$B$2:$B$1501,A102)</f>
        <v>1</v>
      </c>
      <c r="E102" s="8" t="n">
        <f aca="false">IFERROR(B102/C102,0)</f>
        <v>300</v>
      </c>
    </row>
    <row r="103" customFormat="false" ht="15" hidden="false" customHeight="false" outlineLevel="0" collapsed="false">
      <c r="A103" s="7" t="n">
        <v>45033</v>
      </c>
      <c r="B103" s="8" t="n">
        <f aca="false">SUMIFS('Raw Entries'!$I$2:$I$1501,'Raw Entries'!$B$2:$B$1501,A103)</f>
        <v>25</v>
      </c>
      <c r="C103" s="6" t="n">
        <f aca="false">COUNTIFS('Raw Entries'!$B$2:$B$1501,A103)</f>
        <v>1</v>
      </c>
      <c r="D103" s="6" t="n">
        <f aca="false">SUMIFS('Raw Entries'!$G$2:$G$1501,'Raw Entries'!$B$2:$B$1501,A103)</f>
        <v>1</v>
      </c>
      <c r="E103" s="8" t="n">
        <f aca="false">IFERROR(B103/C103,0)</f>
        <v>25</v>
      </c>
    </row>
    <row r="104" customFormat="false" ht="15" hidden="false" customHeight="false" outlineLevel="0" collapsed="false">
      <c r="A104" s="7" t="n">
        <v>45034</v>
      </c>
      <c r="B104" s="8" t="n">
        <f aca="false">SUMIFS('Raw Entries'!$I$2:$I$1501,'Raw Entries'!$B$2:$B$1501,A104)</f>
        <v>500</v>
      </c>
      <c r="C104" s="6" t="n">
        <f aca="false">COUNTIFS('Raw Entries'!$B$2:$B$1501,A104)</f>
        <v>4</v>
      </c>
      <c r="D104" s="6" t="n">
        <f aca="false">SUMIFS('Raw Entries'!$G$2:$G$1501,'Raw Entries'!$B$2:$B$1501,A104)</f>
        <v>9</v>
      </c>
      <c r="E104" s="8" t="n">
        <f aca="false">IFERROR(B104/C104,0)</f>
        <v>125</v>
      </c>
    </row>
    <row r="105" customFormat="false" ht="15" hidden="false" customHeight="false" outlineLevel="0" collapsed="false">
      <c r="A105" s="7" t="n">
        <v>45035</v>
      </c>
      <c r="B105" s="8" t="n">
        <f aca="false">SUMIFS('Raw Entries'!$I$2:$I$1501,'Raw Entries'!$B$2:$B$1501,A105)</f>
        <v>2725</v>
      </c>
      <c r="C105" s="6" t="n">
        <f aca="false">COUNTIFS('Raw Entries'!$B$2:$B$1501,A105)</f>
        <v>6</v>
      </c>
      <c r="D105" s="6" t="n">
        <f aca="false">SUMIFS('Raw Entries'!$G$2:$G$1501,'Raw Entries'!$B$2:$B$1501,A105)</f>
        <v>15</v>
      </c>
      <c r="E105" s="8" t="n">
        <f aca="false">IFERROR(B105/C105,0)</f>
        <v>454.166666666667</v>
      </c>
    </row>
    <row r="106" customFormat="false" ht="15" hidden="false" customHeight="false" outlineLevel="0" collapsed="false">
      <c r="A106" s="7" t="n">
        <v>45036</v>
      </c>
      <c r="B106" s="8" t="n">
        <f aca="false">SUMIFS('Raw Entries'!$I$2:$I$1501,'Raw Entries'!$B$2:$B$1501,A106)</f>
        <v>3375</v>
      </c>
      <c r="C106" s="6" t="n">
        <f aca="false">COUNTIFS('Raw Entries'!$B$2:$B$1501,A106)</f>
        <v>5</v>
      </c>
      <c r="D106" s="6" t="n">
        <f aca="false">SUMIFS('Raw Entries'!$G$2:$G$1501,'Raw Entries'!$B$2:$B$1501,A106)</f>
        <v>14</v>
      </c>
      <c r="E106" s="8" t="n">
        <f aca="false">IFERROR(B106/C106,0)</f>
        <v>675</v>
      </c>
    </row>
    <row r="107" customFormat="false" ht="15" hidden="false" customHeight="false" outlineLevel="0" collapsed="false">
      <c r="A107" s="7" t="n">
        <v>45037</v>
      </c>
      <c r="B107" s="8" t="n">
        <f aca="false">SUMIFS('Raw Entries'!$I$2:$I$1501,'Raw Entries'!$B$2:$B$1501,A107)</f>
        <v>170</v>
      </c>
      <c r="C107" s="6" t="n">
        <f aca="false">COUNTIFS('Raw Entries'!$B$2:$B$1501,A107)</f>
        <v>2</v>
      </c>
      <c r="D107" s="6" t="n">
        <f aca="false">SUMIFS('Raw Entries'!$G$2:$G$1501,'Raw Entries'!$B$2:$B$1501,A107)</f>
        <v>5</v>
      </c>
      <c r="E107" s="8" t="n">
        <f aca="false">IFERROR(B107/C107,0)</f>
        <v>85</v>
      </c>
    </row>
    <row r="108" customFormat="false" ht="15" hidden="false" customHeight="false" outlineLevel="0" collapsed="false">
      <c r="A108" s="7" t="n">
        <v>45038</v>
      </c>
      <c r="B108" s="8" t="n">
        <f aca="false">SUMIFS('Raw Entries'!$I$2:$I$1501,'Raw Entries'!$B$2:$B$1501,A108)</f>
        <v>225</v>
      </c>
      <c r="C108" s="6" t="n">
        <f aca="false">COUNTIFS('Raw Entries'!$B$2:$B$1501,A108)</f>
        <v>3</v>
      </c>
      <c r="D108" s="6" t="n">
        <f aca="false">SUMIFS('Raw Entries'!$G$2:$G$1501,'Raw Entries'!$B$2:$B$1501,A108)</f>
        <v>9</v>
      </c>
      <c r="E108" s="8" t="n">
        <f aca="false">IFERROR(B108/C108,0)</f>
        <v>75</v>
      </c>
    </row>
    <row r="109" customFormat="false" ht="15" hidden="false" customHeight="false" outlineLevel="0" collapsed="false">
      <c r="A109" s="7" t="n">
        <v>45039</v>
      </c>
      <c r="B109" s="8" t="n">
        <f aca="false">SUMIFS('Raw Entries'!$I$2:$I$1501,'Raw Entries'!$B$2:$B$1501,A109)</f>
        <v>2905</v>
      </c>
      <c r="C109" s="6" t="n">
        <f aca="false">COUNTIFS('Raw Entries'!$B$2:$B$1501,A109)</f>
        <v>7</v>
      </c>
      <c r="D109" s="6" t="n">
        <f aca="false">SUMIFS('Raw Entries'!$G$2:$G$1501,'Raw Entries'!$B$2:$B$1501,A109)</f>
        <v>15</v>
      </c>
      <c r="E109" s="8" t="n">
        <f aca="false">IFERROR(B109/C109,0)</f>
        <v>415</v>
      </c>
    </row>
    <row r="110" customFormat="false" ht="15" hidden="false" customHeight="false" outlineLevel="0" collapsed="false">
      <c r="A110" s="7" t="n">
        <v>45040</v>
      </c>
      <c r="B110" s="8" t="n">
        <f aca="false">SUMIFS('Raw Entries'!$I$2:$I$1501,'Raw Entries'!$B$2:$B$1501,A110)</f>
        <v>170</v>
      </c>
      <c r="C110" s="6" t="n">
        <f aca="false">COUNTIFS('Raw Entries'!$B$2:$B$1501,A110)</f>
        <v>2</v>
      </c>
      <c r="D110" s="6" t="n">
        <f aca="false">SUMIFS('Raw Entries'!$G$2:$G$1501,'Raw Entries'!$B$2:$B$1501,A110)</f>
        <v>6</v>
      </c>
      <c r="E110" s="8" t="n">
        <f aca="false">IFERROR(B110/C110,0)</f>
        <v>85</v>
      </c>
    </row>
    <row r="111" customFormat="false" ht="15" hidden="false" customHeight="false" outlineLevel="0" collapsed="false">
      <c r="A111" s="7" t="n">
        <v>45041</v>
      </c>
      <c r="B111" s="8" t="n">
        <f aca="false">SUMIFS('Raw Entries'!$I$2:$I$1501,'Raw Entries'!$B$2:$B$1501,A111)</f>
        <v>160</v>
      </c>
      <c r="C111" s="6" t="n">
        <f aca="false">COUNTIFS('Raw Entries'!$B$2:$B$1501,A111)</f>
        <v>3</v>
      </c>
      <c r="D111" s="6" t="n">
        <f aca="false">SUMIFS('Raw Entries'!$G$2:$G$1501,'Raw Entries'!$B$2:$B$1501,A111)</f>
        <v>4</v>
      </c>
      <c r="E111" s="8" t="n">
        <f aca="false">IFERROR(B111/C111,0)</f>
        <v>53.3333333333333</v>
      </c>
    </row>
    <row r="112" customFormat="false" ht="15" hidden="false" customHeight="false" outlineLevel="0" collapsed="false">
      <c r="A112" s="7" t="n">
        <v>45042</v>
      </c>
      <c r="B112" s="8" t="n">
        <f aca="false">SUMIFS('Raw Entries'!$I$2:$I$1501,'Raw Entries'!$B$2:$B$1501,A112)</f>
        <v>270</v>
      </c>
      <c r="C112" s="6" t="n">
        <f aca="false">COUNTIFS('Raw Entries'!$B$2:$B$1501,A112)</f>
        <v>3</v>
      </c>
      <c r="D112" s="6" t="n">
        <f aca="false">SUMIFS('Raw Entries'!$G$2:$G$1501,'Raw Entries'!$B$2:$B$1501,A112)</f>
        <v>9</v>
      </c>
      <c r="E112" s="8" t="n">
        <f aca="false">IFERROR(B112/C112,0)</f>
        <v>90</v>
      </c>
    </row>
    <row r="113" customFormat="false" ht="15" hidden="false" customHeight="false" outlineLevel="0" collapsed="false">
      <c r="A113" s="7" t="n">
        <v>45043</v>
      </c>
      <c r="B113" s="8" t="n">
        <f aca="false">SUMIFS('Raw Entries'!$I$2:$I$1501,'Raw Entries'!$B$2:$B$1501,A113)</f>
        <v>1430</v>
      </c>
      <c r="C113" s="6" t="n">
        <f aca="false">COUNTIFS('Raw Entries'!$B$2:$B$1501,A113)</f>
        <v>3</v>
      </c>
      <c r="D113" s="6" t="n">
        <f aca="false">SUMIFS('Raw Entries'!$G$2:$G$1501,'Raw Entries'!$B$2:$B$1501,A113)</f>
        <v>9</v>
      </c>
      <c r="E113" s="8" t="n">
        <f aca="false">IFERROR(B113/C113,0)</f>
        <v>476.666666666667</v>
      </c>
    </row>
    <row r="114" customFormat="false" ht="15" hidden="false" customHeight="false" outlineLevel="0" collapsed="false">
      <c r="A114" s="7" t="n">
        <v>45044</v>
      </c>
      <c r="B114" s="8" t="n">
        <f aca="false">SUMIFS('Raw Entries'!$I$2:$I$1501,'Raw Entries'!$B$2:$B$1501,A114)</f>
        <v>135</v>
      </c>
      <c r="C114" s="6" t="n">
        <f aca="false">COUNTIFS('Raw Entries'!$B$2:$B$1501,A114)</f>
        <v>3</v>
      </c>
      <c r="D114" s="6" t="n">
        <f aca="false">SUMIFS('Raw Entries'!$G$2:$G$1501,'Raw Entries'!$B$2:$B$1501,A114)</f>
        <v>5</v>
      </c>
      <c r="E114" s="8" t="n">
        <f aca="false">IFERROR(B114/C114,0)</f>
        <v>45</v>
      </c>
    </row>
    <row r="115" customFormat="false" ht="15" hidden="false" customHeight="false" outlineLevel="0" collapsed="false">
      <c r="A115" s="7" t="n">
        <v>45045</v>
      </c>
      <c r="B115" s="8" t="n">
        <f aca="false">SUMIFS('Raw Entries'!$I$2:$I$1501,'Raw Entries'!$B$2:$B$1501,A115)</f>
        <v>1960</v>
      </c>
      <c r="C115" s="6" t="n">
        <f aca="false">COUNTIFS('Raw Entries'!$B$2:$B$1501,A115)</f>
        <v>3</v>
      </c>
      <c r="D115" s="6" t="n">
        <f aca="false">SUMIFS('Raw Entries'!$G$2:$G$1501,'Raw Entries'!$B$2:$B$1501,A115)</f>
        <v>7</v>
      </c>
      <c r="E115" s="8" t="n">
        <f aca="false">IFERROR(B115/C115,0)</f>
        <v>653.333333333333</v>
      </c>
    </row>
    <row r="116" customFormat="false" ht="15" hidden="false" customHeight="false" outlineLevel="0" collapsed="false">
      <c r="A116" s="7" t="n">
        <v>45046</v>
      </c>
      <c r="B116" s="8" t="n">
        <f aca="false">SUMIFS('Raw Entries'!$I$2:$I$1501,'Raw Entries'!$B$2:$B$1501,A116)</f>
        <v>155</v>
      </c>
      <c r="C116" s="6" t="n">
        <f aca="false">COUNTIFS('Raw Entries'!$B$2:$B$1501,A116)</f>
        <v>3</v>
      </c>
      <c r="D116" s="6" t="n">
        <f aca="false">SUMIFS('Raw Entries'!$G$2:$G$1501,'Raw Entries'!$B$2:$B$1501,A116)</f>
        <v>6</v>
      </c>
      <c r="E116" s="8" t="n">
        <f aca="false">IFERROR(B116/C116,0)</f>
        <v>51.6666666666667</v>
      </c>
    </row>
    <row r="117" customFormat="false" ht="15" hidden="false" customHeight="false" outlineLevel="0" collapsed="false">
      <c r="A117" s="7" t="n">
        <v>45047</v>
      </c>
      <c r="B117" s="8" t="n">
        <f aca="false">SUMIFS('Raw Entries'!$I$2:$I$1501,'Raw Entries'!$B$2:$B$1501,A117)</f>
        <v>625</v>
      </c>
      <c r="C117" s="6" t="n">
        <f aca="false">COUNTIFS('Raw Entries'!$B$2:$B$1501,A117)</f>
        <v>3</v>
      </c>
      <c r="D117" s="6" t="n">
        <f aca="false">SUMIFS('Raw Entries'!$G$2:$G$1501,'Raw Entries'!$B$2:$B$1501,A117)</f>
        <v>4</v>
      </c>
      <c r="E117" s="8" t="n">
        <f aca="false">IFERROR(B117/C117,0)</f>
        <v>208.333333333333</v>
      </c>
    </row>
    <row r="118" customFormat="false" ht="15" hidden="false" customHeight="false" outlineLevel="0" collapsed="false">
      <c r="A118" s="7" t="n">
        <v>45048</v>
      </c>
      <c r="B118" s="8" t="n">
        <f aca="false">SUMIFS('Raw Entries'!$I$2:$I$1501,'Raw Entries'!$B$2:$B$1501,A118)</f>
        <v>165</v>
      </c>
      <c r="C118" s="6" t="n">
        <f aca="false">COUNTIFS('Raw Entries'!$B$2:$B$1501,A118)</f>
        <v>3</v>
      </c>
      <c r="D118" s="6" t="n">
        <f aca="false">SUMIFS('Raw Entries'!$G$2:$G$1501,'Raw Entries'!$B$2:$B$1501,A118)</f>
        <v>5</v>
      </c>
      <c r="E118" s="8" t="n">
        <f aca="false">IFERROR(B118/C118,0)</f>
        <v>55</v>
      </c>
    </row>
    <row r="119" customFormat="false" ht="15" hidden="false" customHeight="false" outlineLevel="0" collapsed="false">
      <c r="A119" s="7" t="n">
        <v>45049</v>
      </c>
      <c r="B119" s="8" t="n">
        <f aca="false">SUMIFS('Raw Entries'!$I$2:$I$1501,'Raw Entries'!$B$2:$B$1501,A119)</f>
        <v>300</v>
      </c>
      <c r="C119" s="6" t="n">
        <f aca="false">COUNTIFS('Raw Entries'!$B$2:$B$1501,A119)</f>
        <v>5</v>
      </c>
      <c r="D119" s="6" t="n">
        <f aca="false">SUMIFS('Raw Entries'!$G$2:$G$1501,'Raw Entries'!$B$2:$B$1501,A119)</f>
        <v>11</v>
      </c>
      <c r="E119" s="8" t="n">
        <f aca="false">IFERROR(B119/C119,0)</f>
        <v>60</v>
      </c>
    </row>
    <row r="120" customFormat="false" ht="15" hidden="false" customHeight="false" outlineLevel="0" collapsed="false">
      <c r="A120" s="7" t="n">
        <v>45050</v>
      </c>
      <c r="B120" s="8" t="n">
        <f aca="false">SUMIFS('Raw Entries'!$I$2:$I$1501,'Raw Entries'!$B$2:$B$1501,A120)</f>
        <v>1140</v>
      </c>
      <c r="C120" s="6" t="n">
        <f aca="false">COUNTIFS('Raw Entries'!$B$2:$B$1501,A120)</f>
        <v>3</v>
      </c>
      <c r="D120" s="6" t="n">
        <f aca="false">SUMIFS('Raw Entries'!$G$2:$G$1501,'Raw Entries'!$B$2:$B$1501,A120)</f>
        <v>7</v>
      </c>
      <c r="E120" s="8" t="n">
        <f aca="false">IFERROR(B120/C120,0)</f>
        <v>380</v>
      </c>
    </row>
    <row r="121" customFormat="false" ht="15" hidden="false" customHeight="false" outlineLevel="0" collapsed="false">
      <c r="A121" s="7" t="n">
        <v>45051</v>
      </c>
      <c r="B121" s="8" t="n">
        <f aca="false">SUMIFS('Raw Entries'!$I$2:$I$1501,'Raw Entries'!$B$2:$B$1501,A121)</f>
        <v>1520</v>
      </c>
      <c r="C121" s="6" t="n">
        <f aca="false">COUNTIFS('Raw Entries'!$B$2:$B$1501,A121)</f>
        <v>5</v>
      </c>
      <c r="D121" s="6" t="n">
        <f aca="false">SUMIFS('Raw Entries'!$G$2:$G$1501,'Raw Entries'!$B$2:$B$1501,A121)</f>
        <v>9</v>
      </c>
      <c r="E121" s="8" t="n">
        <f aca="false">IFERROR(B121/C121,0)</f>
        <v>304</v>
      </c>
    </row>
    <row r="122" customFormat="false" ht="15" hidden="false" customHeight="false" outlineLevel="0" collapsed="false">
      <c r="A122" s="7" t="n">
        <v>45052</v>
      </c>
      <c r="B122" s="8" t="n">
        <f aca="false">SUMIFS('Raw Entries'!$I$2:$I$1501,'Raw Entries'!$B$2:$B$1501,A122)</f>
        <v>990</v>
      </c>
      <c r="C122" s="6" t="n">
        <f aca="false">COUNTIFS('Raw Entries'!$B$2:$B$1501,A122)</f>
        <v>5</v>
      </c>
      <c r="D122" s="6" t="n">
        <f aca="false">SUMIFS('Raw Entries'!$G$2:$G$1501,'Raw Entries'!$B$2:$B$1501,A122)</f>
        <v>11</v>
      </c>
      <c r="E122" s="8" t="n">
        <f aca="false">IFERROR(B122/C122,0)</f>
        <v>198</v>
      </c>
    </row>
    <row r="123" customFormat="false" ht="15" hidden="false" customHeight="false" outlineLevel="0" collapsed="false">
      <c r="A123" s="7" t="n">
        <v>45053</v>
      </c>
      <c r="B123" s="8" t="n">
        <f aca="false">SUMIFS('Raw Entries'!$I$2:$I$1501,'Raw Entries'!$B$2:$B$1501,A123)</f>
        <v>995</v>
      </c>
      <c r="C123" s="6" t="n">
        <f aca="false">COUNTIFS('Raw Entries'!$B$2:$B$1501,A123)</f>
        <v>5</v>
      </c>
      <c r="D123" s="6" t="n">
        <f aca="false">SUMIFS('Raw Entries'!$G$2:$G$1501,'Raw Entries'!$B$2:$B$1501,A123)</f>
        <v>12</v>
      </c>
      <c r="E123" s="8" t="n">
        <f aca="false">IFERROR(B123/C123,0)</f>
        <v>199</v>
      </c>
    </row>
    <row r="124" customFormat="false" ht="15" hidden="false" customHeight="false" outlineLevel="0" collapsed="false">
      <c r="A124" s="7" t="n">
        <v>45054</v>
      </c>
      <c r="B124" s="8" t="n">
        <f aca="false">SUMIFS('Raw Entries'!$I$2:$I$1501,'Raw Entries'!$B$2:$B$1501,A124)</f>
        <v>4200</v>
      </c>
      <c r="C124" s="6" t="n">
        <f aca="false">COUNTIFS('Raw Entries'!$B$2:$B$1501,A124)</f>
        <v>6</v>
      </c>
      <c r="D124" s="6" t="n">
        <f aca="false">SUMIFS('Raw Entries'!$G$2:$G$1501,'Raw Entries'!$B$2:$B$1501,A124)</f>
        <v>15</v>
      </c>
      <c r="E124" s="8" t="n">
        <f aca="false">IFERROR(B124/C124,0)</f>
        <v>700</v>
      </c>
    </row>
    <row r="125" customFormat="false" ht="15" hidden="false" customHeight="false" outlineLevel="0" collapsed="false">
      <c r="A125" s="7" t="n">
        <v>45055</v>
      </c>
      <c r="B125" s="8" t="n">
        <f aca="false">SUMIFS('Raw Entries'!$I$2:$I$1501,'Raw Entries'!$B$2:$B$1501,A125)</f>
        <v>660</v>
      </c>
      <c r="C125" s="6" t="n">
        <f aca="false">COUNTIFS('Raw Entries'!$B$2:$B$1501,A125)</f>
        <v>3</v>
      </c>
      <c r="D125" s="6" t="n">
        <f aca="false">SUMIFS('Raw Entries'!$G$2:$G$1501,'Raw Entries'!$B$2:$B$1501,A125)</f>
        <v>7</v>
      </c>
      <c r="E125" s="8" t="n">
        <f aca="false">IFERROR(B125/C125,0)</f>
        <v>220</v>
      </c>
    </row>
    <row r="126" customFormat="false" ht="15" hidden="false" customHeight="false" outlineLevel="0" collapsed="false">
      <c r="A126" s="7" t="n">
        <v>45056</v>
      </c>
      <c r="B126" s="8" t="n">
        <f aca="false">SUMIFS('Raw Entries'!$I$2:$I$1501,'Raw Entries'!$B$2:$B$1501,A126)</f>
        <v>2200</v>
      </c>
      <c r="C126" s="6" t="n">
        <f aca="false">COUNTIFS('Raw Entries'!$B$2:$B$1501,A126)</f>
        <v>2</v>
      </c>
      <c r="D126" s="6" t="n">
        <f aca="false">SUMIFS('Raw Entries'!$G$2:$G$1501,'Raw Entries'!$B$2:$B$1501,A126)</f>
        <v>8</v>
      </c>
      <c r="E126" s="8" t="n">
        <f aca="false">IFERROR(B126/C126,0)</f>
        <v>1100</v>
      </c>
    </row>
    <row r="127" customFormat="false" ht="15" hidden="false" customHeight="false" outlineLevel="0" collapsed="false">
      <c r="A127" s="7" t="n">
        <v>45057</v>
      </c>
      <c r="B127" s="8" t="n">
        <f aca="false">SUMIFS('Raw Entries'!$I$2:$I$1501,'Raw Entries'!$B$2:$B$1501,A127)</f>
        <v>30</v>
      </c>
      <c r="C127" s="6" t="n">
        <f aca="false">COUNTIFS('Raw Entries'!$B$2:$B$1501,A127)</f>
        <v>1</v>
      </c>
      <c r="D127" s="6" t="n">
        <f aca="false">SUMIFS('Raw Entries'!$G$2:$G$1501,'Raw Entries'!$B$2:$B$1501,A127)</f>
        <v>1</v>
      </c>
      <c r="E127" s="8" t="n">
        <f aca="false">IFERROR(B127/C127,0)</f>
        <v>30</v>
      </c>
    </row>
    <row r="128" customFormat="false" ht="15" hidden="false" customHeight="false" outlineLevel="0" collapsed="false">
      <c r="A128" s="7" t="n">
        <v>45058</v>
      </c>
      <c r="B128" s="8" t="n">
        <f aca="false">SUMIFS('Raw Entries'!$I$2:$I$1501,'Raw Entries'!$B$2:$B$1501,A128)</f>
        <v>100</v>
      </c>
      <c r="C128" s="6" t="n">
        <f aca="false">COUNTIFS('Raw Entries'!$B$2:$B$1501,A128)</f>
        <v>1</v>
      </c>
      <c r="D128" s="6" t="n">
        <f aca="false">SUMIFS('Raw Entries'!$G$2:$G$1501,'Raw Entries'!$B$2:$B$1501,A128)</f>
        <v>4</v>
      </c>
      <c r="E128" s="8" t="n">
        <f aca="false">IFERROR(B128/C128,0)</f>
        <v>100</v>
      </c>
    </row>
    <row r="129" customFormat="false" ht="15" hidden="false" customHeight="false" outlineLevel="0" collapsed="false">
      <c r="A129" s="7" t="n">
        <v>45059</v>
      </c>
      <c r="B129" s="8" t="n">
        <f aca="false">SUMIFS('Raw Entries'!$I$2:$I$1501,'Raw Entries'!$B$2:$B$1501,A129)</f>
        <v>800</v>
      </c>
      <c r="C129" s="6" t="n">
        <f aca="false">COUNTIFS('Raw Entries'!$B$2:$B$1501,A129)</f>
        <v>2</v>
      </c>
      <c r="D129" s="6" t="n">
        <f aca="false">SUMIFS('Raw Entries'!$G$2:$G$1501,'Raw Entries'!$B$2:$B$1501,A129)</f>
        <v>6</v>
      </c>
      <c r="E129" s="8" t="n">
        <f aca="false">IFERROR(B129/C129,0)</f>
        <v>400</v>
      </c>
    </row>
    <row r="130" customFormat="false" ht="15" hidden="false" customHeight="false" outlineLevel="0" collapsed="false">
      <c r="A130" s="7" t="n">
        <v>45060</v>
      </c>
      <c r="B130" s="8" t="n">
        <f aca="false">SUMIFS('Raw Entries'!$I$2:$I$1501,'Raw Entries'!$B$2:$B$1501,A130)</f>
        <v>1060</v>
      </c>
      <c r="C130" s="6" t="n">
        <f aca="false">COUNTIFS('Raw Entries'!$B$2:$B$1501,A130)</f>
        <v>3</v>
      </c>
      <c r="D130" s="6" t="n">
        <f aca="false">SUMIFS('Raw Entries'!$G$2:$G$1501,'Raw Entries'!$B$2:$B$1501,A130)</f>
        <v>4</v>
      </c>
      <c r="E130" s="8" t="n">
        <f aca="false">IFERROR(B130/C130,0)</f>
        <v>353.333333333333</v>
      </c>
    </row>
    <row r="131" customFormat="false" ht="15" hidden="false" customHeight="false" outlineLevel="0" collapsed="false">
      <c r="A131" s="7" t="n">
        <v>45061</v>
      </c>
      <c r="B131" s="8" t="n">
        <f aca="false">SUMIFS('Raw Entries'!$I$2:$I$1501,'Raw Entries'!$B$2:$B$1501,A131)</f>
        <v>1680</v>
      </c>
      <c r="C131" s="6" t="n">
        <f aca="false">COUNTIFS('Raw Entries'!$B$2:$B$1501,A131)</f>
        <v>3</v>
      </c>
      <c r="D131" s="6" t="n">
        <f aca="false">SUMIFS('Raw Entries'!$G$2:$G$1501,'Raw Entries'!$B$2:$B$1501,A131)</f>
        <v>9</v>
      </c>
      <c r="E131" s="8" t="n">
        <f aca="false">IFERROR(B131/C131,0)</f>
        <v>560</v>
      </c>
    </row>
    <row r="132" customFormat="false" ht="15" hidden="false" customHeight="false" outlineLevel="0" collapsed="false">
      <c r="A132" s="7" t="n">
        <v>45062</v>
      </c>
      <c r="B132" s="8" t="n">
        <f aca="false">SUMIFS('Raw Entries'!$I$2:$I$1501,'Raw Entries'!$B$2:$B$1501,A132)</f>
        <v>7260</v>
      </c>
      <c r="C132" s="6" t="n">
        <f aca="false">COUNTIFS('Raw Entries'!$B$2:$B$1501,A132)</f>
        <v>11</v>
      </c>
      <c r="D132" s="6" t="n">
        <f aca="false">SUMIFS('Raw Entries'!$G$2:$G$1501,'Raw Entries'!$B$2:$B$1501,A132)</f>
        <v>26</v>
      </c>
      <c r="E132" s="8" t="n">
        <f aca="false">IFERROR(B132/C132,0)</f>
        <v>660</v>
      </c>
    </row>
    <row r="133" customFormat="false" ht="15" hidden="false" customHeight="false" outlineLevel="0" collapsed="false">
      <c r="A133" s="7" t="n">
        <v>45063</v>
      </c>
      <c r="B133" s="8" t="n">
        <f aca="false">SUMIFS('Raw Entries'!$I$2:$I$1501,'Raw Entries'!$B$2:$B$1501,A133)</f>
        <v>3050</v>
      </c>
      <c r="C133" s="6" t="n">
        <f aca="false">COUNTIFS('Raw Entries'!$B$2:$B$1501,A133)</f>
        <v>3</v>
      </c>
      <c r="D133" s="6" t="n">
        <f aca="false">SUMIFS('Raw Entries'!$G$2:$G$1501,'Raw Entries'!$B$2:$B$1501,A133)</f>
        <v>7</v>
      </c>
      <c r="E133" s="8" t="n">
        <f aca="false">IFERROR(B133/C133,0)</f>
        <v>1016.66666666667</v>
      </c>
    </row>
    <row r="134" customFormat="false" ht="15" hidden="false" customHeight="false" outlineLevel="0" collapsed="false">
      <c r="A134" s="7" t="n">
        <v>45064</v>
      </c>
      <c r="B134" s="8" t="n">
        <f aca="false">SUMIFS('Raw Entries'!$I$2:$I$1501,'Raw Entries'!$B$2:$B$1501,A134)</f>
        <v>550</v>
      </c>
      <c r="C134" s="6" t="n">
        <f aca="false">COUNTIFS('Raw Entries'!$B$2:$B$1501,A134)</f>
        <v>2</v>
      </c>
      <c r="D134" s="6" t="n">
        <f aca="false">SUMIFS('Raw Entries'!$G$2:$G$1501,'Raw Entries'!$B$2:$B$1501,A134)</f>
        <v>2</v>
      </c>
      <c r="E134" s="8" t="n">
        <f aca="false">IFERROR(B134/C134,0)</f>
        <v>275</v>
      </c>
    </row>
    <row r="135" customFormat="false" ht="15" hidden="false" customHeight="false" outlineLevel="0" collapsed="false">
      <c r="A135" s="7" t="n">
        <v>45065</v>
      </c>
      <c r="B135" s="8" t="n">
        <f aca="false">SUMIFS('Raw Entries'!$I$2:$I$1501,'Raw Entries'!$B$2:$B$1501,A135)</f>
        <v>1350</v>
      </c>
      <c r="C135" s="6" t="n">
        <f aca="false">COUNTIFS('Raw Entries'!$B$2:$B$1501,A135)</f>
        <v>3</v>
      </c>
      <c r="D135" s="6" t="n">
        <f aca="false">SUMIFS('Raw Entries'!$G$2:$G$1501,'Raw Entries'!$B$2:$B$1501,A135)</f>
        <v>5</v>
      </c>
      <c r="E135" s="8" t="n">
        <f aca="false">IFERROR(B135/C135,0)</f>
        <v>450</v>
      </c>
    </row>
    <row r="136" customFormat="false" ht="15" hidden="false" customHeight="false" outlineLevel="0" collapsed="false">
      <c r="A136" s="7" t="n">
        <v>45066</v>
      </c>
      <c r="B136" s="8" t="n">
        <f aca="false">SUMIFS('Raw Entries'!$I$2:$I$1501,'Raw Entries'!$B$2:$B$1501,A136)</f>
        <v>725</v>
      </c>
      <c r="C136" s="6" t="n">
        <f aca="false">COUNTIFS('Raw Entries'!$B$2:$B$1501,A136)</f>
        <v>3</v>
      </c>
      <c r="D136" s="6" t="n">
        <f aca="false">SUMIFS('Raw Entries'!$G$2:$G$1501,'Raw Entries'!$B$2:$B$1501,A136)</f>
        <v>7</v>
      </c>
      <c r="E136" s="8" t="n">
        <f aca="false">IFERROR(B136/C136,0)</f>
        <v>241.666666666667</v>
      </c>
    </row>
    <row r="137" customFormat="false" ht="15" hidden="false" customHeight="false" outlineLevel="0" collapsed="false">
      <c r="A137" s="7" t="n">
        <v>45067</v>
      </c>
      <c r="B137" s="8" t="n">
        <f aca="false">SUMIFS('Raw Entries'!$I$2:$I$1501,'Raw Entries'!$B$2:$B$1501,A137)</f>
        <v>2900</v>
      </c>
      <c r="C137" s="6" t="n">
        <f aca="false">COUNTIFS('Raw Entries'!$B$2:$B$1501,A137)</f>
        <v>3</v>
      </c>
      <c r="D137" s="6" t="n">
        <f aca="false">SUMIFS('Raw Entries'!$G$2:$G$1501,'Raw Entries'!$B$2:$B$1501,A137)</f>
        <v>7</v>
      </c>
      <c r="E137" s="8" t="n">
        <f aca="false">IFERROR(B137/C137,0)</f>
        <v>966.666666666667</v>
      </c>
    </row>
    <row r="138" customFormat="false" ht="15" hidden="false" customHeight="false" outlineLevel="0" collapsed="false">
      <c r="A138" s="7" t="n">
        <v>45068</v>
      </c>
      <c r="B138" s="8" t="n">
        <f aca="false">SUMIFS('Raw Entries'!$I$2:$I$1501,'Raw Entries'!$B$2:$B$1501,A138)</f>
        <v>1810</v>
      </c>
      <c r="C138" s="6" t="n">
        <f aca="false">COUNTIFS('Raw Entries'!$B$2:$B$1501,A138)</f>
        <v>4</v>
      </c>
      <c r="D138" s="6" t="n">
        <f aca="false">SUMIFS('Raw Entries'!$G$2:$G$1501,'Raw Entries'!$B$2:$B$1501,A138)</f>
        <v>14</v>
      </c>
      <c r="E138" s="8" t="n">
        <f aca="false">IFERROR(B138/C138,0)</f>
        <v>452.5</v>
      </c>
    </row>
    <row r="139" customFormat="false" ht="15" hidden="false" customHeight="false" outlineLevel="0" collapsed="false">
      <c r="A139" s="7" t="n">
        <v>45069</v>
      </c>
      <c r="B139" s="8" t="n">
        <f aca="false">SUMIFS('Raw Entries'!$I$2:$I$1501,'Raw Entries'!$B$2:$B$1501,A139)</f>
        <v>8455</v>
      </c>
      <c r="C139" s="6" t="n">
        <f aca="false">COUNTIFS('Raw Entries'!$B$2:$B$1501,A139)</f>
        <v>9</v>
      </c>
      <c r="D139" s="6" t="n">
        <f aca="false">SUMIFS('Raw Entries'!$G$2:$G$1501,'Raw Entries'!$B$2:$B$1501,A139)</f>
        <v>29</v>
      </c>
      <c r="E139" s="8" t="n">
        <f aca="false">IFERROR(B139/C139,0)</f>
        <v>939.444444444445</v>
      </c>
    </row>
    <row r="140" customFormat="false" ht="15" hidden="false" customHeight="false" outlineLevel="0" collapsed="false">
      <c r="A140" s="7" t="n">
        <v>45070</v>
      </c>
      <c r="B140" s="8" t="n">
        <f aca="false">SUMIFS('Raw Entries'!$I$2:$I$1501,'Raw Entries'!$B$2:$B$1501,A140)</f>
        <v>50</v>
      </c>
      <c r="C140" s="6" t="n">
        <f aca="false">COUNTIFS('Raw Entries'!$B$2:$B$1501,A140)</f>
        <v>1</v>
      </c>
      <c r="D140" s="6" t="n">
        <f aca="false">SUMIFS('Raw Entries'!$G$2:$G$1501,'Raw Entries'!$B$2:$B$1501,A140)</f>
        <v>2</v>
      </c>
      <c r="E140" s="8" t="n">
        <f aca="false">IFERROR(B140/C140,0)</f>
        <v>50</v>
      </c>
    </row>
    <row r="141" customFormat="false" ht="15" hidden="false" customHeight="false" outlineLevel="0" collapsed="false">
      <c r="A141" s="7" t="n">
        <v>45071</v>
      </c>
      <c r="B141" s="8" t="n">
        <f aca="false">SUMIFS('Raw Entries'!$I$2:$I$1501,'Raw Entries'!$B$2:$B$1501,A141)</f>
        <v>2600</v>
      </c>
      <c r="C141" s="6" t="n">
        <f aca="false">COUNTIFS('Raw Entries'!$B$2:$B$1501,A141)</f>
        <v>3</v>
      </c>
      <c r="D141" s="6" t="n">
        <f aca="false">SUMIFS('Raw Entries'!$G$2:$G$1501,'Raw Entries'!$B$2:$B$1501,A141)</f>
        <v>6</v>
      </c>
      <c r="E141" s="8" t="n">
        <f aca="false">IFERROR(B141/C141,0)</f>
        <v>866.666666666667</v>
      </c>
    </row>
    <row r="142" customFormat="false" ht="15" hidden="false" customHeight="false" outlineLevel="0" collapsed="false">
      <c r="A142" s="7" t="n">
        <v>45072</v>
      </c>
      <c r="B142" s="8" t="n">
        <f aca="false">SUMIFS('Raw Entries'!$I$2:$I$1501,'Raw Entries'!$B$2:$B$1501,A142)</f>
        <v>2020</v>
      </c>
      <c r="C142" s="6" t="n">
        <f aca="false">COUNTIFS('Raw Entries'!$B$2:$B$1501,A142)</f>
        <v>3</v>
      </c>
      <c r="D142" s="6" t="n">
        <f aca="false">SUMIFS('Raw Entries'!$G$2:$G$1501,'Raw Entries'!$B$2:$B$1501,A142)</f>
        <v>9</v>
      </c>
      <c r="E142" s="8" t="n">
        <f aca="false">IFERROR(B142/C142,0)</f>
        <v>673.333333333333</v>
      </c>
    </row>
    <row r="143" customFormat="false" ht="15" hidden="false" customHeight="false" outlineLevel="0" collapsed="false">
      <c r="A143" s="7" t="n">
        <v>45073</v>
      </c>
      <c r="B143" s="8" t="n">
        <f aca="false">SUMIFS('Raw Entries'!$I$2:$I$1501,'Raw Entries'!$B$2:$B$1501,A143)</f>
        <v>2200</v>
      </c>
      <c r="C143" s="6" t="n">
        <f aca="false">COUNTIFS('Raw Entries'!$B$2:$B$1501,A143)</f>
        <v>3</v>
      </c>
      <c r="D143" s="6" t="n">
        <f aca="false">SUMIFS('Raw Entries'!$G$2:$G$1501,'Raw Entries'!$B$2:$B$1501,A143)</f>
        <v>9</v>
      </c>
      <c r="E143" s="8" t="n">
        <f aca="false">IFERROR(B143/C143,0)</f>
        <v>733.333333333333</v>
      </c>
    </row>
    <row r="144" customFormat="false" ht="15" hidden="false" customHeight="false" outlineLevel="0" collapsed="false">
      <c r="A144" s="7" t="n">
        <v>45074</v>
      </c>
      <c r="B144" s="8" t="n">
        <f aca="false">SUMIFS('Raw Entries'!$I$2:$I$1501,'Raw Entries'!$B$2:$B$1501,A144)</f>
        <v>75</v>
      </c>
      <c r="C144" s="6" t="n">
        <f aca="false">COUNTIFS('Raw Entries'!$B$2:$B$1501,A144)</f>
        <v>1</v>
      </c>
      <c r="D144" s="6" t="n">
        <f aca="false">SUMIFS('Raw Entries'!$G$2:$G$1501,'Raw Entries'!$B$2:$B$1501,A144)</f>
        <v>3</v>
      </c>
      <c r="E144" s="8" t="n">
        <f aca="false">IFERROR(B144/C144,0)</f>
        <v>75</v>
      </c>
    </row>
    <row r="145" customFormat="false" ht="15" hidden="false" customHeight="false" outlineLevel="0" collapsed="false">
      <c r="A145" s="7" t="n">
        <v>45075</v>
      </c>
      <c r="B145" s="8" t="n">
        <f aca="false">SUMIFS('Raw Entries'!$I$2:$I$1501,'Raw Entries'!$B$2:$B$1501,A145)</f>
        <v>1200</v>
      </c>
      <c r="C145" s="6" t="n">
        <f aca="false">COUNTIFS('Raw Entries'!$B$2:$B$1501,A145)</f>
        <v>1</v>
      </c>
      <c r="D145" s="6" t="n">
        <f aca="false">SUMIFS('Raw Entries'!$G$2:$G$1501,'Raw Entries'!$B$2:$B$1501,A145)</f>
        <v>4</v>
      </c>
      <c r="E145" s="8" t="n">
        <f aca="false">IFERROR(B145/C145,0)</f>
        <v>1200</v>
      </c>
    </row>
    <row r="146" customFormat="false" ht="15" hidden="false" customHeight="false" outlineLevel="0" collapsed="false">
      <c r="A146" s="7" t="n">
        <v>45076</v>
      </c>
      <c r="B146" s="8" t="n">
        <f aca="false">SUMIFS('Raw Entries'!$I$2:$I$1501,'Raw Entries'!$B$2:$B$1501,A146)</f>
        <v>140</v>
      </c>
      <c r="C146" s="6" t="n">
        <f aca="false">COUNTIFS('Raw Entries'!$B$2:$B$1501,A146)</f>
        <v>2</v>
      </c>
      <c r="D146" s="6" t="n">
        <f aca="false">SUMIFS('Raw Entries'!$G$2:$G$1501,'Raw Entries'!$B$2:$B$1501,A146)</f>
        <v>5</v>
      </c>
      <c r="E146" s="8" t="n">
        <f aca="false">IFERROR(B146/C146,0)</f>
        <v>70</v>
      </c>
    </row>
    <row r="147" customFormat="false" ht="15" hidden="false" customHeight="false" outlineLevel="0" collapsed="false">
      <c r="A147" s="7" t="n">
        <v>45077</v>
      </c>
      <c r="B147" s="8" t="n">
        <f aca="false">SUMIFS('Raw Entries'!$I$2:$I$1501,'Raw Entries'!$B$2:$B$1501,A147)</f>
        <v>2300</v>
      </c>
      <c r="C147" s="6" t="n">
        <f aca="false">COUNTIFS('Raw Entries'!$B$2:$B$1501,A147)</f>
        <v>3</v>
      </c>
      <c r="D147" s="6" t="n">
        <f aca="false">SUMIFS('Raw Entries'!$G$2:$G$1501,'Raw Entries'!$B$2:$B$1501,A147)</f>
        <v>11</v>
      </c>
      <c r="E147" s="8" t="n">
        <f aca="false">IFERROR(B147/C147,0)</f>
        <v>766.666666666667</v>
      </c>
    </row>
    <row r="148" customFormat="false" ht="15" hidden="false" customHeight="false" outlineLevel="0" collapsed="false">
      <c r="A148" s="7" t="n">
        <v>45078</v>
      </c>
      <c r="B148" s="8" t="n">
        <f aca="false">SUMIFS('Raw Entries'!$I$2:$I$1501,'Raw Entries'!$B$2:$B$1501,A148)</f>
        <v>160</v>
      </c>
      <c r="C148" s="6" t="n">
        <f aca="false">COUNTIFS('Raw Entries'!$B$2:$B$1501,A148)</f>
        <v>3</v>
      </c>
      <c r="D148" s="6" t="n">
        <f aca="false">SUMIFS('Raw Entries'!$G$2:$G$1501,'Raw Entries'!$B$2:$B$1501,A148)</f>
        <v>5</v>
      </c>
      <c r="E148" s="8" t="n">
        <f aca="false">IFERROR(B148/C148,0)</f>
        <v>53.3333333333333</v>
      </c>
    </row>
    <row r="149" customFormat="false" ht="15" hidden="false" customHeight="false" outlineLevel="0" collapsed="false">
      <c r="A149" s="7" t="n">
        <v>45079</v>
      </c>
      <c r="B149" s="8" t="n">
        <f aca="false">SUMIFS('Raw Entries'!$I$2:$I$1501,'Raw Entries'!$B$2:$B$1501,A149)</f>
        <v>150</v>
      </c>
      <c r="C149" s="6" t="n">
        <f aca="false">COUNTIFS('Raw Entries'!$B$2:$B$1501,A149)</f>
        <v>3</v>
      </c>
      <c r="D149" s="6" t="n">
        <f aca="false">SUMIFS('Raw Entries'!$G$2:$G$1501,'Raw Entries'!$B$2:$B$1501,A149)</f>
        <v>6</v>
      </c>
      <c r="E149" s="8" t="n">
        <f aca="false">IFERROR(B149/C149,0)</f>
        <v>50</v>
      </c>
    </row>
    <row r="150" customFormat="false" ht="15" hidden="false" customHeight="false" outlineLevel="0" collapsed="false">
      <c r="A150" s="7" t="n">
        <v>45080</v>
      </c>
      <c r="B150" s="8" t="n">
        <f aca="false">SUMIFS('Raw Entries'!$I$2:$I$1501,'Raw Entries'!$B$2:$B$1501,A150)</f>
        <v>1025</v>
      </c>
      <c r="C150" s="6" t="n">
        <f aca="false">COUNTIFS('Raw Entries'!$B$2:$B$1501,A150)</f>
        <v>3</v>
      </c>
      <c r="D150" s="6" t="n">
        <f aca="false">SUMIFS('Raw Entries'!$G$2:$G$1501,'Raw Entries'!$B$2:$B$1501,A150)</f>
        <v>3</v>
      </c>
      <c r="E150" s="8" t="n">
        <f aca="false">IFERROR(B150/C150,0)</f>
        <v>341.666666666667</v>
      </c>
    </row>
    <row r="151" customFormat="false" ht="15" hidden="false" customHeight="false" outlineLevel="0" collapsed="false">
      <c r="A151" s="7" t="n">
        <v>45081</v>
      </c>
      <c r="B151" s="8" t="n">
        <f aca="false">SUMIFS('Raw Entries'!$I$2:$I$1501,'Raw Entries'!$B$2:$B$1501,A151)</f>
        <v>1030</v>
      </c>
      <c r="C151" s="6" t="n">
        <f aca="false">COUNTIFS('Raw Entries'!$B$2:$B$1501,A151)</f>
        <v>4</v>
      </c>
      <c r="D151" s="6" t="n">
        <f aca="false">SUMIFS('Raw Entries'!$G$2:$G$1501,'Raw Entries'!$B$2:$B$1501,A151)</f>
        <v>6</v>
      </c>
      <c r="E151" s="8" t="n">
        <f aca="false">IFERROR(B151/C151,0)</f>
        <v>257.5</v>
      </c>
    </row>
    <row r="152" customFormat="false" ht="15" hidden="false" customHeight="false" outlineLevel="0" collapsed="false">
      <c r="A152" s="7" t="n">
        <v>45082</v>
      </c>
      <c r="B152" s="8" t="n">
        <f aca="false">SUMIFS('Raw Entries'!$I$2:$I$1501,'Raw Entries'!$B$2:$B$1501,A152)</f>
        <v>100</v>
      </c>
      <c r="C152" s="6" t="n">
        <f aca="false">COUNTIFS('Raw Entries'!$B$2:$B$1501,A152)</f>
        <v>2</v>
      </c>
      <c r="D152" s="6" t="n">
        <f aca="false">SUMIFS('Raw Entries'!$G$2:$G$1501,'Raw Entries'!$B$2:$B$1501,A152)</f>
        <v>3</v>
      </c>
      <c r="E152" s="8" t="n">
        <f aca="false">IFERROR(B152/C152,0)</f>
        <v>50</v>
      </c>
    </row>
    <row r="153" customFormat="false" ht="15" hidden="false" customHeight="false" outlineLevel="0" collapsed="false">
      <c r="A153" s="7" t="n">
        <v>45083</v>
      </c>
      <c r="B153" s="8" t="n">
        <f aca="false">SUMIFS('Raw Entries'!$I$2:$I$1501,'Raw Entries'!$B$2:$B$1501,A153)</f>
        <v>1950</v>
      </c>
      <c r="C153" s="6" t="n">
        <f aca="false">COUNTIFS('Raw Entries'!$B$2:$B$1501,A153)</f>
        <v>4</v>
      </c>
      <c r="D153" s="6" t="n">
        <f aca="false">SUMIFS('Raw Entries'!$G$2:$G$1501,'Raw Entries'!$B$2:$B$1501,A153)</f>
        <v>11</v>
      </c>
      <c r="E153" s="8" t="n">
        <f aca="false">IFERROR(B153/C153,0)</f>
        <v>487.5</v>
      </c>
    </row>
    <row r="154" customFormat="false" ht="15" hidden="false" customHeight="false" outlineLevel="0" collapsed="false">
      <c r="A154" s="7" t="n">
        <v>45084</v>
      </c>
      <c r="B154" s="8" t="n">
        <f aca="false">SUMIFS('Raw Entries'!$I$2:$I$1501,'Raw Entries'!$B$2:$B$1501,A154)</f>
        <v>150</v>
      </c>
      <c r="C154" s="6" t="n">
        <f aca="false">COUNTIFS('Raw Entries'!$B$2:$B$1501,A154)</f>
        <v>2</v>
      </c>
      <c r="D154" s="6" t="n">
        <f aca="false">SUMIFS('Raw Entries'!$G$2:$G$1501,'Raw Entries'!$B$2:$B$1501,A154)</f>
        <v>3</v>
      </c>
      <c r="E154" s="8" t="n">
        <f aca="false">IFERROR(B154/C154,0)</f>
        <v>75</v>
      </c>
    </row>
    <row r="155" customFormat="false" ht="15" hidden="false" customHeight="false" outlineLevel="0" collapsed="false">
      <c r="A155" s="7" t="n">
        <v>45085</v>
      </c>
      <c r="B155" s="8" t="n">
        <f aca="false">SUMIFS('Raw Entries'!$I$2:$I$1501,'Raw Entries'!$B$2:$B$1501,A155)</f>
        <v>1700</v>
      </c>
      <c r="C155" s="6" t="n">
        <f aca="false">COUNTIFS('Raw Entries'!$B$2:$B$1501,A155)</f>
        <v>2</v>
      </c>
      <c r="D155" s="6" t="n">
        <f aca="false">SUMIFS('Raw Entries'!$G$2:$G$1501,'Raw Entries'!$B$2:$B$1501,A155)</f>
        <v>5</v>
      </c>
      <c r="E155" s="8" t="n">
        <f aca="false">IFERROR(B155/C155,0)</f>
        <v>850</v>
      </c>
    </row>
    <row r="156" customFormat="false" ht="15" hidden="false" customHeight="false" outlineLevel="0" collapsed="false">
      <c r="A156" s="7" t="n">
        <v>45086</v>
      </c>
      <c r="B156" s="8" t="n">
        <f aca="false">SUMIFS('Raw Entries'!$I$2:$I$1501,'Raw Entries'!$B$2:$B$1501,A156)</f>
        <v>1820</v>
      </c>
      <c r="C156" s="6" t="n">
        <f aca="false">COUNTIFS('Raw Entries'!$B$2:$B$1501,A156)</f>
        <v>3</v>
      </c>
      <c r="D156" s="6" t="n">
        <f aca="false">SUMIFS('Raw Entries'!$G$2:$G$1501,'Raw Entries'!$B$2:$B$1501,A156)</f>
        <v>11</v>
      </c>
      <c r="E156" s="8" t="n">
        <f aca="false">IFERROR(B156/C156,0)</f>
        <v>606.666666666667</v>
      </c>
    </row>
    <row r="157" customFormat="false" ht="15" hidden="false" customHeight="false" outlineLevel="0" collapsed="false">
      <c r="A157" s="7" t="n">
        <v>45087</v>
      </c>
      <c r="B157" s="8" t="n">
        <f aca="false">SUMIFS('Raw Entries'!$I$2:$I$1501,'Raw Entries'!$B$2:$B$1501,A157)</f>
        <v>2750</v>
      </c>
      <c r="C157" s="6" t="n">
        <f aca="false">COUNTIFS('Raw Entries'!$B$2:$B$1501,A157)</f>
        <v>4</v>
      </c>
      <c r="D157" s="6" t="n">
        <f aca="false">SUMIFS('Raw Entries'!$G$2:$G$1501,'Raw Entries'!$B$2:$B$1501,A157)</f>
        <v>11</v>
      </c>
      <c r="E157" s="8" t="n">
        <f aca="false">IFERROR(B157/C157,0)</f>
        <v>687.5</v>
      </c>
    </row>
    <row r="158" customFormat="false" ht="15" hidden="false" customHeight="false" outlineLevel="0" collapsed="false">
      <c r="A158" s="7" t="n">
        <v>45088</v>
      </c>
      <c r="B158" s="8" t="n">
        <f aca="false">SUMIFS('Raw Entries'!$I$2:$I$1501,'Raw Entries'!$B$2:$B$1501,A158)</f>
        <v>3300</v>
      </c>
      <c r="C158" s="6" t="n">
        <f aca="false">COUNTIFS('Raw Entries'!$B$2:$B$1501,A158)</f>
        <v>5</v>
      </c>
      <c r="D158" s="6" t="n">
        <f aca="false">SUMIFS('Raw Entries'!$G$2:$G$1501,'Raw Entries'!$B$2:$B$1501,A158)</f>
        <v>12</v>
      </c>
      <c r="E158" s="8" t="n">
        <f aca="false">IFERROR(B158/C158,0)</f>
        <v>660</v>
      </c>
    </row>
    <row r="159" customFormat="false" ht="15" hidden="false" customHeight="false" outlineLevel="0" collapsed="false">
      <c r="A159" s="7" t="n">
        <v>45089</v>
      </c>
      <c r="B159" s="8" t="n">
        <f aca="false">SUMIFS('Raw Entries'!$I$2:$I$1501,'Raw Entries'!$B$2:$B$1501,A159)</f>
        <v>50</v>
      </c>
      <c r="C159" s="6" t="n">
        <f aca="false">COUNTIFS('Raw Entries'!$B$2:$B$1501,A159)</f>
        <v>1</v>
      </c>
      <c r="D159" s="6" t="n">
        <f aca="false">SUMIFS('Raw Entries'!$G$2:$G$1501,'Raw Entries'!$B$2:$B$1501,A159)</f>
        <v>2</v>
      </c>
      <c r="E159" s="8" t="n">
        <f aca="false">IFERROR(B159/C159,0)</f>
        <v>50</v>
      </c>
    </row>
    <row r="160" customFormat="false" ht="15" hidden="false" customHeight="false" outlineLevel="0" collapsed="false">
      <c r="A160" s="7" t="n">
        <v>45090</v>
      </c>
      <c r="B160" s="8" t="n">
        <f aca="false">SUMIFS('Raw Entries'!$I$2:$I$1501,'Raw Entries'!$B$2:$B$1501,A160)</f>
        <v>500</v>
      </c>
      <c r="C160" s="6" t="n">
        <f aca="false">COUNTIFS('Raw Entries'!$B$2:$B$1501,A160)</f>
        <v>1</v>
      </c>
      <c r="D160" s="6" t="n">
        <f aca="false">SUMIFS('Raw Entries'!$G$2:$G$1501,'Raw Entries'!$B$2:$B$1501,A160)</f>
        <v>1</v>
      </c>
      <c r="E160" s="8" t="n">
        <f aca="false">IFERROR(B160/C160,0)</f>
        <v>500</v>
      </c>
    </row>
    <row r="161" customFormat="false" ht="15" hidden="false" customHeight="false" outlineLevel="0" collapsed="false">
      <c r="A161" s="7" t="n">
        <v>45091</v>
      </c>
      <c r="B161" s="8" t="n">
        <f aca="false">SUMIFS('Raw Entries'!$I$2:$I$1501,'Raw Entries'!$B$2:$B$1501,A161)</f>
        <v>900</v>
      </c>
      <c r="C161" s="6" t="n">
        <f aca="false">COUNTIFS('Raw Entries'!$B$2:$B$1501,A161)</f>
        <v>1</v>
      </c>
      <c r="D161" s="6" t="n">
        <f aca="false">SUMIFS('Raw Entries'!$G$2:$G$1501,'Raw Entries'!$B$2:$B$1501,A161)</f>
        <v>3</v>
      </c>
      <c r="E161" s="8" t="n">
        <f aca="false">IFERROR(B161/C161,0)</f>
        <v>900</v>
      </c>
    </row>
    <row r="162" customFormat="false" ht="15" hidden="false" customHeight="false" outlineLevel="0" collapsed="false">
      <c r="A162" s="7" t="n">
        <v>45092</v>
      </c>
      <c r="B162" s="8" t="n">
        <f aca="false">SUMIFS('Raw Entries'!$I$2:$I$1501,'Raw Entries'!$B$2:$B$1501,A162)</f>
        <v>220</v>
      </c>
      <c r="C162" s="6" t="n">
        <f aca="false">COUNTIFS('Raw Entries'!$B$2:$B$1501,A162)</f>
        <v>2</v>
      </c>
      <c r="D162" s="6" t="n">
        <f aca="false">SUMIFS('Raw Entries'!$G$2:$G$1501,'Raw Entries'!$B$2:$B$1501,A162)</f>
        <v>6</v>
      </c>
      <c r="E162" s="8" t="n">
        <f aca="false">IFERROR(B162/C162,0)</f>
        <v>110</v>
      </c>
    </row>
    <row r="163" customFormat="false" ht="15" hidden="false" customHeight="false" outlineLevel="0" collapsed="false">
      <c r="A163" s="7" t="n">
        <v>45093</v>
      </c>
      <c r="B163" s="8" t="n">
        <f aca="false">SUMIFS('Raw Entries'!$I$2:$I$1501,'Raw Entries'!$B$2:$B$1501,A163)</f>
        <v>230</v>
      </c>
      <c r="C163" s="6" t="n">
        <f aca="false">COUNTIFS('Raw Entries'!$B$2:$B$1501,A163)</f>
        <v>2</v>
      </c>
      <c r="D163" s="6" t="n">
        <f aca="false">SUMIFS('Raw Entries'!$G$2:$G$1501,'Raw Entries'!$B$2:$B$1501,A163)</f>
        <v>5</v>
      </c>
      <c r="E163" s="8" t="n">
        <f aca="false">IFERROR(B163/C163,0)</f>
        <v>115</v>
      </c>
    </row>
    <row r="164" customFormat="false" ht="15" hidden="false" customHeight="false" outlineLevel="0" collapsed="false">
      <c r="A164" s="7" t="n">
        <v>45094</v>
      </c>
      <c r="B164" s="8" t="n">
        <f aca="false">SUMIFS('Raw Entries'!$I$2:$I$1501,'Raw Entries'!$B$2:$B$1501,A164)</f>
        <v>1450</v>
      </c>
      <c r="C164" s="6" t="n">
        <f aca="false">COUNTIFS('Raw Entries'!$B$2:$B$1501,A164)</f>
        <v>3</v>
      </c>
      <c r="D164" s="6" t="n">
        <f aca="false">SUMIFS('Raw Entries'!$G$2:$G$1501,'Raw Entries'!$B$2:$B$1501,A164)</f>
        <v>9</v>
      </c>
      <c r="E164" s="8" t="n">
        <f aca="false">IFERROR(B164/C164,0)</f>
        <v>483.333333333333</v>
      </c>
    </row>
    <row r="165" customFormat="false" ht="15" hidden="false" customHeight="false" outlineLevel="0" collapsed="false">
      <c r="A165" s="7" t="n">
        <v>45095</v>
      </c>
      <c r="B165" s="8" t="n">
        <f aca="false">SUMIFS('Raw Entries'!$I$2:$I$1501,'Raw Entries'!$B$2:$B$1501,A165)</f>
        <v>900</v>
      </c>
      <c r="C165" s="6" t="n">
        <f aca="false">COUNTIFS('Raw Entries'!$B$2:$B$1501,A165)</f>
        <v>1</v>
      </c>
      <c r="D165" s="6" t="n">
        <f aca="false">SUMIFS('Raw Entries'!$G$2:$G$1501,'Raw Entries'!$B$2:$B$1501,A165)</f>
        <v>3</v>
      </c>
      <c r="E165" s="8" t="n">
        <f aca="false">IFERROR(B165/C165,0)</f>
        <v>900</v>
      </c>
    </row>
    <row r="166" customFormat="false" ht="15" hidden="false" customHeight="false" outlineLevel="0" collapsed="false">
      <c r="A166" s="7" t="n">
        <v>45096</v>
      </c>
      <c r="B166" s="8" t="n">
        <f aca="false">SUMIFS('Raw Entries'!$I$2:$I$1501,'Raw Entries'!$B$2:$B$1501,A166)</f>
        <v>2945</v>
      </c>
      <c r="C166" s="6" t="n">
        <f aca="false">COUNTIFS('Raw Entries'!$B$2:$B$1501,A166)</f>
        <v>5</v>
      </c>
      <c r="D166" s="6" t="n">
        <f aca="false">SUMIFS('Raw Entries'!$G$2:$G$1501,'Raw Entries'!$B$2:$B$1501,A166)</f>
        <v>16</v>
      </c>
      <c r="E166" s="8" t="n">
        <f aca="false">IFERROR(B166/C166,0)</f>
        <v>589</v>
      </c>
    </row>
    <row r="167" customFormat="false" ht="15" hidden="false" customHeight="false" outlineLevel="0" collapsed="false">
      <c r="A167" s="7" t="n">
        <v>45097</v>
      </c>
      <c r="B167" s="8" t="n">
        <f aca="false">SUMIFS('Raw Entries'!$I$2:$I$1501,'Raw Entries'!$B$2:$B$1501,A167)</f>
        <v>190</v>
      </c>
      <c r="C167" s="6" t="n">
        <f aca="false">COUNTIFS('Raw Entries'!$B$2:$B$1501,A167)</f>
        <v>2</v>
      </c>
      <c r="D167" s="6" t="n">
        <f aca="false">SUMIFS('Raw Entries'!$G$2:$G$1501,'Raw Entries'!$B$2:$B$1501,A167)</f>
        <v>7</v>
      </c>
      <c r="E167" s="8" t="n">
        <f aca="false">IFERROR(B167/C167,0)</f>
        <v>95</v>
      </c>
    </row>
    <row r="168" customFormat="false" ht="15" hidden="false" customHeight="false" outlineLevel="0" collapsed="false">
      <c r="A168" s="7" t="n">
        <v>45098</v>
      </c>
      <c r="B168" s="8" t="n">
        <f aca="false">SUMIFS('Raw Entries'!$I$2:$I$1501,'Raw Entries'!$B$2:$B$1501,A168)</f>
        <v>175</v>
      </c>
      <c r="C168" s="6" t="n">
        <f aca="false">COUNTIFS('Raw Entries'!$B$2:$B$1501,A168)</f>
        <v>2</v>
      </c>
      <c r="D168" s="6" t="n">
        <f aca="false">SUMIFS('Raw Entries'!$G$2:$G$1501,'Raw Entries'!$B$2:$B$1501,A168)</f>
        <v>7</v>
      </c>
      <c r="E168" s="8" t="n">
        <f aca="false">IFERROR(B168/C168,0)</f>
        <v>87.5</v>
      </c>
    </row>
    <row r="169" customFormat="false" ht="15" hidden="false" customHeight="false" outlineLevel="0" collapsed="false">
      <c r="A169" s="7" t="n">
        <v>45099</v>
      </c>
      <c r="B169" s="8" t="n">
        <f aca="false">SUMIFS('Raw Entries'!$I$2:$I$1501,'Raw Entries'!$B$2:$B$1501,A169)</f>
        <v>1220</v>
      </c>
      <c r="C169" s="6" t="n">
        <f aca="false">COUNTIFS('Raw Entries'!$B$2:$B$1501,A169)</f>
        <v>4</v>
      </c>
      <c r="D169" s="6" t="n">
        <f aca="false">SUMIFS('Raw Entries'!$G$2:$G$1501,'Raw Entries'!$B$2:$B$1501,A169)</f>
        <v>11</v>
      </c>
      <c r="E169" s="8" t="n">
        <f aca="false">IFERROR(B169/C169,0)</f>
        <v>305</v>
      </c>
    </row>
    <row r="170" customFormat="false" ht="15" hidden="false" customHeight="false" outlineLevel="0" collapsed="false">
      <c r="A170" s="7" t="n">
        <v>45100</v>
      </c>
      <c r="B170" s="8" t="n">
        <f aca="false">SUMIFS('Raw Entries'!$I$2:$I$1501,'Raw Entries'!$B$2:$B$1501,A170)</f>
        <v>170</v>
      </c>
      <c r="C170" s="6" t="n">
        <f aca="false">COUNTIFS('Raw Entries'!$B$2:$B$1501,A170)</f>
        <v>2</v>
      </c>
      <c r="D170" s="6" t="n">
        <f aca="false">SUMIFS('Raw Entries'!$G$2:$G$1501,'Raw Entries'!$B$2:$B$1501,A170)</f>
        <v>5</v>
      </c>
      <c r="E170" s="8" t="n">
        <f aca="false">IFERROR(B170/C170,0)</f>
        <v>85</v>
      </c>
    </row>
    <row r="171" customFormat="false" ht="15" hidden="false" customHeight="false" outlineLevel="0" collapsed="false">
      <c r="A171" s="7" t="n">
        <v>45101</v>
      </c>
      <c r="B171" s="8" t="n">
        <f aca="false">SUMIFS('Raw Entries'!$I$2:$I$1501,'Raw Entries'!$B$2:$B$1501,A171)</f>
        <v>6220</v>
      </c>
      <c r="C171" s="6" t="n">
        <f aca="false">COUNTIFS('Raw Entries'!$B$2:$B$1501,A171)</f>
        <v>5</v>
      </c>
      <c r="D171" s="6" t="n">
        <f aca="false">SUMIFS('Raw Entries'!$G$2:$G$1501,'Raw Entries'!$B$2:$B$1501,A171)</f>
        <v>19</v>
      </c>
      <c r="E171" s="8" t="n">
        <f aca="false">IFERROR(B171/C171,0)</f>
        <v>1244</v>
      </c>
    </row>
    <row r="172" customFormat="false" ht="15" hidden="false" customHeight="false" outlineLevel="0" collapsed="false">
      <c r="A172" s="7" t="n">
        <v>45102</v>
      </c>
      <c r="B172" s="8" t="n">
        <f aca="false">SUMIFS('Raw Entries'!$I$2:$I$1501,'Raw Entries'!$B$2:$B$1501,A172)</f>
        <v>900</v>
      </c>
      <c r="C172" s="6" t="n">
        <f aca="false">COUNTIFS('Raw Entries'!$B$2:$B$1501,A172)</f>
        <v>1</v>
      </c>
      <c r="D172" s="6" t="n">
        <f aca="false">SUMIFS('Raw Entries'!$G$2:$G$1501,'Raw Entries'!$B$2:$B$1501,A172)</f>
        <v>3</v>
      </c>
      <c r="E172" s="8" t="n">
        <f aca="false">IFERROR(B172/C172,0)</f>
        <v>900</v>
      </c>
    </row>
    <row r="173" customFormat="false" ht="15" hidden="false" customHeight="false" outlineLevel="0" collapsed="false">
      <c r="A173" s="7" t="n">
        <v>45103</v>
      </c>
      <c r="B173" s="8" t="n">
        <f aca="false">SUMIFS('Raw Entries'!$I$2:$I$1501,'Raw Entries'!$B$2:$B$1501,A173)</f>
        <v>2130</v>
      </c>
      <c r="C173" s="6" t="n">
        <f aca="false">COUNTIFS('Raw Entries'!$B$2:$B$1501,A173)</f>
        <v>3</v>
      </c>
      <c r="D173" s="6" t="n">
        <f aca="false">SUMIFS('Raw Entries'!$G$2:$G$1501,'Raw Entries'!$B$2:$B$1501,A173)</f>
        <v>8</v>
      </c>
      <c r="E173" s="8" t="n">
        <f aca="false">IFERROR(B173/C173,0)</f>
        <v>710</v>
      </c>
    </row>
    <row r="174" customFormat="false" ht="15" hidden="false" customHeight="false" outlineLevel="0" collapsed="false">
      <c r="A174" s="7" t="n">
        <v>45104</v>
      </c>
      <c r="B174" s="8" t="n">
        <f aca="false">SUMIFS('Raw Entries'!$I$2:$I$1501,'Raw Entries'!$B$2:$B$1501,A174)</f>
        <v>900</v>
      </c>
      <c r="C174" s="6" t="n">
        <f aca="false">COUNTIFS('Raw Entries'!$B$2:$B$1501,A174)</f>
        <v>1</v>
      </c>
      <c r="D174" s="6" t="n">
        <f aca="false">SUMIFS('Raw Entries'!$G$2:$G$1501,'Raw Entries'!$B$2:$B$1501,A174)</f>
        <v>3</v>
      </c>
      <c r="E174" s="8" t="n">
        <f aca="false">IFERROR(B174/C174,0)</f>
        <v>900</v>
      </c>
    </row>
    <row r="175" customFormat="false" ht="15" hidden="false" customHeight="false" outlineLevel="0" collapsed="false">
      <c r="A175" s="7" t="n">
        <v>45105</v>
      </c>
      <c r="B175" s="8" t="n">
        <f aca="false">SUMIFS('Raw Entries'!$I$2:$I$1501,'Raw Entries'!$B$2:$B$1501,A175)</f>
        <v>300</v>
      </c>
      <c r="C175" s="6" t="n">
        <f aca="false">COUNTIFS('Raw Entries'!$B$2:$B$1501,A175)</f>
        <v>1</v>
      </c>
      <c r="D175" s="6" t="n">
        <f aca="false">SUMIFS('Raw Entries'!$G$2:$G$1501,'Raw Entries'!$B$2:$B$1501,A175)</f>
        <v>1</v>
      </c>
      <c r="E175" s="8" t="n">
        <f aca="false">IFERROR(B175/C175,0)</f>
        <v>300</v>
      </c>
    </row>
    <row r="176" customFormat="false" ht="15" hidden="false" customHeight="false" outlineLevel="0" collapsed="false">
      <c r="A176" s="7" t="n">
        <v>45106</v>
      </c>
      <c r="B176" s="8" t="n">
        <f aca="false">SUMIFS('Raw Entries'!$I$2:$I$1501,'Raw Entries'!$B$2:$B$1501,A176)</f>
        <v>2150</v>
      </c>
      <c r="C176" s="6" t="n">
        <f aca="false">COUNTIFS('Raw Entries'!$B$2:$B$1501,A176)</f>
        <v>3</v>
      </c>
      <c r="D176" s="6" t="n">
        <f aca="false">SUMIFS('Raw Entries'!$G$2:$G$1501,'Raw Entries'!$B$2:$B$1501,A176)</f>
        <v>9</v>
      </c>
      <c r="E176" s="8" t="n">
        <f aca="false">IFERROR(B176/C176,0)</f>
        <v>716.666666666667</v>
      </c>
    </row>
    <row r="177" customFormat="false" ht="15" hidden="false" customHeight="false" outlineLevel="0" collapsed="false">
      <c r="A177" s="7" t="n">
        <v>45107</v>
      </c>
      <c r="B177" s="8" t="n">
        <f aca="false">SUMIFS('Raw Entries'!$I$2:$I$1501,'Raw Entries'!$B$2:$B$1501,A177)</f>
        <v>1030</v>
      </c>
      <c r="C177" s="6" t="n">
        <f aca="false">COUNTIFS('Raw Entries'!$B$2:$B$1501,A177)</f>
        <v>2</v>
      </c>
      <c r="D177" s="6" t="n">
        <f aca="false">SUMIFS('Raw Entries'!$G$2:$G$1501,'Raw Entries'!$B$2:$B$1501,A177)</f>
        <v>3</v>
      </c>
      <c r="E177" s="8" t="n">
        <f aca="false">IFERROR(B177/C177,0)</f>
        <v>515</v>
      </c>
    </row>
    <row r="178" customFormat="false" ht="15" hidden="false" customHeight="false" outlineLevel="0" collapsed="false">
      <c r="A178" s="7" t="n">
        <v>45108</v>
      </c>
      <c r="B178" s="8" t="n">
        <f aca="false">SUMIFS('Raw Entries'!$I$2:$I$1501,'Raw Entries'!$B$2:$B$1501,A178)</f>
        <v>1750</v>
      </c>
      <c r="C178" s="6" t="n">
        <f aca="false">COUNTIFS('Raw Entries'!$B$2:$B$1501,A178)</f>
        <v>4</v>
      </c>
      <c r="D178" s="6" t="n">
        <f aca="false">SUMIFS('Raw Entries'!$G$2:$G$1501,'Raw Entries'!$B$2:$B$1501,A178)</f>
        <v>12</v>
      </c>
      <c r="E178" s="8" t="n">
        <f aca="false">IFERROR(B178/C178,0)</f>
        <v>437.5</v>
      </c>
    </row>
    <row r="179" customFormat="false" ht="15" hidden="false" customHeight="false" outlineLevel="0" collapsed="false">
      <c r="A179" s="7" t="n">
        <v>45110</v>
      </c>
      <c r="B179" s="8" t="n">
        <f aca="false">SUMIFS('Raw Entries'!$I$2:$I$1501,'Raw Entries'!$B$2:$B$1501,A179)</f>
        <v>230</v>
      </c>
      <c r="C179" s="6" t="n">
        <f aca="false">COUNTIFS('Raw Entries'!$B$2:$B$1501,A179)</f>
        <v>2</v>
      </c>
      <c r="D179" s="6" t="n">
        <f aca="false">SUMIFS('Raw Entries'!$G$2:$G$1501,'Raw Entries'!$B$2:$B$1501,A179)</f>
        <v>5</v>
      </c>
      <c r="E179" s="8" t="n">
        <f aca="false">IFERROR(B179/C179,0)</f>
        <v>115</v>
      </c>
    </row>
    <row r="180" customFormat="false" ht="15" hidden="false" customHeight="false" outlineLevel="0" collapsed="false">
      <c r="A180" s="7" t="n">
        <v>45111</v>
      </c>
      <c r="B180" s="8" t="n">
        <f aca="false">SUMIFS('Raw Entries'!$I$2:$I$1501,'Raw Entries'!$B$2:$B$1501,A180)</f>
        <v>500</v>
      </c>
      <c r="C180" s="6" t="n">
        <f aca="false">COUNTIFS('Raw Entries'!$B$2:$B$1501,A180)</f>
        <v>1</v>
      </c>
      <c r="D180" s="6" t="n">
        <f aca="false">SUMIFS('Raw Entries'!$G$2:$G$1501,'Raw Entries'!$B$2:$B$1501,A180)</f>
        <v>1</v>
      </c>
      <c r="E180" s="8" t="n">
        <f aca="false">IFERROR(B180/C180,0)</f>
        <v>500</v>
      </c>
    </row>
    <row r="181" customFormat="false" ht="15" hidden="false" customHeight="false" outlineLevel="0" collapsed="false">
      <c r="A181" s="7" t="n">
        <v>45112</v>
      </c>
      <c r="B181" s="8" t="n">
        <f aca="false">SUMIFS('Raw Entries'!$I$2:$I$1501,'Raw Entries'!$B$2:$B$1501,A181)</f>
        <v>780</v>
      </c>
      <c r="C181" s="6" t="n">
        <f aca="false">COUNTIFS('Raw Entries'!$B$2:$B$1501,A181)</f>
        <v>4</v>
      </c>
      <c r="D181" s="6" t="n">
        <f aca="false">SUMIFS('Raw Entries'!$G$2:$G$1501,'Raw Entries'!$B$2:$B$1501,A181)</f>
        <v>7</v>
      </c>
      <c r="E181" s="8" t="n">
        <f aca="false">IFERROR(B181/C181,0)</f>
        <v>195</v>
      </c>
    </row>
    <row r="182" customFormat="false" ht="15" hidden="false" customHeight="false" outlineLevel="0" collapsed="false">
      <c r="A182" s="7" t="n">
        <v>45113</v>
      </c>
      <c r="B182" s="8" t="n">
        <f aca="false">SUMIFS('Raw Entries'!$I$2:$I$1501,'Raw Entries'!$B$2:$B$1501,A182)</f>
        <v>2260</v>
      </c>
      <c r="C182" s="6" t="n">
        <f aca="false">COUNTIFS('Raw Entries'!$B$2:$B$1501,A182)</f>
        <v>3</v>
      </c>
      <c r="D182" s="6" t="n">
        <f aca="false">SUMIFS('Raw Entries'!$G$2:$G$1501,'Raw Entries'!$B$2:$B$1501,A182)</f>
        <v>10</v>
      </c>
      <c r="E182" s="8" t="n">
        <f aca="false">IFERROR(B182/C182,0)</f>
        <v>753.333333333333</v>
      </c>
    </row>
    <row r="183" customFormat="false" ht="15" hidden="false" customHeight="false" outlineLevel="0" collapsed="false">
      <c r="A183" s="7" t="n">
        <v>45115</v>
      </c>
      <c r="B183" s="8" t="n">
        <f aca="false">SUMIFS('Raw Entries'!$I$2:$I$1501,'Raw Entries'!$B$2:$B$1501,A183)</f>
        <v>220</v>
      </c>
      <c r="C183" s="6" t="n">
        <f aca="false">COUNTIFS('Raw Entries'!$B$2:$B$1501,A183)</f>
        <v>2</v>
      </c>
      <c r="D183" s="6" t="n">
        <f aca="false">SUMIFS('Raw Entries'!$G$2:$G$1501,'Raw Entries'!$B$2:$B$1501,A183)</f>
        <v>6</v>
      </c>
      <c r="E183" s="8" t="n">
        <f aca="false">IFERROR(B183/C183,0)</f>
        <v>110</v>
      </c>
    </row>
    <row r="184" customFormat="false" ht="15" hidden="false" customHeight="false" outlineLevel="0" collapsed="false">
      <c r="A184" s="7" t="n">
        <v>45116</v>
      </c>
      <c r="B184" s="8" t="n">
        <f aca="false">SUMIFS('Raw Entries'!$I$2:$I$1501,'Raw Entries'!$B$2:$B$1501,A184)</f>
        <v>325</v>
      </c>
      <c r="C184" s="6" t="n">
        <f aca="false">COUNTIFS('Raw Entries'!$B$2:$B$1501,A184)</f>
        <v>4</v>
      </c>
      <c r="D184" s="6" t="n">
        <f aca="false">SUMIFS('Raw Entries'!$G$2:$G$1501,'Raw Entries'!$B$2:$B$1501,A184)</f>
        <v>10</v>
      </c>
      <c r="E184" s="8" t="n">
        <f aca="false">IFERROR(B184/C184,0)</f>
        <v>81.25</v>
      </c>
    </row>
    <row r="185" customFormat="false" ht="15" hidden="false" customHeight="false" outlineLevel="0" collapsed="false">
      <c r="A185" s="7" t="n">
        <v>45118</v>
      </c>
      <c r="B185" s="8" t="n">
        <f aca="false">SUMIFS('Raw Entries'!$I$2:$I$1501,'Raw Entries'!$B$2:$B$1501,A185)</f>
        <v>200</v>
      </c>
      <c r="C185" s="6" t="n">
        <f aca="false">COUNTIFS('Raw Entries'!$B$2:$B$1501,A185)</f>
        <v>2</v>
      </c>
      <c r="D185" s="6" t="n">
        <f aca="false">SUMIFS('Raw Entries'!$G$2:$G$1501,'Raw Entries'!$B$2:$B$1501,A185)</f>
        <v>4</v>
      </c>
      <c r="E185" s="8" t="n">
        <f aca="false">IFERROR(B185/C185,0)</f>
        <v>100</v>
      </c>
    </row>
    <row r="186" customFormat="false" ht="15" hidden="false" customHeight="false" outlineLevel="0" collapsed="false">
      <c r="A186" s="7" t="n">
        <v>45119</v>
      </c>
      <c r="B186" s="8" t="n">
        <f aca="false">SUMIFS('Raw Entries'!$I$2:$I$1501,'Raw Entries'!$B$2:$B$1501,A186)</f>
        <v>30</v>
      </c>
      <c r="C186" s="6" t="n">
        <f aca="false">COUNTIFS('Raw Entries'!$B$2:$B$1501,A186)</f>
        <v>1</v>
      </c>
      <c r="D186" s="6" t="n">
        <f aca="false">SUMIFS('Raw Entries'!$G$2:$G$1501,'Raw Entries'!$B$2:$B$1501,A186)</f>
        <v>1</v>
      </c>
      <c r="E186" s="8" t="n">
        <f aca="false">IFERROR(B186/C186,0)</f>
        <v>30</v>
      </c>
    </row>
    <row r="187" customFormat="false" ht="15" hidden="false" customHeight="false" outlineLevel="0" collapsed="false">
      <c r="A187" s="7" t="n">
        <v>45120</v>
      </c>
      <c r="B187" s="8" t="n">
        <f aca="false">SUMIFS('Raw Entries'!$I$2:$I$1501,'Raw Entries'!$B$2:$B$1501,A187)</f>
        <v>100</v>
      </c>
      <c r="C187" s="6" t="n">
        <f aca="false">COUNTIFS('Raw Entries'!$B$2:$B$1501,A187)</f>
        <v>1</v>
      </c>
      <c r="D187" s="6" t="n">
        <f aca="false">SUMIFS('Raw Entries'!$G$2:$G$1501,'Raw Entries'!$B$2:$B$1501,A187)</f>
        <v>2</v>
      </c>
      <c r="E187" s="8" t="n">
        <f aca="false">IFERROR(B187/C187,0)</f>
        <v>100</v>
      </c>
    </row>
    <row r="188" customFormat="false" ht="15" hidden="false" customHeight="false" outlineLevel="0" collapsed="false">
      <c r="A188" s="7" t="n">
        <v>45121</v>
      </c>
      <c r="B188" s="8" t="n">
        <f aca="false">SUMIFS('Raw Entries'!$I$2:$I$1501,'Raw Entries'!$B$2:$B$1501,A188)</f>
        <v>5125</v>
      </c>
      <c r="C188" s="6" t="n">
        <f aca="false">COUNTIFS('Raw Entries'!$B$2:$B$1501,A188)</f>
        <v>10</v>
      </c>
      <c r="D188" s="6" t="n">
        <f aca="false">SUMIFS('Raw Entries'!$G$2:$G$1501,'Raw Entries'!$B$2:$B$1501,A188)</f>
        <v>26</v>
      </c>
      <c r="E188" s="8" t="n">
        <f aca="false">IFERROR(B188/C188,0)</f>
        <v>512.5</v>
      </c>
    </row>
    <row r="189" customFormat="false" ht="15" hidden="false" customHeight="false" outlineLevel="0" collapsed="false">
      <c r="A189" s="7" t="n">
        <v>45122</v>
      </c>
      <c r="B189" s="8" t="n">
        <f aca="false">SUMIFS('Raw Entries'!$I$2:$I$1501,'Raw Entries'!$B$2:$B$1501,A189)</f>
        <v>3000</v>
      </c>
      <c r="C189" s="6" t="n">
        <f aca="false">COUNTIFS('Raw Entries'!$B$2:$B$1501,A189)</f>
        <v>2</v>
      </c>
      <c r="D189" s="6" t="n">
        <f aca="false">SUMIFS('Raw Entries'!$G$2:$G$1501,'Raw Entries'!$B$2:$B$1501,A189)</f>
        <v>6</v>
      </c>
      <c r="E189" s="8" t="n">
        <f aca="false">IFERROR(B189/C189,0)</f>
        <v>1500</v>
      </c>
    </row>
    <row r="190" customFormat="false" ht="15" hidden="false" customHeight="false" outlineLevel="0" collapsed="false">
      <c r="A190" s="7" t="n">
        <v>45123</v>
      </c>
      <c r="B190" s="8" t="n">
        <f aca="false">SUMIFS('Raw Entries'!$I$2:$I$1501,'Raw Entries'!$B$2:$B$1501,A190)</f>
        <v>190</v>
      </c>
      <c r="C190" s="6" t="n">
        <f aca="false">COUNTIFS('Raw Entries'!$B$2:$B$1501,A190)</f>
        <v>2</v>
      </c>
      <c r="D190" s="6" t="n">
        <f aca="false">SUMIFS('Raw Entries'!$G$2:$G$1501,'Raw Entries'!$B$2:$B$1501,A190)</f>
        <v>7</v>
      </c>
      <c r="E190" s="8" t="n">
        <f aca="false">IFERROR(B190/C190,0)</f>
        <v>95</v>
      </c>
    </row>
    <row r="191" customFormat="false" ht="15" hidden="false" customHeight="false" outlineLevel="0" collapsed="false">
      <c r="A191" s="7" t="n">
        <v>45124</v>
      </c>
      <c r="B191" s="8" t="n">
        <f aca="false">SUMIFS('Raw Entries'!$I$2:$I$1501,'Raw Entries'!$B$2:$B$1501,A191)</f>
        <v>950</v>
      </c>
      <c r="C191" s="6" t="n">
        <f aca="false">COUNTIFS('Raw Entries'!$B$2:$B$1501,A191)</f>
        <v>2</v>
      </c>
      <c r="D191" s="6" t="n">
        <f aca="false">SUMIFS('Raw Entries'!$G$2:$G$1501,'Raw Entries'!$B$2:$B$1501,A191)</f>
        <v>4</v>
      </c>
      <c r="E191" s="8" t="n">
        <f aca="false">IFERROR(B191/C191,0)</f>
        <v>475</v>
      </c>
    </row>
    <row r="192" customFormat="false" ht="15" hidden="false" customHeight="false" outlineLevel="0" collapsed="false">
      <c r="A192" s="7" t="n">
        <v>45126</v>
      </c>
      <c r="B192" s="8" t="n">
        <f aca="false">SUMIFS('Raw Entries'!$I$2:$I$1501,'Raw Entries'!$B$2:$B$1501,A192)</f>
        <v>2060</v>
      </c>
      <c r="C192" s="6" t="n">
        <f aca="false">COUNTIFS('Raw Entries'!$B$2:$B$1501,A192)</f>
        <v>4</v>
      </c>
      <c r="D192" s="6" t="n">
        <f aca="false">SUMIFS('Raw Entries'!$G$2:$G$1501,'Raw Entries'!$B$2:$B$1501,A192)</f>
        <v>10</v>
      </c>
      <c r="E192" s="8" t="n">
        <f aca="false">IFERROR(B192/C192,0)</f>
        <v>515</v>
      </c>
    </row>
    <row r="193" customFormat="false" ht="15" hidden="false" customHeight="false" outlineLevel="0" collapsed="false">
      <c r="A193" s="7" t="n">
        <v>45128</v>
      </c>
      <c r="B193" s="8" t="n">
        <f aca="false">SUMIFS('Raw Entries'!$I$2:$I$1501,'Raw Entries'!$B$2:$B$1501,A193)</f>
        <v>1000</v>
      </c>
      <c r="C193" s="6" t="n">
        <f aca="false">COUNTIFS('Raw Entries'!$B$2:$B$1501,A193)</f>
        <v>1</v>
      </c>
      <c r="D193" s="6" t="n">
        <f aca="false">SUMIFS('Raw Entries'!$G$2:$G$1501,'Raw Entries'!$B$2:$B$1501,A193)</f>
        <v>2</v>
      </c>
      <c r="E193" s="8" t="n">
        <f aca="false">IFERROR(B193/C193,0)</f>
        <v>1000</v>
      </c>
    </row>
    <row r="194" customFormat="false" ht="15" hidden="false" customHeight="false" outlineLevel="0" collapsed="false">
      <c r="A194" s="7" t="n">
        <v>45129</v>
      </c>
      <c r="B194" s="8" t="n">
        <f aca="false">SUMIFS('Raw Entries'!$I$2:$I$1501,'Raw Entries'!$B$2:$B$1501,A194)</f>
        <v>150</v>
      </c>
      <c r="C194" s="6" t="n">
        <f aca="false">COUNTIFS('Raw Entries'!$B$2:$B$1501,A194)</f>
        <v>2</v>
      </c>
      <c r="D194" s="6" t="n">
        <f aca="false">SUMIFS('Raw Entries'!$G$2:$G$1501,'Raw Entries'!$B$2:$B$1501,A194)</f>
        <v>5</v>
      </c>
      <c r="E194" s="8" t="n">
        <f aca="false">IFERROR(B194/C194,0)</f>
        <v>75</v>
      </c>
    </row>
    <row r="195" customFormat="false" ht="15" hidden="false" customHeight="false" outlineLevel="0" collapsed="false">
      <c r="A195" s="7" t="n">
        <v>45130</v>
      </c>
      <c r="B195" s="8" t="n">
        <f aca="false">SUMIFS('Raw Entries'!$I$2:$I$1501,'Raw Entries'!$B$2:$B$1501,A195)</f>
        <v>2000</v>
      </c>
      <c r="C195" s="6" t="n">
        <f aca="false">COUNTIFS('Raw Entries'!$B$2:$B$1501,A195)</f>
        <v>1</v>
      </c>
      <c r="D195" s="6" t="n">
        <f aca="false">SUMIFS('Raw Entries'!$G$2:$G$1501,'Raw Entries'!$B$2:$B$1501,A195)</f>
        <v>4</v>
      </c>
      <c r="E195" s="8" t="n">
        <f aca="false">IFERROR(B195/C195,0)</f>
        <v>2000</v>
      </c>
    </row>
    <row r="196" customFormat="false" ht="15" hidden="false" customHeight="false" outlineLevel="0" collapsed="false">
      <c r="A196" s="7" t="n">
        <v>45131</v>
      </c>
      <c r="B196" s="8" t="n">
        <f aca="false">SUMIFS('Raw Entries'!$I$2:$I$1501,'Raw Entries'!$B$2:$B$1501,A196)</f>
        <v>4610</v>
      </c>
      <c r="C196" s="6" t="n">
        <f aca="false">COUNTIFS('Raw Entries'!$B$2:$B$1501,A196)</f>
        <v>5</v>
      </c>
      <c r="D196" s="6" t="n">
        <f aca="false">SUMIFS('Raw Entries'!$G$2:$G$1501,'Raw Entries'!$B$2:$B$1501,A196)</f>
        <v>13</v>
      </c>
      <c r="E196" s="8" t="n">
        <f aca="false">IFERROR(B196/C196,0)</f>
        <v>922</v>
      </c>
    </row>
    <row r="197" customFormat="false" ht="15" hidden="false" customHeight="false" outlineLevel="0" collapsed="false">
      <c r="A197" s="7" t="n">
        <v>45132</v>
      </c>
      <c r="B197" s="8" t="n">
        <f aca="false">SUMIFS('Raw Entries'!$I$2:$I$1501,'Raw Entries'!$B$2:$B$1501,A197)</f>
        <v>2000</v>
      </c>
      <c r="C197" s="6" t="n">
        <f aca="false">COUNTIFS('Raw Entries'!$B$2:$B$1501,A197)</f>
        <v>3</v>
      </c>
      <c r="D197" s="6" t="n">
        <f aca="false">SUMIFS('Raw Entries'!$G$2:$G$1501,'Raw Entries'!$B$2:$B$1501,A197)</f>
        <v>4</v>
      </c>
      <c r="E197" s="8" t="n">
        <f aca="false">IFERROR(B197/C197,0)</f>
        <v>666.666666666667</v>
      </c>
    </row>
    <row r="198" customFormat="false" ht="15" hidden="false" customHeight="false" outlineLevel="0" collapsed="false">
      <c r="A198" s="7" t="n">
        <v>45133</v>
      </c>
      <c r="B198" s="8" t="n">
        <f aca="false">SUMIFS('Raw Entries'!$I$2:$I$1501,'Raw Entries'!$B$2:$B$1501,A198)</f>
        <v>1000</v>
      </c>
      <c r="C198" s="6" t="n">
        <f aca="false">COUNTIFS('Raw Entries'!$B$2:$B$1501,A198)</f>
        <v>3</v>
      </c>
      <c r="D198" s="6" t="n">
        <f aca="false">SUMIFS('Raw Entries'!$G$2:$G$1501,'Raw Entries'!$B$2:$B$1501,A198)</f>
        <v>5</v>
      </c>
      <c r="E198" s="8" t="n">
        <f aca="false">IFERROR(B198/C198,0)</f>
        <v>333.333333333333</v>
      </c>
    </row>
    <row r="199" customFormat="false" ht="15" hidden="false" customHeight="false" outlineLevel="0" collapsed="false">
      <c r="A199" s="7" t="n">
        <v>45134</v>
      </c>
      <c r="B199" s="8" t="n">
        <f aca="false">SUMIFS('Raw Entries'!$I$2:$I$1501,'Raw Entries'!$B$2:$B$1501,A199)</f>
        <v>1190</v>
      </c>
      <c r="C199" s="6" t="n">
        <f aca="false">COUNTIFS('Raw Entries'!$B$2:$B$1501,A199)</f>
        <v>3</v>
      </c>
      <c r="D199" s="6" t="n">
        <f aca="false">SUMIFS('Raw Entries'!$G$2:$G$1501,'Raw Entries'!$B$2:$B$1501,A199)</f>
        <v>6</v>
      </c>
      <c r="E199" s="8" t="n">
        <f aca="false">IFERROR(B199/C199,0)</f>
        <v>396.666666666667</v>
      </c>
    </row>
    <row r="200" customFormat="false" ht="15" hidden="false" customHeight="false" outlineLevel="0" collapsed="false">
      <c r="A200" s="7" t="n">
        <v>45135</v>
      </c>
      <c r="B200" s="8" t="n">
        <f aca="false">SUMIFS('Raw Entries'!$I$2:$I$1501,'Raw Entries'!$B$2:$B$1501,A200)</f>
        <v>3450</v>
      </c>
      <c r="C200" s="6" t="n">
        <f aca="false">COUNTIFS('Raw Entries'!$B$2:$B$1501,A200)</f>
        <v>5</v>
      </c>
      <c r="D200" s="6" t="n">
        <f aca="false">SUMIFS('Raw Entries'!$G$2:$G$1501,'Raw Entries'!$B$2:$B$1501,A200)</f>
        <v>12</v>
      </c>
      <c r="E200" s="8" t="n">
        <f aca="false">IFERROR(B200/C200,0)</f>
        <v>690</v>
      </c>
    </row>
    <row r="201" customFormat="false" ht="15" hidden="false" customHeight="false" outlineLevel="0" collapsed="false">
      <c r="A201" s="7" t="n">
        <v>45136</v>
      </c>
      <c r="B201" s="8" t="n">
        <f aca="false">SUMIFS('Raw Entries'!$I$2:$I$1501,'Raw Entries'!$B$2:$B$1501,A201)</f>
        <v>575</v>
      </c>
      <c r="C201" s="6" t="n">
        <f aca="false">COUNTIFS('Raw Entries'!$B$2:$B$1501,A201)</f>
        <v>2</v>
      </c>
      <c r="D201" s="6" t="n">
        <f aca="false">SUMIFS('Raw Entries'!$G$2:$G$1501,'Raw Entries'!$B$2:$B$1501,A201)</f>
        <v>4</v>
      </c>
      <c r="E201" s="8" t="n">
        <f aca="false">IFERROR(B201/C201,0)</f>
        <v>287.5</v>
      </c>
    </row>
    <row r="202" customFormat="false" ht="15" hidden="false" customHeight="false" outlineLevel="0" collapsed="false">
      <c r="A202" s="7" t="n">
        <v>45137</v>
      </c>
      <c r="B202" s="8" t="n">
        <f aca="false">SUMIFS('Raw Entries'!$I$2:$I$1501,'Raw Entries'!$B$2:$B$1501,A202)</f>
        <v>270</v>
      </c>
      <c r="C202" s="6" t="n">
        <f aca="false">COUNTIFS('Raw Entries'!$B$2:$B$1501,A202)</f>
        <v>2</v>
      </c>
      <c r="D202" s="6" t="n">
        <f aca="false">SUMIFS('Raw Entries'!$G$2:$G$1501,'Raw Entries'!$B$2:$B$1501,A202)</f>
        <v>7</v>
      </c>
      <c r="E202" s="8" t="n">
        <f aca="false">IFERROR(B202/C202,0)</f>
        <v>135</v>
      </c>
    </row>
    <row r="203" customFormat="false" ht="15" hidden="false" customHeight="false" outlineLevel="0" collapsed="false">
      <c r="A203" s="7" t="n">
        <v>45138</v>
      </c>
      <c r="B203" s="8" t="n">
        <f aca="false">SUMIFS('Raw Entries'!$I$2:$I$1501,'Raw Entries'!$B$2:$B$1501,A203)</f>
        <v>1500</v>
      </c>
      <c r="C203" s="6" t="n">
        <f aca="false">COUNTIFS('Raw Entries'!$B$2:$B$1501,A203)</f>
        <v>1</v>
      </c>
      <c r="D203" s="6" t="n">
        <f aca="false">SUMIFS('Raw Entries'!$G$2:$G$1501,'Raw Entries'!$B$2:$B$1501,A203)</f>
        <v>3</v>
      </c>
      <c r="E203" s="8" t="n">
        <f aca="false">IFERROR(B203/C203,0)</f>
        <v>1500</v>
      </c>
    </row>
    <row r="204" customFormat="false" ht="15" hidden="false" customHeight="false" outlineLevel="0" collapsed="false">
      <c r="A204" s="7" t="n">
        <v>45139</v>
      </c>
      <c r="B204" s="8" t="n">
        <f aca="false">SUMIFS('Raw Entries'!$I$2:$I$1501,'Raw Entries'!$B$2:$B$1501,A204)</f>
        <v>720</v>
      </c>
      <c r="C204" s="6" t="n">
        <f aca="false">COUNTIFS('Raw Entries'!$B$2:$B$1501,A204)</f>
        <v>3</v>
      </c>
      <c r="D204" s="6" t="n">
        <f aca="false">SUMIFS('Raw Entries'!$G$2:$G$1501,'Raw Entries'!$B$2:$B$1501,A204)</f>
        <v>7</v>
      </c>
      <c r="E204" s="8" t="n">
        <f aca="false">IFERROR(B204/C204,0)</f>
        <v>240</v>
      </c>
    </row>
    <row r="205" customFormat="false" ht="15" hidden="false" customHeight="false" outlineLevel="0" collapsed="false">
      <c r="A205" s="7" t="n">
        <v>45140</v>
      </c>
      <c r="B205" s="8" t="n">
        <f aca="false">SUMIFS('Raw Entries'!$I$2:$I$1501,'Raw Entries'!$B$2:$B$1501,A205)</f>
        <v>50</v>
      </c>
      <c r="C205" s="6" t="n">
        <f aca="false">COUNTIFS('Raw Entries'!$B$2:$B$1501,A205)</f>
        <v>1</v>
      </c>
      <c r="D205" s="6" t="n">
        <f aca="false">SUMIFS('Raw Entries'!$G$2:$G$1501,'Raw Entries'!$B$2:$B$1501,A205)</f>
        <v>2</v>
      </c>
      <c r="E205" s="8" t="n">
        <f aca="false">IFERROR(B205/C205,0)</f>
        <v>50</v>
      </c>
    </row>
    <row r="206" customFormat="false" ht="15" hidden="false" customHeight="false" outlineLevel="0" collapsed="false">
      <c r="A206" s="7" t="n">
        <v>45141</v>
      </c>
      <c r="B206" s="8" t="n">
        <f aca="false">SUMIFS('Raw Entries'!$I$2:$I$1501,'Raw Entries'!$B$2:$B$1501,A206)</f>
        <v>375</v>
      </c>
      <c r="C206" s="6" t="n">
        <f aca="false">COUNTIFS('Raw Entries'!$B$2:$B$1501,A206)</f>
        <v>3</v>
      </c>
      <c r="D206" s="6" t="n">
        <f aca="false">SUMIFS('Raw Entries'!$G$2:$G$1501,'Raw Entries'!$B$2:$B$1501,A206)</f>
        <v>4</v>
      </c>
      <c r="E206" s="8" t="n">
        <f aca="false">IFERROR(B206/C206,0)</f>
        <v>125</v>
      </c>
    </row>
    <row r="207" customFormat="false" ht="15" hidden="false" customHeight="false" outlineLevel="0" collapsed="false">
      <c r="A207" s="7" t="n">
        <v>45142</v>
      </c>
      <c r="B207" s="8" t="n">
        <f aca="false">SUMIFS('Raw Entries'!$I$2:$I$1501,'Raw Entries'!$B$2:$B$1501,A207)</f>
        <v>260</v>
      </c>
      <c r="C207" s="6" t="n">
        <f aca="false">COUNTIFS('Raw Entries'!$B$2:$B$1501,A207)</f>
        <v>4</v>
      </c>
      <c r="D207" s="6" t="n">
        <f aca="false">SUMIFS('Raw Entries'!$G$2:$G$1501,'Raw Entries'!$B$2:$B$1501,A207)</f>
        <v>7</v>
      </c>
      <c r="E207" s="8" t="n">
        <f aca="false">IFERROR(B207/C207,0)</f>
        <v>65</v>
      </c>
    </row>
    <row r="208" customFormat="false" ht="15" hidden="false" customHeight="false" outlineLevel="0" collapsed="false">
      <c r="A208" s="7" t="n">
        <v>45143</v>
      </c>
      <c r="B208" s="8" t="n">
        <f aca="false">SUMIFS('Raw Entries'!$I$2:$I$1501,'Raw Entries'!$B$2:$B$1501,A208)</f>
        <v>5205</v>
      </c>
      <c r="C208" s="6" t="n">
        <f aca="false">COUNTIFS('Raw Entries'!$B$2:$B$1501,A208)</f>
        <v>8</v>
      </c>
      <c r="D208" s="6" t="n">
        <f aca="false">SUMIFS('Raw Entries'!$G$2:$G$1501,'Raw Entries'!$B$2:$B$1501,A208)</f>
        <v>17</v>
      </c>
      <c r="E208" s="8" t="n">
        <f aca="false">IFERROR(B208/C208,0)</f>
        <v>650.625</v>
      </c>
    </row>
    <row r="209" customFormat="false" ht="15" hidden="false" customHeight="false" outlineLevel="0" collapsed="false">
      <c r="A209" s="7" t="n">
        <v>45144</v>
      </c>
      <c r="B209" s="8" t="n">
        <f aca="false">SUMIFS('Raw Entries'!$I$2:$I$1501,'Raw Entries'!$B$2:$B$1501,A209)</f>
        <v>2500</v>
      </c>
      <c r="C209" s="6" t="n">
        <f aca="false">COUNTIFS('Raw Entries'!$B$2:$B$1501,A209)</f>
        <v>2</v>
      </c>
      <c r="D209" s="6" t="n">
        <f aca="false">SUMIFS('Raw Entries'!$G$2:$G$1501,'Raw Entries'!$B$2:$B$1501,A209)</f>
        <v>5</v>
      </c>
      <c r="E209" s="8" t="n">
        <f aca="false">IFERROR(B209/C209,0)</f>
        <v>1250</v>
      </c>
    </row>
    <row r="210" customFormat="false" ht="15" hidden="false" customHeight="false" outlineLevel="0" collapsed="false">
      <c r="A210" s="7" t="n">
        <v>45145</v>
      </c>
      <c r="B210" s="8" t="n">
        <f aca="false">SUMIFS('Raw Entries'!$I$2:$I$1501,'Raw Entries'!$B$2:$B$1501,A210)</f>
        <v>1020</v>
      </c>
      <c r="C210" s="6" t="n">
        <f aca="false">COUNTIFS('Raw Entries'!$B$2:$B$1501,A210)</f>
        <v>2</v>
      </c>
      <c r="D210" s="6" t="n">
        <f aca="false">SUMIFS('Raw Entries'!$G$2:$G$1501,'Raw Entries'!$B$2:$B$1501,A210)</f>
        <v>7</v>
      </c>
      <c r="E210" s="8" t="n">
        <f aca="false">IFERROR(B210/C210,0)</f>
        <v>510</v>
      </c>
    </row>
    <row r="211" customFormat="false" ht="15" hidden="false" customHeight="false" outlineLevel="0" collapsed="false">
      <c r="A211" s="7" t="n">
        <v>45146</v>
      </c>
      <c r="B211" s="8" t="n">
        <f aca="false">SUMIFS('Raw Entries'!$I$2:$I$1501,'Raw Entries'!$B$2:$B$1501,A211)</f>
        <v>1385</v>
      </c>
      <c r="C211" s="6" t="n">
        <f aca="false">COUNTIFS('Raw Entries'!$B$2:$B$1501,A211)</f>
        <v>4</v>
      </c>
      <c r="D211" s="6" t="n">
        <f aca="false">SUMIFS('Raw Entries'!$G$2:$G$1501,'Raw Entries'!$B$2:$B$1501,A211)</f>
        <v>9</v>
      </c>
      <c r="E211" s="8" t="n">
        <f aca="false">IFERROR(B211/C211,0)</f>
        <v>346.25</v>
      </c>
    </row>
    <row r="212" customFormat="false" ht="15" hidden="false" customHeight="false" outlineLevel="0" collapsed="false">
      <c r="A212" s="7" t="n">
        <v>45147</v>
      </c>
      <c r="B212" s="8" t="n">
        <f aca="false">SUMIFS('Raw Entries'!$I$2:$I$1501,'Raw Entries'!$B$2:$B$1501,A212)</f>
        <v>1010</v>
      </c>
      <c r="C212" s="6" t="n">
        <f aca="false">COUNTIFS('Raw Entries'!$B$2:$B$1501,A212)</f>
        <v>4</v>
      </c>
      <c r="D212" s="6" t="n">
        <f aca="false">SUMIFS('Raw Entries'!$G$2:$G$1501,'Raw Entries'!$B$2:$B$1501,A212)</f>
        <v>11</v>
      </c>
      <c r="E212" s="8" t="n">
        <f aca="false">IFERROR(B212/C212,0)</f>
        <v>252.5</v>
      </c>
    </row>
    <row r="213" customFormat="false" ht="15" hidden="false" customHeight="false" outlineLevel="0" collapsed="false">
      <c r="A213" s="7" t="n">
        <v>45148</v>
      </c>
      <c r="B213" s="8" t="n">
        <f aca="false">SUMIFS('Raw Entries'!$I$2:$I$1501,'Raw Entries'!$B$2:$B$1501,A213)</f>
        <v>200</v>
      </c>
      <c r="C213" s="6" t="n">
        <f aca="false">COUNTIFS('Raw Entries'!$B$2:$B$1501,A213)</f>
        <v>1</v>
      </c>
      <c r="D213" s="6" t="n">
        <f aca="false">SUMIFS('Raw Entries'!$G$2:$G$1501,'Raw Entries'!$B$2:$B$1501,A213)</f>
        <v>4</v>
      </c>
      <c r="E213" s="8" t="n">
        <f aca="false">IFERROR(B213/C213,0)</f>
        <v>200</v>
      </c>
    </row>
    <row r="214" customFormat="false" ht="15" hidden="false" customHeight="false" outlineLevel="0" collapsed="false">
      <c r="A214" s="7" t="n">
        <v>45149</v>
      </c>
      <c r="B214" s="8" t="n">
        <f aca="false">SUMIFS('Raw Entries'!$I$2:$I$1501,'Raw Entries'!$B$2:$B$1501,A214)</f>
        <v>900</v>
      </c>
      <c r="C214" s="6" t="n">
        <f aca="false">COUNTIFS('Raw Entries'!$B$2:$B$1501,A214)</f>
        <v>3</v>
      </c>
      <c r="D214" s="6" t="n">
        <f aca="false">SUMIFS('Raw Entries'!$G$2:$G$1501,'Raw Entries'!$B$2:$B$1501,A214)</f>
        <v>8</v>
      </c>
      <c r="E214" s="8" t="n">
        <f aca="false">IFERROR(B214/C214,0)</f>
        <v>300</v>
      </c>
    </row>
    <row r="215" customFormat="false" ht="15" hidden="false" customHeight="false" outlineLevel="0" collapsed="false">
      <c r="A215" s="7" t="n">
        <v>45150</v>
      </c>
      <c r="B215" s="8" t="n">
        <f aca="false">SUMIFS('Raw Entries'!$I$2:$I$1501,'Raw Entries'!$B$2:$B$1501,A215)</f>
        <v>1370</v>
      </c>
      <c r="C215" s="6" t="n">
        <f aca="false">COUNTIFS('Raw Entries'!$B$2:$B$1501,A215)</f>
        <v>4</v>
      </c>
      <c r="D215" s="6" t="n">
        <f aca="false">SUMIFS('Raw Entries'!$G$2:$G$1501,'Raw Entries'!$B$2:$B$1501,A215)</f>
        <v>11</v>
      </c>
      <c r="E215" s="8" t="n">
        <f aca="false">IFERROR(B215/C215,0)</f>
        <v>342.5</v>
      </c>
    </row>
    <row r="216" customFormat="false" ht="15" hidden="false" customHeight="false" outlineLevel="0" collapsed="false">
      <c r="A216" s="7" t="n">
        <v>45151</v>
      </c>
      <c r="B216" s="8" t="n">
        <f aca="false">SUMIFS('Raw Entries'!$I$2:$I$1501,'Raw Entries'!$B$2:$B$1501,A216)</f>
        <v>700</v>
      </c>
      <c r="C216" s="6" t="n">
        <f aca="false">COUNTIFS('Raw Entries'!$B$2:$B$1501,A216)</f>
        <v>2</v>
      </c>
      <c r="D216" s="6" t="n">
        <f aca="false">SUMIFS('Raw Entries'!$G$2:$G$1501,'Raw Entries'!$B$2:$B$1501,A216)</f>
        <v>5</v>
      </c>
      <c r="E216" s="8" t="n">
        <f aca="false">IFERROR(B216/C216,0)</f>
        <v>350</v>
      </c>
    </row>
    <row r="217" customFormat="false" ht="15" hidden="false" customHeight="false" outlineLevel="0" collapsed="false">
      <c r="A217" s="7" t="n">
        <v>45152</v>
      </c>
      <c r="B217" s="8" t="n">
        <f aca="false">SUMIFS('Raw Entries'!$I$2:$I$1501,'Raw Entries'!$B$2:$B$1501,A217)</f>
        <v>1230</v>
      </c>
      <c r="C217" s="6" t="n">
        <f aca="false">COUNTIFS('Raw Entries'!$B$2:$B$1501,A217)</f>
        <v>2</v>
      </c>
      <c r="D217" s="6" t="n">
        <f aca="false">SUMIFS('Raw Entries'!$G$2:$G$1501,'Raw Entries'!$B$2:$B$1501,A217)</f>
        <v>5</v>
      </c>
      <c r="E217" s="8" t="n">
        <f aca="false">IFERROR(B217/C217,0)</f>
        <v>615</v>
      </c>
    </row>
    <row r="218" customFormat="false" ht="15" hidden="false" customHeight="false" outlineLevel="0" collapsed="false">
      <c r="A218" s="7" t="n">
        <v>45153</v>
      </c>
      <c r="B218" s="8" t="n">
        <f aca="false">SUMIFS('Raw Entries'!$I$2:$I$1501,'Raw Entries'!$B$2:$B$1501,A218)</f>
        <v>970</v>
      </c>
      <c r="C218" s="6" t="n">
        <f aca="false">COUNTIFS('Raw Entries'!$B$2:$B$1501,A218)</f>
        <v>6</v>
      </c>
      <c r="D218" s="6" t="n">
        <f aca="false">SUMIFS('Raw Entries'!$G$2:$G$1501,'Raw Entries'!$B$2:$B$1501,A218)</f>
        <v>13</v>
      </c>
      <c r="E218" s="8" t="n">
        <f aca="false">IFERROR(B218/C218,0)</f>
        <v>161.666666666667</v>
      </c>
    </row>
    <row r="219" customFormat="false" ht="15" hidden="false" customHeight="false" outlineLevel="0" collapsed="false">
      <c r="A219" s="7" t="n">
        <v>45155</v>
      </c>
      <c r="B219" s="8" t="n">
        <f aca="false">SUMIFS('Raw Entries'!$I$2:$I$1501,'Raw Entries'!$B$2:$B$1501,A219)</f>
        <v>900</v>
      </c>
      <c r="C219" s="6" t="n">
        <f aca="false">COUNTIFS('Raw Entries'!$B$2:$B$1501,A219)</f>
        <v>1</v>
      </c>
      <c r="D219" s="6" t="n">
        <f aca="false">SUMIFS('Raw Entries'!$G$2:$G$1501,'Raw Entries'!$B$2:$B$1501,A219)</f>
        <v>3</v>
      </c>
      <c r="E219" s="8" t="n">
        <f aca="false">IFERROR(B219/C219,0)</f>
        <v>900</v>
      </c>
    </row>
    <row r="220" customFormat="false" ht="15" hidden="false" customHeight="false" outlineLevel="0" collapsed="false">
      <c r="A220" s="7" t="n">
        <v>45156</v>
      </c>
      <c r="B220" s="8" t="n">
        <f aca="false">SUMIFS('Raw Entries'!$I$2:$I$1501,'Raw Entries'!$B$2:$B$1501,A220)</f>
        <v>1630</v>
      </c>
      <c r="C220" s="6" t="n">
        <f aca="false">COUNTIFS('Raw Entries'!$B$2:$B$1501,A220)</f>
        <v>3</v>
      </c>
      <c r="D220" s="6" t="n">
        <f aca="false">SUMIFS('Raw Entries'!$G$2:$G$1501,'Raw Entries'!$B$2:$B$1501,A220)</f>
        <v>8</v>
      </c>
      <c r="E220" s="8" t="n">
        <f aca="false">IFERROR(B220/C220,0)</f>
        <v>543.333333333333</v>
      </c>
    </row>
    <row r="221" customFormat="false" ht="15" hidden="false" customHeight="false" outlineLevel="0" collapsed="false">
      <c r="A221" s="7" t="n">
        <v>45157</v>
      </c>
      <c r="B221" s="8" t="n">
        <f aca="false">SUMIFS('Raw Entries'!$I$2:$I$1501,'Raw Entries'!$B$2:$B$1501,A221)</f>
        <v>2160</v>
      </c>
      <c r="C221" s="6" t="n">
        <f aca="false">COUNTIFS('Raw Entries'!$B$2:$B$1501,A221)</f>
        <v>4</v>
      </c>
      <c r="D221" s="6" t="n">
        <f aca="false">SUMIFS('Raw Entries'!$G$2:$G$1501,'Raw Entries'!$B$2:$B$1501,A221)</f>
        <v>8</v>
      </c>
      <c r="E221" s="8" t="n">
        <f aca="false">IFERROR(B221/C221,0)</f>
        <v>540</v>
      </c>
    </row>
    <row r="222" customFormat="false" ht="15" hidden="false" customHeight="false" outlineLevel="0" collapsed="false">
      <c r="A222" s="7" t="n">
        <v>45158</v>
      </c>
      <c r="B222" s="8" t="n">
        <f aca="false">SUMIFS('Raw Entries'!$I$2:$I$1501,'Raw Entries'!$B$2:$B$1501,A222)</f>
        <v>90</v>
      </c>
      <c r="C222" s="6" t="n">
        <f aca="false">COUNTIFS('Raw Entries'!$B$2:$B$1501,A222)</f>
        <v>1</v>
      </c>
      <c r="D222" s="6" t="n">
        <f aca="false">SUMIFS('Raw Entries'!$G$2:$G$1501,'Raw Entries'!$B$2:$B$1501,A222)</f>
        <v>3</v>
      </c>
      <c r="E222" s="8" t="n">
        <f aca="false">IFERROR(B222/C222,0)</f>
        <v>90</v>
      </c>
    </row>
    <row r="223" customFormat="false" ht="15" hidden="false" customHeight="false" outlineLevel="0" collapsed="false">
      <c r="A223" s="7" t="n">
        <v>45159</v>
      </c>
      <c r="B223" s="8" t="n">
        <f aca="false">SUMIFS('Raw Entries'!$I$2:$I$1501,'Raw Entries'!$B$2:$B$1501,A223)</f>
        <v>1560</v>
      </c>
      <c r="C223" s="6" t="n">
        <f aca="false">COUNTIFS('Raw Entries'!$B$2:$B$1501,A223)</f>
        <v>6</v>
      </c>
      <c r="D223" s="6" t="n">
        <f aca="false">SUMIFS('Raw Entries'!$G$2:$G$1501,'Raw Entries'!$B$2:$B$1501,A223)</f>
        <v>11</v>
      </c>
      <c r="E223" s="8" t="n">
        <f aca="false">IFERROR(B223/C223,0)</f>
        <v>260</v>
      </c>
    </row>
    <row r="224" customFormat="false" ht="15" hidden="false" customHeight="false" outlineLevel="0" collapsed="false">
      <c r="A224" s="7" t="n">
        <v>45160</v>
      </c>
      <c r="B224" s="8" t="n">
        <f aca="false">SUMIFS('Raw Entries'!$I$2:$I$1501,'Raw Entries'!$B$2:$B$1501,A224)</f>
        <v>1275</v>
      </c>
      <c r="C224" s="6" t="n">
        <f aca="false">COUNTIFS('Raw Entries'!$B$2:$B$1501,A224)</f>
        <v>2</v>
      </c>
      <c r="D224" s="6" t="n">
        <f aca="false">SUMIFS('Raw Entries'!$G$2:$G$1501,'Raw Entries'!$B$2:$B$1501,A224)</f>
        <v>7</v>
      </c>
      <c r="E224" s="8" t="n">
        <f aca="false">IFERROR(B224/C224,0)</f>
        <v>637.5</v>
      </c>
    </row>
    <row r="225" customFormat="false" ht="15" hidden="false" customHeight="false" outlineLevel="0" collapsed="false">
      <c r="A225" s="7" t="n">
        <v>45161</v>
      </c>
      <c r="B225" s="8" t="n">
        <f aca="false">SUMIFS('Raw Entries'!$I$2:$I$1501,'Raw Entries'!$B$2:$B$1501,A225)</f>
        <v>1730</v>
      </c>
      <c r="C225" s="6" t="n">
        <f aca="false">COUNTIFS('Raw Entries'!$B$2:$B$1501,A225)</f>
        <v>3</v>
      </c>
      <c r="D225" s="6" t="n">
        <f aca="false">SUMIFS('Raw Entries'!$G$2:$G$1501,'Raw Entries'!$B$2:$B$1501,A225)</f>
        <v>6</v>
      </c>
      <c r="E225" s="8" t="n">
        <f aca="false">IFERROR(B225/C225,0)</f>
        <v>576.666666666667</v>
      </c>
    </row>
    <row r="226" customFormat="false" ht="15" hidden="false" customHeight="false" outlineLevel="0" collapsed="false">
      <c r="A226" s="7" t="n">
        <v>45162</v>
      </c>
      <c r="B226" s="8" t="n">
        <f aca="false">SUMIFS('Raw Entries'!$I$2:$I$1501,'Raw Entries'!$B$2:$B$1501,A226)</f>
        <v>1305</v>
      </c>
      <c r="C226" s="6" t="n">
        <f aca="false">COUNTIFS('Raw Entries'!$B$2:$B$1501,A226)</f>
        <v>3</v>
      </c>
      <c r="D226" s="6" t="n">
        <f aca="false">SUMIFS('Raw Entries'!$G$2:$G$1501,'Raw Entries'!$B$2:$B$1501,A226)</f>
        <v>8</v>
      </c>
      <c r="E226" s="8" t="n">
        <f aca="false">IFERROR(B226/C226,0)</f>
        <v>435</v>
      </c>
    </row>
    <row r="227" customFormat="false" ht="15" hidden="false" customHeight="false" outlineLevel="0" collapsed="false">
      <c r="A227" s="7" t="n">
        <v>45163</v>
      </c>
      <c r="B227" s="8" t="n">
        <f aca="false">SUMIFS('Raw Entries'!$I$2:$I$1501,'Raw Entries'!$B$2:$B$1501,A227)</f>
        <v>395</v>
      </c>
      <c r="C227" s="6" t="n">
        <f aca="false">COUNTIFS('Raw Entries'!$B$2:$B$1501,A227)</f>
        <v>3</v>
      </c>
      <c r="D227" s="6" t="n">
        <f aca="false">SUMIFS('Raw Entries'!$G$2:$G$1501,'Raw Entries'!$B$2:$B$1501,A227)</f>
        <v>11</v>
      </c>
      <c r="E227" s="8" t="n">
        <f aca="false">IFERROR(B227/C227,0)</f>
        <v>131.666666666667</v>
      </c>
    </row>
    <row r="228" customFormat="false" ht="15" hidden="false" customHeight="false" outlineLevel="0" collapsed="false">
      <c r="A228" s="7" t="n">
        <v>45164</v>
      </c>
      <c r="B228" s="8" t="n">
        <f aca="false">SUMIFS('Raw Entries'!$I$2:$I$1501,'Raw Entries'!$B$2:$B$1501,A228)</f>
        <v>955</v>
      </c>
      <c r="C228" s="6" t="n">
        <f aca="false">COUNTIFS('Raw Entries'!$B$2:$B$1501,A228)</f>
        <v>3</v>
      </c>
      <c r="D228" s="6" t="n">
        <f aca="false">SUMIFS('Raw Entries'!$G$2:$G$1501,'Raw Entries'!$B$2:$B$1501,A228)</f>
        <v>5</v>
      </c>
      <c r="E228" s="8" t="n">
        <f aca="false">IFERROR(B228/C228,0)</f>
        <v>318.333333333333</v>
      </c>
    </row>
    <row r="229" customFormat="false" ht="15" hidden="false" customHeight="false" outlineLevel="0" collapsed="false">
      <c r="A229" s="7" t="n">
        <v>45165</v>
      </c>
      <c r="B229" s="8" t="n">
        <f aca="false">SUMIFS('Raw Entries'!$I$2:$I$1501,'Raw Entries'!$B$2:$B$1501,A229)</f>
        <v>1725</v>
      </c>
      <c r="C229" s="6" t="n">
        <f aca="false">COUNTIFS('Raw Entries'!$B$2:$B$1501,A229)</f>
        <v>4</v>
      </c>
      <c r="D229" s="6" t="n">
        <f aca="false">SUMIFS('Raw Entries'!$G$2:$G$1501,'Raw Entries'!$B$2:$B$1501,A229)</f>
        <v>11</v>
      </c>
      <c r="E229" s="8" t="n">
        <f aca="false">IFERROR(B229/C229,0)</f>
        <v>431.25</v>
      </c>
    </row>
    <row r="230" customFormat="false" ht="15" hidden="false" customHeight="false" outlineLevel="0" collapsed="false">
      <c r="A230" s="7" t="n">
        <v>45166</v>
      </c>
      <c r="B230" s="8" t="n">
        <f aca="false">SUMIFS('Raw Entries'!$I$2:$I$1501,'Raw Entries'!$B$2:$B$1501,A230)</f>
        <v>350</v>
      </c>
      <c r="C230" s="6" t="n">
        <f aca="false">COUNTIFS('Raw Entries'!$B$2:$B$1501,A230)</f>
        <v>3</v>
      </c>
      <c r="D230" s="6" t="n">
        <f aca="false">SUMIFS('Raw Entries'!$G$2:$G$1501,'Raw Entries'!$B$2:$B$1501,A230)</f>
        <v>9</v>
      </c>
      <c r="E230" s="8" t="n">
        <f aca="false">IFERROR(B230/C230,0)</f>
        <v>116.666666666667</v>
      </c>
    </row>
    <row r="231" customFormat="false" ht="15" hidden="false" customHeight="false" outlineLevel="0" collapsed="false">
      <c r="A231" s="7" t="n">
        <v>45167</v>
      </c>
      <c r="B231" s="8" t="n">
        <f aca="false">SUMIFS('Raw Entries'!$I$2:$I$1501,'Raw Entries'!$B$2:$B$1501,A231)</f>
        <v>2630</v>
      </c>
      <c r="C231" s="6" t="n">
        <f aca="false">COUNTIFS('Raw Entries'!$B$2:$B$1501,A231)</f>
        <v>4</v>
      </c>
      <c r="D231" s="6" t="n">
        <f aca="false">SUMIFS('Raw Entries'!$G$2:$G$1501,'Raw Entries'!$B$2:$B$1501,A231)</f>
        <v>8</v>
      </c>
      <c r="E231" s="8" t="n">
        <f aca="false">IFERROR(B231/C231,0)</f>
        <v>657.5</v>
      </c>
    </row>
    <row r="232" customFormat="false" ht="15" hidden="false" customHeight="false" outlineLevel="0" collapsed="false">
      <c r="A232" s="7" t="n">
        <v>45169</v>
      </c>
      <c r="B232" s="8" t="n">
        <f aca="false">SUMIFS('Raw Entries'!$I$2:$I$1501,'Raw Entries'!$B$2:$B$1501,A232)</f>
        <v>2360</v>
      </c>
      <c r="C232" s="6" t="n">
        <f aca="false">COUNTIFS('Raw Entries'!$B$2:$B$1501,A232)</f>
        <v>5</v>
      </c>
      <c r="D232" s="6" t="n">
        <f aca="false">SUMIFS('Raw Entries'!$G$2:$G$1501,'Raw Entries'!$B$2:$B$1501,A232)</f>
        <v>14</v>
      </c>
      <c r="E232" s="8" t="n">
        <f aca="false">IFERROR(B232/C232,0)</f>
        <v>472</v>
      </c>
    </row>
    <row r="233" customFormat="false" ht="15" hidden="false" customHeight="false" outlineLevel="0" collapsed="false">
      <c r="A233" s="7" t="n">
        <v>45170</v>
      </c>
      <c r="B233" s="8" t="n">
        <f aca="false">SUMIFS('Raw Entries'!$I$2:$I$1501,'Raw Entries'!$B$2:$B$1501,A233)</f>
        <v>1375</v>
      </c>
      <c r="C233" s="6" t="n">
        <f aca="false">COUNTIFS('Raw Entries'!$B$2:$B$1501,A233)</f>
        <v>4</v>
      </c>
      <c r="D233" s="6" t="n">
        <f aca="false">SUMIFS('Raw Entries'!$G$2:$G$1501,'Raw Entries'!$B$2:$B$1501,A233)</f>
        <v>8</v>
      </c>
      <c r="E233" s="8" t="n">
        <f aca="false">IFERROR(B233/C233,0)</f>
        <v>343.75</v>
      </c>
    </row>
    <row r="234" customFormat="false" ht="15" hidden="false" customHeight="false" outlineLevel="0" collapsed="false">
      <c r="A234" s="7" t="n">
        <v>45171</v>
      </c>
      <c r="B234" s="8" t="n">
        <f aca="false">SUMIFS('Raw Entries'!$I$2:$I$1501,'Raw Entries'!$B$2:$B$1501,A234)</f>
        <v>1370</v>
      </c>
      <c r="C234" s="6" t="n">
        <f aca="false">COUNTIFS('Raw Entries'!$B$2:$B$1501,A234)</f>
        <v>3</v>
      </c>
      <c r="D234" s="6" t="n">
        <f aca="false">SUMIFS('Raw Entries'!$G$2:$G$1501,'Raw Entries'!$B$2:$B$1501,A234)</f>
        <v>10</v>
      </c>
      <c r="E234" s="8" t="n">
        <f aca="false">IFERROR(B234/C234,0)</f>
        <v>456.666666666667</v>
      </c>
    </row>
    <row r="235" customFormat="false" ht="15" hidden="false" customHeight="false" outlineLevel="0" collapsed="false">
      <c r="A235" s="7" t="n">
        <v>45172</v>
      </c>
      <c r="B235" s="8" t="n">
        <f aca="false">SUMIFS('Raw Entries'!$I$2:$I$1501,'Raw Entries'!$B$2:$B$1501,A235)</f>
        <v>300</v>
      </c>
      <c r="C235" s="6" t="n">
        <f aca="false">COUNTIFS('Raw Entries'!$B$2:$B$1501,A235)</f>
        <v>1</v>
      </c>
      <c r="D235" s="6" t="n">
        <f aca="false">SUMIFS('Raw Entries'!$G$2:$G$1501,'Raw Entries'!$B$2:$B$1501,A235)</f>
        <v>1</v>
      </c>
      <c r="E235" s="8" t="n">
        <f aca="false">IFERROR(B235/C235,0)</f>
        <v>300</v>
      </c>
    </row>
    <row r="236" customFormat="false" ht="15" hidden="false" customHeight="false" outlineLevel="0" collapsed="false">
      <c r="A236" s="7" t="n">
        <v>45173</v>
      </c>
      <c r="B236" s="8" t="n">
        <f aca="false">SUMIFS('Raw Entries'!$I$2:$I$1501,'Raw Entries'!$B$2:$B$1501,A236)</f>
        <v>1000</v>
      </c>
      <c r="C236" s="6" t="n">
        <f aca="false">COUNTIFS('Raw Entries'!$B$2:$B$1501,A236)</f>
        <v>1</v>
      </c>
      <c r="D236" s="6" t="n">
        <f aca="false">SUMIFS('Raw Entries'!$G$2:$G$1501,'Raw Entries'!$B$2:$B$1501,A236)</f>
        <v>2</v>
      </c>
      <c r="E236" s="8" t="n">
        <f aca="false">IFERROR(B236/C236,0)</f>
        <v>1000</v>
      </c>
    </row>
    <row r="237" customFormat="false" ht="15" hidden="false" customHeight="false" outlineLevel="0" collapsed="false">
      <c r="A237" s="7" t="n">
        <v>45174</v>
      </c>
      <c r="B237" s="8" t="n">
        <f aca="false">SUMIFS('Raw Entries'!$I$2:$I$1501,'Raw Entries'!$B$2:$B$1501,A237)</f>
        <v>530</v>
      </c>
      <c r="C237" s="6" t="n">
        <f aca="false">COUNTIFS('Raw Entries'!$B$2:$B$1501,A237)</f>
        <v>2</v>
      </c>
      <c r="D237" s="6" t="n">
        <f aca="false">SUMIFS('Raw Entries'!$G$2:$G$1501,'Raw Entries'!$B$2:$B$1501,A237)</f>
        <v>2</v>
      </c>
      <c r="E237" s="8" t="n">
        <f aca="false">IFERROR(B237/C237,0)</f>
        <v>265</v>
      </c>
    </row>
    <row r="238" customFormat="false" ht="15" hidden="false" customHeight="false" outlineLevel="0" collapsed="false">
      <c r="A238" s="7" t="n">
        <v>45175</v>
      </c>
      <c r="B238" s="8" t="n">
        <f aca="false">SUMIFS('Raw Entries'!$I$2:$I$1501,'Raw Entries'!$B$2:$B$1501,A238)</f>
        <v>1765</v>
      </c>
      <c r="C238" s="6" t="n">
        <f aca="false">COUNTIFS('Raw Entries'!$B$2:$B$1501,A238)</f>
        <v>5</v>
      </c>
      <c r="D238" s="6" t="n">
        <f aca="false">SUMIFS('Raw Entries'!$G$2:$G$1501,'Raw Entries'!$B$2:$B$1501,A238)</f>
        <v>18</v>
      </c>
      <c r="E238" s="8" t="n">
        <f aca="false">IFERROR(B238/C238,0)</f>
        <v>353</v>
      </c>
    </row>
    <row r="239" customFormat="false" ht="15" hidden="false" customHeight="false" outlineLevel="0" collapsed="false">
      <c r="A239" s="7" t="n">
        <v>45176</v>
      </c>
      <c r="B239" s="8" t="n">
        <f aca="false">SUMIFS('Raw Entries'!$I$2:$I$1501,'Raw Entries'!$B$2:$B$1501,A239)</f>
        <v>420</v>
      </c>
      <c r="C239" s="6" t="n">
        <f aca="false">COUNTIFS('Raw Entries'!$B$2:$B$1501,A239)</f>
        <v>3</v>
      </c>
      <c r="D239" s="6" t="n">
        <f aca="false">SUMIFS('Raw Entries'!$G$2:$G$1501,'Raw Entries'!$B$2:$B$1501,A239)</f>
        <v>10</v>
      </c>
      <c r="E239" s="8" t="n">
        <f aca="false">IFERROR(B239/C239,0)</f>
        <v>140</v>
      </c>
    </row>
    <row r="240" customFormat="false" ht="15" hidden="false" customHeight="false" outlineLevel="0" collapsed="false">
      <c r="A240" s="7" t="n">
        <v>45177</v>
      </c>
      <c r="B240" s="8" t="n">
        <f aca="false">SUMIFS('Raw Entries'!$I$2:$I$1501,'Raw Entries'!$B$2:$B$1501,A240)</f>
        <v>1125</v>
      </c>
      <c r="C240" s="6" t="n">
        <f aca="false">COUNTIFS('Raw Entries'!$B$2:$B$1501,A240)</f>
        <v>4</v>
      </c>
      <c r="D240" s="6" t="n">
        <f aca="false">SUMIFS('Raw Entries'!$G$2:$G$1501,'Raw Entries'!$B$2:$B$1501,A240)</f>
        <v>10</v>
      </c>
      <c r="E240" s="8" t="n">
        <f aca="false">IFERROR(B240/C240,0)</f>
        <v>281.25</v>
      </c>
    </row>
    <row r="241" customFormat="false" ht="15" hidden="false" customHeight="false" outlineLevel="0" collapsed="false">
      <c r="A241" s="7" t="n">
        <v>45178</v>
      </c>
      <c r="B241" s="8" t="n">
        <f aca="false">SUMIFS('Raw Entries'!$I$2:$I$1501,'Raw Entries'!$B$2:$B$1501,A241)</f>
        <v>200</v>
      </c>
      <c r="C241" s="6" t="n">
        <f aca="false">COUNTIFS('Raw Entries'!$B$2:$B$1501,A241)</f>
        <v>3</v>
      </c>
      <c r="D241" s="6" t="n">
        <f aca="false">SUMIFS('Raw Entries'!$G$2:$G$1501,'Raw Entries'!$B$2:$B$1501,A241)</f>
        <v>5</v>
      </c>
      <c r="E241" s="8" t="n">
        <f aca="false">IFERROR(B241/C241,0)</f>
        <v>66.6666666666667</v>
      </c>
    </row>
    <row r="242" customFormat="false" ht="15" hidden="false" customHeight="false" outlineLevel="0" collapsed="false">
      <c r="A242" s="7" t="n">
        <v>45179</v>
      </c>
      <c r="B242" s="8" t="n">
        <f aca="false">SUMIFS('Raw Entries'!$I$2:$I$1501,'Raw Entries'!$B$2:$B$1501,A242)</f>
        <v>200</v>
      </c>
      <c r="C242" s="6" t="n">
        <f aca="false">COUNTIFS('Raw Entries'!$B$2:$B$1501,A242)</f>
        <v>1</v>
      </c>
      <c r="D242" s="6" t="n">
        <f aca="false">SUMIFS('Raw Entries'!$G$2:$G$1501,'Raw Entries'!$B$2:$B$1501,A242)</f>
        <v>4</v>
      </c>
      <c r="E242" s="8" t="n">
        <f aca="false">IFERROR(B242/C242,0)</f>
        <v>200</v>
      </c>
    </row>
    <row r="243" customFormat="false" ht="15" hidden="false" customHeight="false" outlineLevel="0" collapsed="false">
      <c r="A243" s="7" t="n">
        <v>45180</v>
      </c>
      <c r="B243" s="8" t="n">
        <f aca="false">SUMIFS('Raw Entries'!$I$2:$I$1501,'Raw Entries'!$B$2:$B$1501,A243)</f>
        <v>2200</v>
      </c>
      <c r="C243" s="6" t="n">
        <f aca="false">COUNTIFS('Raw Entries'!$B$2:$B$1501,A243)</f>
        <v>2</v>
      </c>
      <c r="D243" s="6" t="n">
        <f aca="false">SUMIFS('Raw Entries'!$G$2:$G$1501,'Raw Entries'!$B$2:$B$1501,A243)</f>
        <v>8</v>
      </c>
      <c r="E243" s="8" t="n">
        <f aca="false">IFERROR(B243/C243,0)</f>
        <v>1100</v>
      </c>
    </row>
    <row r="244" customFormat="false" ht="15" hidden="false" customHeight="false" outlineLevel="0" collapsed="false">
      <c r="A244" s="7" t="n">
        <v>45182</v>
      </c>
      <c r="B244" s="8" t="n">
        <f aca="false">SUMIFS('Raw Entries'!$I$2:$I$1501,'Raw Entries'!$B$2:$B$1501,A244)</f>
        <v>50</v>
      </c>
      <c r="C244" s="6" t="n">
        <f aca="false">COUNTIFS('Raw Entries'!$B$2:$B$1501,A244)</f>
        <v>1</v>
      </c>
      <c r="D244" s="6" t="n">
        <f aca="false">SUMIFS('Raw Entries'!$G$2:$G$1501,'Raw Entries'!$B$2:$B$1501,A244)</f>
        <v>2</v>
      </c>
      <c r="E244" s="8" t="n">
        <f aca="false">IFERROR(B244/C244,0)</f>
        <v>50</v>
      </c>
    </row>
    <row r="245" customFormat="false" ht="15" hidden="false" customHeight="false" outlineLevel="0" collapsed="false">
      <c r="A245" s="7" t="n">
        <v>45183</v>
      </c>
      <c r="B245" s="8" t="n">
        <f aca="false">SUMIFS('Raw Entries'!$I$2:$I$1501,'Raw Entries'!$B$2:$B$1501,A245)</f>
        <v>1200</v>
      </c>
      <c r="C245" s="6" t="n">
        <f aca="false">COUNTIFS('Raw Entries'!$B$2:$B$1501,A245)</f>
        <v>1</v>
      </c>
      <c r="D245" s="6" t="n">
        <f aca="false">SUMIFS('Raw Entries'!$G$2:$G$1501,'Raw Entries'!$B$2:$B$1501,A245)</f>
        <v>4</v>
      </c>
      <c r="E245" s="8" t="n">
        <f aca="false">IFERROR(B245/C245,0)</f>
        <v>1200</v>
      </c>
    </row>
    <row r="246" customFormat="false" ht="15" hidden="false" customHeight="false" outlineLevel="0" collapsed="false">
      <c r="A246" s="7" t="n">
        <v>45184</v>
      </c>
      <c r="B246" s="8" t="n">
        <f aca="false">SUMIFS('Raw Entries'!$I$2:$I$1501,'Raw Entries'!$B$2:$B$1501,A246)</f>
        <v>75</v>
      </c>
      <c r="C246" s="6" t="n">
        <f aca="false">COUNTIFS('Raw Entries'!$B$2:$B$1501,A246)</f>
        <v>1</v>
      </c>
      <c r="D246" s="6" t="n">
        <f aca="false">SUMIFS('Raw Entries'!$G$2:$G$1501,'Raw Entries'!$B$2:$B$1501,A246)</f>
        <v>3</v>
      </c>
      <c r="E246" s="8" t="n">
        <f aca="false">IFERROR(B246/C246,0)</f>
        <v>75</v>
      </c>
    </row>
    <row r="247" customFormat="false" ht="15" hidden="false" customHeight="false" outlineLevel="0" collapsed="false">
      <c r="A247" s="7" t="n">
        <v>45185</v>
      </c>
      <c r="B247" s="8" t="n">
        <f aca="false">SUMIFS('Raw Entries'!$I$2:$I$1501,'Raw Entries'!$B$2:$B$1501,A247)</f>
        <v>2150</v>
      </c>
      <c r="C247" s="6" t="n">
        <f aca="false">COUNTIFS('Raw Entries'!$B$2:$B$1501,A247)</f>
        <v>3</v>
      </c>
      <c r="D247" s="6" t="n">
        <f aca="false">SUMIFS('Raw Entries'!$G$2:$G$1501,'Raw Entries'!$B$2:$B$1501,A247)</f>
        <v>10</v>
      </c>
      <c r="E247" s="8" t="n">
        <f aca="false">IFERROR(B247/C247,0)</f>
        <v>716.666666666667</v>
      </c>
    </row>
    <row r="248" customFormat="false" ht="15" hidden="false" customHeight="false" outlineLevel="0" collapsed="false">
      <c r="A248" s="7" t="n">
        <v>45186</v>
      </c>
      <c r="B248" s="8" t="n">
        <f aca="false">SUMIFS('Raw Entries'!$I$2:$I$1501,'Raw Entries'!$B$2:$B$1501,A248)</f>
        <v>700</v>
      </c>
      <c r="C248" s="6" t="n">
        <f aca="false">COUNTIFS('Raw Entries'!$B$2:$B$1501,A248)</f>
        <v>5</v>
      </c>
      <c r="D248" s="6" t="n">
        <f aca="false">SUMIFS('Raw Entries'!$G$2:$G$1501,'Raw Entries'!$B$2:$B$1501,A248)</f>
        <v>10</v>
      </c>
      <c r="E248" s="8" t="n">
        <f aca="false">IFERROR(B248/C248,0)</f>
        <v>140</v>
      </c>
    </row>
    <row r="249" customFormat="false" ht="15" hidden="false" customHeight="false" outlineLevel="0" collapsed="false">
      <c r="A249" s="7" t="n">
        <v>45187</v>
      </c>
      <c r="B249" s="8" t="n">
        <f aca="false">SUMIFS('Raw Entries'!$I$2:$I$1501,'Raw Entries'!$B$2:$B$1501,A249)</f>
        <v>1000</v>
      </c>
      <c r="C249" s="6" t="n">
        <f aca="false">COUNTIFS('Raw Entries'!$B$2:$B$1501,A249)</f>
        <v>3</v>
      </c>
      <c r="D249" s="6" t="n">
        <f aca="false">SUMIFS('Raw Entries'!$G$2:$G$1501,'Raw Entries'!$B$2:$B$1501,A249)</f>
        <v>10</v>
      </c>
      <c r="E249" s="8" t="n">
        <f aca="false">IFERROR(B249/C249,0)</f>
        <v>333.333333333333</v>
      </c>
    </row>
    <row r="250" customFormat="false" ht="15" hidden="false" customHeight="false" outlineLevel="0" collapsed="false">
      <c r="A250" s="7" t="n">
        <v>45188</v>
      </c>
      <c r="B250" s="8" t="n">
        <f aca="false">SUMIFS('Raw Entries'!$I$2:$I$1501,'Raw Entries'!$B$2:$B$1501,A250)</f>
        <v>160</v>
      </c>
      <c r="C250" s="6" t="n">
        <f aca="false">COUNTIFS('Raw Entries'!$B$2:$B$1501,A250)</f>
        <v>2</v>
      </c>
      <c r="D250" s="6" t="n">
        <f aca="false">SUMIFS('Raw Entries'!$G$2:$G$1501,'Raw Entries'!$B$2:$B$1501,A250)</f>
        <v>6</v>
      </c>
      <c r="E250" s="8" t="n">
        <f aca="false">IFERROR(B250/C250,0)</f>
        <v>80</v>
      </c>
    </row>
    <row r="251" customFormat="false" ht="15" hidden="false" customHeight="false" outlineLevel="0" collapsed="false">
      <c r="A251" s="7" t="n">
        <v>45190</v>
      </c>
      <c r="B251" s="8" t="n">
        <f aca="false">SUMIFS('Raw Entries'!$I$2:$I$1501,'Raw Entries'!$B$2:$B$1501,A251)</f>
        <v>105</v>
      </c>
      <c r="C251" s="6" t="n">
        <f aca="false">COUNTIFS('Raw Entries'!$B$2:$B$1501,A251)</f>
        <v>2</v>
      </c>
      <c r="D251" s="6" t="n">
        <f aca="false">SUMIFS('Raw Entries'!$G$2:$G$1501,'Raw Entries'!$B$2:$B$1501,A251)</f>
        <v>4</v>
      </c>
      <c r="E251" s="8" t="n">
        <f aca="false">IFERROR(B251/C251,0)</f>
        <v>52.5</v>
      </c>
    </row>
    <row r="252" customFormat="false" ht="15" hidden="false" customHeight="false" outlineLevel="0" collapsed="false">
      <c r="A252" s="7" t="n">
        <v>45191</v>
      </c>
      <c r="B252" s="8" t="n">
        <f aca="false">SUMIFS('Raw Entries'!$I$2:$I$1501,'Raw Entries'!$B$2:$B$1501,A252)</f>
        <v>140</v>
      </c>
      <c r="C252" s="6" t="n">
        <f aca="false">COUNTIFS('Raw Entries'!$B$2:$B$1501,A252)</f>
        <v>2</v>
      </c>
      <c r="D252" s="6" t="n">
        <f aca="false">SUMIFS('Raw Entries'!$G$2:$G$1501,'Raw Entries'!$B$2:$B$1501,A252)</f>
        <v>4</v>
      </c>
      <c r="E252" s="8" t="n">
        <f aca="false">IFERROR(B252/C252,0)</f>
        <v>70</v>
      </c>
    </row>
    <row r="253" customFormat="false" ht="15" hidden="false" customHeight="false" outlineLevel="0" collapsed="false">
      <c r="A253" s="7" t="n">
        <v>45192</v>
      </c>
      <c r="B253" s="8" t="n">
        <f aca="false">SUMIFS('Raw Entries'!$I$2:$I$1501,'Raw Entries'!$B$2:$B$1501,A253)</f>
        <v>100</v>
      </c>
      <c r="C253" s="6" t="n">
        <f aca="false">COUNTIFS('Raw Entries'!$B$2:$B$1501,A253)</f>
        <v>1</v>
      </c>
      <c r="D253" s="6" t="n">
        <f aca="false">SUMIFS('Raw Entries'!$G$2:$G$1501,'Raw Entries'!$B$2:$B$1501,A253)</f>
        <v>2</v>
      </c>
      <c r="E253" s="8" t="n">
        <f aca="false">IFERROR(B253/C253,0)</f>
        <v>100</v>
      </c>
    </row>
    <row r="254" customFormat="false" ht="15" hidden="false" customHeight="false" outlineLevel="0" collapsed="false">
      <c r="A254" s="7" t="n">
        <v>45193</v>
      </c>
      <c r="B254" s="8" t="n">
        <f aca="false">SUMIFS('Raw Entries'!$I$2:$I$1501,'Raw Entries'!$B$2:$B$1501,A254)</f>
        <v>390</v>
      </c>
      <c r="C254" s="6" t="n">
        <f aca="false">COUNTIFS('Raw Entries'!$B$2:$B$1501,A254)</f>
        <v>2</v>
      </c>
      <c r="D254" s="6" t="n">
        <f aca="false">SUMIFS('Raw Entries'!$G$2:$G$1501,'Raw Entries'!$B$2:$B$1501,A254)</f>
        <v>4</v>
      </c>
      <c r="E254" s="8" t="n">
        <f aca="false">IFERROR(B254/C254,0)</f>
        <v>195</v>
      </c>
    </row>
    <row r="255" customFormat="false" ht="15" hidden="false" customHeight="false" outlineLevel="0" collapsed="false">
      <c r="A255" s="7" t="n">
        <v>45194</v>
      </c>
      <c r="B255" s="8" t="n">
        <f aca="false">SUMIFS('Raw Entries'!$I$2:$I$1501,'Raw Entries'!$B$2:$B$1501,A255)</f>
        <v>1090</v>
      </c>
      <c r="C255" s="6" t="n">
        <f aca="false">COUNTIFS('Raw Entries'!$B$2:$B$1501,A255)</f>
        <v>3</v>
      </c>
      <c r="D255" s="6" t="n">
        <f aca="false">SUMIFS('Raw Entries'!$G$2:$G$1501,'Raw Entries'!$B$2:$B$1501,A255)</f>
        <v>8</v>
      </c>
      <c r="E255" s="8" t="n">
        <f aca="false">IFERROR(B255/C255,0)</f>
        <v>363.333333333333</v>
      </c>
    </row>
    <row r="256" customFormat="false" ht="15" hidden="false" customHeight="false" outlineLevel="0" collapsed="false">
      <c r="A256" s="7" t="n">
        <v>45195</v>
      </c>
      <c r="B256" s="8" t="n">
        <f aca="false">SUMIFS('Raw Entries'!$I$2:$I$1501,'Raw Entries'!$B$2:$B$1501,A256)</f>
        <v>100</v>
      </c>
      <c r="C256" s="6" t="n">
        <f aca="false">COUNTIFS('Raw Entries'!$B$2:$B$1501,A256)</f>
        <v>1</v>
      </c>
      <c r="D256" s="6" t="n">
        <f aca="false">SUMIFS('Raw Entries'!$G$2:$G$1501,'Raw Entries'!$B$2:$B$1501,A256)</f>
        <v>2</v>
      </c>
      <c r="E256" s="8" t="n">
        <f aca="false">IFERROR(B256/C256,0)</f>
        <v>100</v>
      </c>
    </row>
    <row r="257" customFormat="false" ht="15" hidden="false" customHeight="false" outlineLevel="0" collapsed="false">
      <c r="A257" s="7" t="n">
        <v>45197</v>
      </c>
      <c r="B257" s="8" t="n">
        <f aca="false">SUMIFS('Raw Entries'!$I$2:$I$1501,'Raw Entries'!$B$2:$B$1501,A257)</f>
        <v>425</v>
      </c>
      <c r="C257" s="6" t="n">
        <f aca="false">COUNTIFS('Raw Entries'!$B$2:$B$1501,A257)</f>
        <v>3</v>
      </c>
      <c r="D257" s="6" t="n">
        <f aca="false">SUMIFS('Raw Entries'!$G$2:$G$1501,'Raw Entries'!$B$2:$B$1501,A257)</f>
        <v>4</v>
      </c>
      <c r="E257" s="8" t="n">
        <f aca="false">IFERROR(B257/C257,0)</f>
        <v>141.666666666667</v>
      </c>
    </row>
    <row r="258" customFormat="false" ht="15" hidden="false" customHeight="false" outlineLevel="0" collapsed="false">
      <c r="A258" s="7" t="n">
        <v>45198</v>
      </c>
      <c r="B258" s="8" t="n">
        <f aca="false">SUMIFS('Raw Entries'!$I$2:$I$1501,'Raw Entries'!$B$2:$B$1501,A258)</f>
        <v>2550</v>
      </c>
      <c r="C258" s="6" t="n">
        <f aca="false">COUNTIFS('Raw Entries'!$B$2:$B$1501,A258)</f>
        <v>4</v>
      </c>
      <c r="D258" s="6" t="n">
        <f aca="false">SUMIFS('Raw Entries'!$G$2:$G$1501,'Raw Entries'!$B$2:$B$1501,A258)</f>
        <v>12</v>
      </c>
      <c r="E258" s="8" t="n">
        <f aca="false">IFERROR(B258/C258,0)</f>
        <v>637.5</v>
      </c>
    </row>
    <row r="259" customFormat="false" ht="15" hidden="false" customHeight="false" outlineLevel="0" collapsed="false">
      <c r="A259" s="7" t="n">
        <v>45199</v>
      </c>
      <c r="B259" s="8" t="n">
        <f aca="false">SUMIFS('Raw Entries'!$I$2:$I$1501,'Raw Entries'!$B$2:$B$1501,A259)</f>
        <v>2900</v>
      </c>
      <c r="C259" s="6" t="n">
        <f aca="false">COUNTIFS('Raw Entries'!$B$2:$B$1501,A259)</f>
        <v>2</v>
      </c>
      <c r="D259" s="6" t="n">
        <f aca="false">SUMIFS('Raw Entries'!$G$2:$G$1501,'Raw Entries'!$B$2:$B$1501,A259)</f>
        <v>7</v>
      </c>
      <c r="E259" s="8" t="n">
        <f aca="false">IFERROR(B259/C259,0)</f>
        <v>1450</v>
      </c>
    </row>
    <row r="260" customFormat="false" ht="15" hidden="false" customHeight="false" outlineLevel="0" collapsed="false">
      <c r="A260" s="7" t="n">
        <v>45200</v>
      </c>
      <c r="B260" s="8" t="n">
        <f aca="false">SUMIFS('Raw Entries'!$I$2:$I$1501,'Raw Entries'!$B$2:$B$1501,A260)</f>
        <v>2800</v>
      </c>
      <c r="C260" s="6" t="n">
        <f aca="false">COUNTIFS('Raw Entries'!$B$2:$B$1501,A260)</f>
        <v>3</v>
      </c>
      <c r="D260" s="6" t="n">
        <f aca="false">SUMIFS('Raw Entries'!$G$2:$G$1501,'Raw Entries'!$B$2:$B$1501,A260)</f>
        <v>6</v>
      </c>
      <c r="E260" s="8" t="n">
        <f aca="false">IFERROR(B260/C260,0)</f>
        <v>933.333333333333</v>
      </c>
    </row>
    <row r="261" customFormat="false" ht="15" hidden="false" customHeight="false" outlineLevel="0" collapsed="false">
      <c r="A261" s="7" t="n">
        <v>45201</v>
      </c>
      <c r="B261" s="8" t="n">
        <f aca="false">SUMIFS('Raw Entries'!$I$2:$I$1501,'Raw Entries'!$B$2:$B$1501,A261)</f>
        <v>1245</v>
      </c>
      <c r="C261" s="6" t="n">
        <f aca="false">COUNTIFS('Raw Entries'!$B$2:$B$1501,A261)</f>
        <v>5</v>
      </c>
      <c r="D261" s="6" t="n">
        <f aca="false">SUMIFS('Raw Entries'!$G$2:$G$1501,'Raw Entries'!$B$2:$B$1501,A261)</f>
        <v>15</v>
      </c>
      <c r="E261" s="8" t="n">
        <f aca="false">IFERROR(B261/C261,0)</f>
        <v>249</v>
      </c>
    </row>
    <row r="262" customFormat="false" ht="15" hidden="false" customHeight="false" outlineLevel="0" collapsed="false">
      <c r="A262" s="7" t="n">
        <v>45202</v>
      </c>
      <c r="B262" s="8" t="n">
        <f aca="false">SUMIFS('Raw Entries'!$I$2:$I$1501,'Raw Entries'!$B$2:$B$1501,A262)</f>
        <v>2170</v>
      </c>
      <c r="C262" s="6" t="n">
        <f aca="false">COUNTIFS('Raw Entries'!$B$2:$B$1501,A262)</f>
        <v>5</v>
      </c>
      <c r="D262" s="6" t="n">
        <f aca="false">SUMIFS('Raw Entries'!$G$2:$G$1501,'Raw Entries'!$B$2:$B$1501,A262)</f>
        <v>17</v>
      </c>
      <c r="E262" s="8" t="n">
        <f aca="false">IFERROR(B262/C262,0)</f>
        <v>434</v>
      </c>
    </row>
    <row r="263" customFormat="false" ht="15" hidden="false" customHeight="false" outlineLevel="0" collapsed="false">
      <c r="A263" s="7" t="n">
        <v>45203</v>
      </c>
      <c r="B263" s="8" t="n">
        <f aca="false">SUMIFS('Raw Entries'!$I$2:$I$1501,'Raw Entries'!$B$2:$B$1501,A263)</f>
        <v>3010</v>
      </c>
      <c r="C263" s="6" t="n">
        <f aca="false">COUNTIFS('Raw Entries'!$B$2:$B$1501,A263)</f>
        <v>6</v>
      </c>
      <c r="D263" s="6" t="n">
        <f aca="false">SUMIFS('Raw Entries'!$G$2:$G$1501,'Raw Entries'!$B$2:$B$1501,A263)</f>
        <v>17</v>
      </c>
      <c r="E263" s="8" t="n">
        <f aca="false">IFERROR(B263/C263,0)</f>
        <v>501.666666666667</v>
      </c>
    </row>
    <row r="264" customFormat="false" ht="15" hidden="false" customHeight="false" outlineLevel="0" collapsed="false">
      <c r="A264" s="7" t="n">
        <v>45204</v>
      </c>
      <c r="B264" s="8" t="n">
        <f aca="false">SUMIFS('Raw Entries'!$I$2:$I$1501,'Raw Entries'!$B$2:$B$1501,A264)</f>
        <v>530</v>
      </c>
      <c r="C264" s="6" t="n">
        <f aca="false">COUNTIFS('Raw Entries'!$B$2:$B$1501,A264)</f>
        <v>2</v>
      </c>
      <c r="D264" s="6" t="n">
        <f aca="false">SUMIFS('Raw Entries'!$G$2:$G$1501,'Raw Entries'!$B$2:$B$1501,A264)</f>
        <v>2</v>
      </c>
      <c r="E264" s="8" t="n">
        <f aca="false">IFERROR(B264/C264,0)</f>
        <v>265</v>
      </c>
    </row>
    <row r="265" customFormat="false" ht="15" hidden="false" customHeight="false" outlineLevel="0" collapsed="false">
      <c r="A265" s="7" t="n">
        <v>45205</v>
      </c>
      <c r="B265" s="8" t="n">
        <f aca="false">SUMIFS('Raw Entries'!$I$2:$I$1501,'Raw Entries'!$B$2:$B$1501,A265)</f>
        <v>1500</v>
      </c>
      <c r="C265" s="6" t="n">
        <f aca="false">COUNTIFS('Raw Entries'!$B$2:$B$1501,A265)</f>
        <v>1</v>
      </c>
      <c r="D265" s="6" t="n">
        <f aca="false">SUMIFS('Raw Entries'!$G$2:$G$1501,'Raw Entries'!$B$2:$B$1501,A265)</f>
        <v>3</v>
      </c>
      <c r="E265" s="8" t="n">
        <f aca="false">IFERROR(B265/C265,0)</f>
        <v>1500</v>
      </c>
    </row>
    <row r="266" customFormat="false" ht="15" hidden="false" customHeight="false" outlineLevel="0" collapsed="false">
      <c r="A266" s="7" t="n">
        <v>45206</v>
      </c>
      <c r="B266" s="8" t="n">
        <f aca="false">SUMIFS('Raw Entries'!$I$2:$I$1501,'Raw Entries'!$B$2:$B$1501,A266)</f>
        <v>2500</v>
      </c>
      <c r="C266" s="6" t="n">
        <f aca="false">COUNTIFS('Raw Entries'!$B$2:$B$1501,A266)</f>
        <v>4</v>
      </c>
      <c r="D266" s="6" t="n">
        <f aca="false">SUMIFS('Raw Entries'!$G$2:$G$1501,'Raw Entries'!$B$2:$B$1501,A266)</f>
        <v>12</v>
      </c>
      <c r="E266" s="8" t="n">
        <f aca="false">IFERROR(B266/C266,0)</f>
        <v>625</v>
      </c>
    </row>
    <row r="267" customFormat="false" ht="15" hidden="false" customHeight="false" outlineLevel="0" collapsed="false">
      <c r="A267" s="7" t="n">
        <v>45207</v>
      </c>
      <c r="B267" s="8" t="n">
        <f aca="false">SUMIFS('Raw Entries'!$I$2:$I$1501,'Raw Entries'!$B$2:$B$1501,A267)</f>
        <v>2025</v>
      </c>
      <c r="C267" s="6" t="n">
        <f aca="false">COUNTIFS('Raw Entries'!$B$2:$B$1501,A267)</f>
        <v>2</v>
      </c>
      <c r="D267" s="6" t="n">
        <f aca="false">SUMIFS('Raw Entries'!$G$2:$G$1501,'Raw Entries'!$B$2:$B$1501,A267)</f>
        <v>5</v>
      </c>
      <c r="E267" s="8" t="n">
        <f aca="false">IFERROR(B267/C267,0)</f>
        <v>1012.5</v>
      </c>
    </row>
    <row r="268" customFormat="false" ht="15" hidden="false" customHeight="false" outlineLevel="0" collapsed="false">
      <c r="A268" s="7" t="n">
        <v>45208</v>
      </c>
      <c r="B268" s="8" t="n">
        <f aca="false">SUMIFS('Raw Entries'!$I$2:$I$1501,'Raw Entries'!$B$2:$B$1501,A268)</f>
        <v>195</v>
      </c>
      <c r="C268" s="6" t="n">
        <f aca="false">COUNTIFS('Raw Entries'!$B$2:$B$1501,A268)</f>
        <v>3</v>
      </c>
      <c r="D268" s="6" t="n">
        <f aca="false">SUMIFS('Raw Entries'!$G$2:$G$1501,'Raw Entries'!$B$2:$B$1501,A268)</f>
        <v>7</v>
      </c>
      <c r="E268" s="8" t="n">
        <f aca="false">IFERROR(B268/C268,0)</f>
        <v>65</v>
      </c>
    </row>
    <row r="269" customFormat="false" ht="15" hidden="false" customHeight="false" outlineLevel="0" collapsed="false">
      <c r="A269" s="7" t="n">
        <v>45209</v>
      </c>
      <c r="B269" s="8" t="n">
        <f aca="false">SUMIFS('Raw Entries'!$I$2:$I$1501,'Raw Entries'!$B$2:$B$1501,A269)</f>
        <v>2120</v>
      </c>
      <c r="C269" s="6" t="n">
        <f aca="false">COUNTIFS('Raw Entries'!$B$2:$B$1501,A269)</f>
        <v>4</v>
      </c>
      <c r="D269" s="6" t="n">
        <f aca="false">SUMIFS('Raw Entries'!$G$2:$G$1501,'Raw Entries'!$B$2:$B$1501,A269)</f>
        <v>14</v>
      </c>
      <c r="E269" s="8" t="n">
        <f aca="false">IFERROR(B269/C269,0)</f>
        <v>530</v>
      </c>
    </row>
    <row r="270" customFormat="false" ht="15" hidden="false" customHeight="false" outlineLevel="0" collapsed="false">
      <c r="A270" s="7" t="n">
        <v>45210</v>
      </c>
      <c r="B270" s="8" t="n">
        <f aca="false">SUMIFS('Raw Entries'!$I$2:$I$1501,'Raw Entries'!$B$2:$B$1501,A270)</f>
        <v>2250</v>
      </c>
      <c r="C270" s="6" t="n">
        <f aca="false">COUNTIFS('Raw Entries'!$B$2:$B$1501,A270)</f>
        <v>7</v>
      </c>
      <c r="D270" s="6" t="n">
        <f aca="false">SUMIFS('Raw Entries'!$G$2:$G$1501,'Raw Entries'!$B$2:$B$1501,A270)</f>
        <v>16</v>
      </c>
      <c r="E270" s="8" t="n">
        <f aca="false">IFERROR(B270/C270,0)</f>
        <v>321.428571428571</v>
      </c>
    </row>
    <row r="271" customFormat="false" ht="15" hidden="false" customHeight="false" outlineLevel="0" collapsed="false">
      <c r="A271" s="7" t="n">
        <v>45211</v>
      </c>
      <c r="B271" s="8" t="n">
        <f aca="false">SUMIFS('Raw Entries'!$I$2:$I$1501,'Raw Entries'!$B$2:$B$1501,A271)</f>
        <v>475</v>
      </c>
      <c r="C271" s="6" t="n">
        <f aca="false">COUNTIFS('Raw Entries'!$B$2:$B$1501,A271)</f>
        <v>3</v>
      </c>
      <c r="D271" s="6" t="n">
        <f aca="false">SUMIFS('Raw Entries'!$G$2:$G$1501,'Raw Entries'!$B$2:$B$1501,A271)</f>
        <v>5</v>
      </c>
      <c r="E271" s="8" t="n">
        <f aca="false">IFERROR(B271/C271,0)</f>
        <v>158.333333333333</v>
      </c>
    </row>
    <row r="272" customFormat="false" ht="15" hidden="false" customHeight="false" outlineLevel="0" collapsed="false">
      <c r="A272" s="7" t="n">
        <v>45212</v>
      </c>
      <c r="B272" s="8" t="n">
        <f aca="false">SUMIFS('Raw Entries'!$I$2:$I$1501,'Raw Entries'!$B$2:$B$1501,A272)</f>
        <v>1175</v>
      </c>
      <c r="C272" s="6" t="n">
        <f aca="false">COUNTIFS('Raw Entries'!$B$2:$B$1501,A272)</f>
        <v>3</v>
      </c>
      <c r="D272" s="6" t="n">
        <f aca="false">SUMIFS('Raw Entries'!$G$2:$G$1501,'Raw Entries'!$B$2:$B$1501,A272)</f>
        <v>9</v>
      </c>
      <c r="E272" s="8" t="n">
        <f aca="false">IFERROR(B272/C272,0)</f>
        <v>391.666666666667</v>
      </c>
    </row>
    <row r="273" customFormat="false" ht="15" hidden="false" customHeight="false" outlineLevel="0" collapsed="false">
      <c r="A273" s="7" t="n">
        <v>45213</v>
      </c>
      <c r="B273" s="8" t="n">
        <f aca="false">SUMIFS('Raw Entries'!$I$2:$I$1501,'Raw Entries'!$B$2:$B$1501,A273)</f>
        <v>110</v>
      </c>
      <c r="C273" s="6" t="n">
        <f aca="false">COUNTIFS('Raw Entries'!$B$2:$B$1501,A273)</f>
        <v>2</v>
      </c>
      <c r="D273" s="6" t="n">
        <f aca="false">SUMIFS('Raw Entries'!$G$2:$G$1501,'Raw Entries'!$B$2:$B$1501,A273)</f>
        <v>3</v>
      </c>
      <c r="E273" s="8" t="n">
        <f aca="false">IFERROR(B273/C273,0)</f>
        <v>55</v>
      </c>
    </row>
    <row r="274" customFormat="false" ht="15" hidden="false" customHeight="false" outlineLevel="0" collapsed="false">
      <c r="A274" s="7" t="n">
        <v>45214</v>
      </c>
      <c r="B274" s="8" t="n">
        <f aca="false">SUMIFS('Raw Entries'!$I$2:$I$1501,'Raw Entries'!$B$2:$B$1501,A274)</f>
        <v>1500</v>
      </c>
      <c r="C274" s="6" t="n">
        <f aca="false">COUNTIFS('Raw Entries'!$B$2:$B$1501,A274)</f>
        <v>3</v>
      </c>
      <c r="D274" s="6" t="n">
        <f aca="false">SUMIFS('Raw Entries'!$G$2:$G$1501,'Raw Entries'!$B$2:$B$1501,A274)</f>
        <v>10</v>
      </c>
      <c r="E274" s="8" t="n">
        <f aca="false">IFERROR(B274/C274,0)</f>
        <v>500</v>
      </c>
    </row>
    <row r="275" customFormat="false" ht="15" hidden="false" customHeight="false" outlineLevel="0" collapsed="false">
      <c r="A275" s="7" t="n">
        <v>45215</v>
      </c>
      <c r="B275" s="8" t="n">
        <f aca="false">SUMIFS('Raw Entries'!$I$2:$I$1501,'Raw Entries'!$B$2:$B$1501,A275)</f>
        <v>2860</v>
      </c>
      <c r="C275" s="6" t="n">
        <f aca="false">COUNTIFS('Raw Entries'!$B$2:$B$1501,A275)</f>
        <v>4</v>
      </c>
      <c r="D275" s="6" t="n">
        <f aca="false">SUMIFS('Raw Entries'!$G$2:$G$1501,'Raw Entries'!$B$2:$B$1501,A275)</f>
        <v>13</v>
      </c>
      <c r="E275" s="8" t="n">
        <f aca="false">IFERROR(B275/C275,0)</f>
        <v>715</v>
      </c>
    </row>
    <row r="276" customFormat="false" ht="15" hidden="false" customHeight="false" outlineLevel="0" collapsed="false">
      <c r="A276" s="7" t="n">
        <v>45216</v>
      </c>
      <c r="B276" s="8" t="n">
        <f aca="false">SUMIFS('Raw Entries'!$I$2:$I$1501,'Raw Entries'!$B$2:$B$1501,A276)</f>
        <v>175</v>
      </c>
      <c r="C276" s="6" t="n">
        <f aca="false">COUNTIFS('Raw Entries'!$B$2:$B$1501,A276)</f>
        <v>2</v>
      </c>
      <c r="D276" s="6" t="n">
        <f aca="false">SUMIFS('Raw Entries'!$G$2:$G$1501,'Raw Entries'!$B$2:$B$1501,A276)</f>
        <v>7</v>
      </c>
      <c r="E276" s="8" t="n">
        <f aca="false">IFERROR(B276/C276,0)</f>
        <v>87.5</v>
      </c>
    </row>
    <row r="277" customFormat="false" ht="15" hidden="false" customHeight="false" outlineLevel="0" collapsed="false">
      <c r="A277" s="7" t="n">
        <v>45217</v>
      </c>
      <c r="B277" s="8" t="n">
        <f aca="false">SUMIFS('Raw Entries'!$I$2:$I$1501,'Raw Entries'!$B$2:$B$1501,A277)</f>
        <v>2025</v>
      </c>
      <c r="C277" s="6" t="n">
        <f aca="false">COUNTIFS('Raw Entries'!$B$2:$B$1501,A277)</f>
        <v>2</v>
      </c>
      <c r="D277" s="6" t="n">
        <f aca="false">SUMIFS('Raw Entries'!$G$2:$G$1501,'Raw Entries'!$B$2:$B$1501,A277)</f>
        <v>5</v>
      </c>
      <c r="E277" s="8" t="n">
        <f aca="false">IFERROR(B277/C277,0)</f>
        <v>1012.5</v>
      </c>
    </row>
    <row r="278" customFormat="false" ht="15" hidden="false" customHeight="false" outlineLevel="0" collapsed="false">
      <c r="A278" s="7" t="n">
        <v>45218</v>
      </c>
      <c r="B278" s="8" t="n">
        <f aca="false">SUMIFS('Raw Entries'!$I$2:$I$1501,'Raw Entries'!$B$2:$B$1501,A278)</f>
        <v>1860</v>
      </c>
      <c r="C278" s="6" t="n">
        <f aca="false">COUNTIFS('Raw Entries'!$B$2:$B$1501,A278)</f>
        <v>4</v>
      </c>
      <c r="D278" s="6" t="n">
        <f aca="false">SUMIFS('Raw Entries'!$G$2:$G$1501,'Raw Entries'!$B$2:$B$1501,A278)</f>
        <v>8</v>
      </c>
      <c r="E278" s="8" t="n">
        <f aca="false">IFERROR(B278/C278,0)</f>
        <v>465</v>
      </c>
    </row>
    <row r="279" customFormat="false" ht="15" hidden="false" customHeight="false" outlineLevel="0" collapsed="false">
      <c r="A279" s="7" t="n">
        <v>45219</v>
      </c>
      <c r="B279" s="8" t="n">
        <f aca="false">SUMIFS('Raw Entries'!$I$2:$I$1501,'Raw Entries'!$B$2:$B$1501,A279)</f>
        <v>50</v>
      </c>
      <c r="C279" s="6" t="n">
        <f aca="false">COUNTIFS('Raw Entries'!$B$2:$B$1501,A279)</f>
        <v>1</v>
      </c>
      <c r="D279" s="6" t="n">
        <f aca="false">SUMIFS('Raw Entries'!$G$2:$G$1501,'Raw Entries'!$B$2:$B$1501,A279)</f>
        <v>1</v>
      </c>
      <c r="E279" s="8" t="n">
        <f aca="false">IFERROR(B279/C279,0)</f>
        <v>50</v>
      </c>
    </row>
    <row r="280" customFormat="false" ht="15" hidden="false" customHeight="false" outlineLevel="0" collapsed="false">
      <c r="A280" s="7" t="n">
        <v>45220</v>
      </c>
      <c r="B280" s="8" t="n">
        <f aca="false">SUMIFS('Raw Entries'!$I$2:$I$1501,'Raw Entries'!$B$2:$B$1501,A280)</f>
        <v>50</v>
      </c>
      <c r="C280" s="6" t="n">
        <f aca="false">COUNTIFS('Raw Entries'!$B$2:$B$1501,A280)</f>
        <v>1</v>
      </c>
      <c r="D280" s="6" t="n">
        <f aca="false">SUMIFS('Raw Entries'!$G$2:$G$1501,'Raw Entries'!$B$2:$B$1501,A280)</f>
        <v>1</v>
      </c>
      <c r="E280" s="8" t="n">
        <f aca="false">IFERROR(B280/C280,0)</f>
        <v>50</v>
      </c>
    </row>
    <row r="281" customFormat="false" ht="15" hidden="false" customHeight="false" outlineLevel="0" collapsed="false">
      <c r="A281" s="7" t="n">
        <v>45221</v>
      </c>
      <c r="B281" s="8" t="n">
        <f aca="false">SUMIFS('Raw Entries'!$I$2:$I$1501,'Raw Entries'!$B$2:$B$1501,A281)</f>
        <v>1950</v>
      </c>
      <c r="C281" s="6" t="n">
        <f aca="false">COUNTIFS('Raw Entries'!$B$2:$B$1501,A281)</f>
        <v>3</v>
      </c>
      <c r="D281" s="6" t="n">
        <f aca="false">SUMIFS('Raw Entries'!$G$2:$G$1501,'Raw Entries'!$B$2:$B$1501,A281)</f>
        <v>6</v>
      </c>
      <c r="E281" s="8" t="n">
        <f aca="false">IFERROR(B281/C281,0)</f>
        <v>650</v>
      </c>
    </row>
    <row r="282" customFormat="false" ht="15" hidden="false" customHeight="false" outlineLevel="0" collapsed="false">
      <c r="A282" s="7" t="n">
        <v>45222</v>
      </c>
      <c r="B282" s="8" t="n">
        <f aca="false">SUMIFS('Raw Entries'!$I$2:$I$1501,'Raw Entries'!$B$2:$B$1501,A282)</f>
        <v>800</v>
      </c>
      <c r="C282" s="6" t="n">
        <f aca="false">COUNTIFS('Raw Entries'!$B$2:$B$1501,A282)</f>
        <v>4</v>
      </c>
      <c r="D282" s="6" t="n">
        <f aca="false">SUMIFS('Raw Entries'!$G$2:$G$1501,'Raw Entries'!$B$2:$B$1501,A282)</f>
        <v>9</v>
      </c>
      <c r="E282" s="8" t="n">
        <f aca="false">IFERROR(B282/C282,0)</f>
        <v>200</v>
      </c>
    </row>
    <row r="283" customFormat="false" ht="15" hidden="false" customHeight="false" outlineLevel="0" collapsed="false">
      <c r="A283" s="7" t="n">
        <v>45223</v>
      </c>
      <c r="B283" s="8" t="n">
        <f aca="false">SUMIFS('Raw Entries'!$I$2:$I$1501,'Raw Entries'!$B$2:$B$1501,A283)</f>
        <v>2200</v>
      </c>
      <c r="C283" s="6" t="n">
        <f aca="false">COUNTIFS('Raw Entries'!$B$2:$B$1501,A283)</f>
        <v>4</v>
      </c>
      <c r="D283" s="6" t="n">
        <f aca="false">SUMIFS('Raw Entries'!$G$2:$G$1501,'Raw Entries'!$B$2:$B$1501,A283)</f>
        <v>10</v>
      </c>
      <c r="E283" s="8" t="n">
        <f aca="false">IFERROR(B283/C283,0)</f>
        <v>550</v>
      </c>
    </row>
    <row r="284" customFormat="false" ht="15" hidden="false" customHeight="false" outlineLevel="0" collapsed="false">
      <c r="A284" s="7" t="n">
        <v>45224</v>
      </c>
      <c r="B284" s="8" t="n">
        <f aca="false">SUMIFS('Raw Entries'!$I$2:$I$1501,'Raw Entries'!$B$2:$B$1501,A284)</f>
        <v>3500</v>
      </c>
      <c r="C284" s="6" t="n">
        <f aca="false">COUNTIFS('Raw Entries'!$B$2:$B$1501,A284)</f>
        <v>2</v>
      </c>
      <c r="D284" s="6" t="n">
        <f aca="false">SUMIFS('Raw Entries'!$G$2:$G$1501,'Raw Entries'!$B$2:$B$1501,A284)</f>
        <v>7</v>
      </c>
      <c r="E284" s="8" t="n">
        <f aca="false">IFERROR(B284/C284,0)</f>
        <v>1750</v>
      </c>
    </row>
    <row r="285" customFormat="false" ht="15" hidden="false" customHeight="false" outlineLevel="0" collapsed="false">
      <c r="A285" s="7" t="n">
        <v>45225</v>
      </c>
      <c r="B285" s="8" t="n">
        <f aca="false">SUMIFS('Raw Entries'!$I$2:$I$1501,'Raw Entries'!$B$2:$B$1501,A285)</f>
        <v>740</v>
      </c>
      <c r="C285" s="6" t="n">
        <f aca="false">COUNTIFS('Raw Entries'!$B$2:$B$1501,A285)</f>
        <v>3</v>
      </c>
      <c r="D285" s="6" t="n">
        <f aca="false">SUMIFS('Raw Entries'!$G$2:$G$1501,'Raw Entries'!$B$2:$B$1501,A285)</f>
        <v>6</v>
      </c>
      <c r="E285" s="8" t="n">
        <f aca="false">IFERROR(B285/C285,0)</f>
        <v>246.666666666667</v>
      </c>
    </row>
    <row r="286" customFormat="false" ht="15" hidden="false" customHeight="false" outlineLevel="0" collapsed="false">
      <c r="A286" s="7" t="n">
        <v>45226</v>
      </c>
      <c r="B286" s="8" t="n">
        <f aca="false">SUMIFS('Raw Entries'!$I$2:$I$1501,'Raw Entries'!$B$2:$B$1501,A286)</f>
        <v>3650</v>
      </c>
      <c r="C286" s="6" t="n">
        <f aca="false">COUNTIFS('Raw Entries'!$B$2:$B$1501,A286)</f>
        <v>3</v>
      </c>
      <c r="D286" s="6" t="n">
        <f aca="false">SUMIFS('Raw Entries'!$G$2:$G$1501,'Raw Entries'!$B$2:$B$1501,A286)</f>
        <v>10</v>
      </c>
      <c r="E286" s="8" t="n">
        <f aca="false">IFERROR(B286/C286,0)</f>
        <v>1216.66666666667</v>
      </c>
    </row>
    <row r="287" customFormat="false" ht="15" hidden="false" customHeight="false" outlineLevel="0" collapsed="false">
      <c r="A287" s="7" t="n">
        <v>45228</v>
      </c>
      <c r="B287" s="8" t="n">
        <f aca="false">SUMIFS('Raw Entries'!$I$2:$I$1501,'Raw Entries'!$B$2:$B$1501,A287)</f>
        <v>1250</v>
      </c>
      <c r="C287" s="6" t="n">
        <f aca="false">COUNTIFS('Raw Entries'!$B$2:$B$1501,A287)</f>
        <v>6</v>
      </c>
      <c r="D287" s="6" t="n">
        <f aca="false">SUMIFS('Raw Entries'!$G$2:$G$1501,'Raw Entries'!$B$2:$B$1501,A287)</f>
        <v>15</v>
      </c>
      <c r="E287" s="8" t="n">
        <f aca="false">IFERROR(B287/C287,0)</f>
        <v>208.333333333333</v>
      </c>
    </row>
    <row r="288" customFormat="false" ht="15" hidden="false" customHeight="false" outlineLevel="0" collapsed="false">
      <c r="A288" s="7" t="n">
        <v>45229</v>
      </c>
      <c r="B288" s="8" t="n">
        <f aca="false">SUMIFS('Raw Entries'!$I$2:$I$1501,'Raw Entries'!$B$2:$B$1501,A288)</f>
        <v>75</v>
      </c>
      <c r="C288" s="6" t="n">
        <f aca="false">COUNTIFS('Raw Entries'!$B$2:$B$1501,A288)</f>
        <v>1</v>
      </c>
      <c r="D288" s="6" t="n">
        <f aca="false">SUMIFS('Raw Entries'!$G$2:$G$1501,'Raw Entries'!$B$2:$B$1501,A288)</f>
        <v>3</v>
      </c>
      <c r="E288" s="8" t="n">
        <f aca="false">IFERROR(B288/C288,0)</f>
        <v>75</v>
      </c>
    </row>
    <row r="289" customFormat="false" ht="15" hidden="false" customHeight="false" outlineLevel="0" collapsed="false">
      <c r="A289" s="7" t="n">
        <v>45230</v>
      </c>
      <c r="B289" s="8" t="n">
        <f aca="false">SUMIFS('Raw Entries'!$I$2:$I$1501,'Raw Entries'!$B$2:$B$1501,A289)</f>
        <v>1790</v>
      </c>
      <c r="C289" s="6" t="n">
        <f aca="false">COUNTIFS('Raw Entries'!$B$2:$B$1501,A289)</f>
        <v>3</v>
      </c>
      <c r="D289" s="6" t="n">
        <f aca="false">SUMIFS('Raw Entries'!$G$2:$G$1501,'Raw Entries'!$B$2:$B$1501,A289)</f>
        <v>10</v>
      </c>
      <c r="E289" s="8" t="n">
        <f aca="false">IFERROR(B289/C289,0)</f>
        <v>596.666666666667</v>
      </c>
    </row>
    <row r="290" customFormat="false" ht="15" hidden="false" customHeight="false" outlineLevel="0" collapsed="false">
      <c r="A290" s="7" t="n">
        <v>45231</v>
      </c>
      <c r="B290" s="8" t="n">
        <f aca="false">SUMIFS('Raw Entries'!$I$2:$I$1501,'Raw Entries'!$B$2:$B$1501,A290)</f>
        <v>1450</v>
      </c>
      <c r="C290" s="6" t="n">
        <f aca="false">COUNTIFS('Raw Entries'!$B$2:$B$1501,A290)</f>
        <v>4</v>
      </c>
      <c r="D290" s="6" t="n">
        <f aca="false">SUMIFS('Raw Entries'!$G$2:$G$1501,'Raw Entries'!$B$2:$B$1501,A290)</f>
        <v>10</v>
      </c>
      <c r="E290" s="8" t="n">
        <f aca="false">IFERROR(B290/C290,0)</f>
        <v>362.5</v>
      </c>
    </row>
    <row r="291" customFormat="false" ht="15" hidden="false" customHeight="false" outlineLevel="0" collapsed="false">
      <c r="A291" s="7" t="n">
        <v>45232</v>
      </c>
      <c r="B291" s="8" t="n">
        <f aca="false">SUMIFS('Raw Entries'!$I$2:$I$1501,'Raw Entries'!$B$2:$B$1501,A291)</f>
        <v>1915</v>
      </c>
      <c r="C291" s="6" t="n">
        <f aca="false">COUNTIFS('Raw Entries'!$B$2:$B$1501,A291)</f>
        <v>6</v>
      </c>
      <c r="D291" s="6" t="n">
        <f aca="false">SUMIFS('Raw Entries'!$G$2:$G$1501,'Raw Entries'!$B$2:$B$1501,A291)</f>
        <v>16</v>
      </c>
      <c r="E291" s="8" t="n">
        <f aca="false">IFERROR(B291/C291,0)</f>
        <v>319.166666666667</v>
      </c>
    </row>
    <row r="292" customFormat="false" ht="15" hidden="false" customHeight="false" outlineLevel="0" collapsed="false">
      <c r="A292" s="7" t="n">
        <v>45233</v>
      </c>
      <c r="B292" s="8" t="n">
        <f aca="false">SUMIFS('Raw Entries'!$I$2:$I$1501,'Raw Entries'!$B$2:$B$1501,A292)</f>
        <v>1200</v>
      </c>
      <c r="C292" s="6" t="n">
        <f aca="false">COUNTIFS('Raw Entries'!$B$2:$B$1501,A292)</f>
        <v>1</v>
      </c>
      <c r="D292" s="6" t="n">
        <f aca="false">SUMIFS('Raw Entries'!$G$2:$G$1501,'Raw Entries'!$B$2:$B$1501,A292)</f>
        <v>4</v>
      </c>
      <c r="E292" s="8" t="n">
        <f aca="false">IFERROR(B292/C292,0)</f>
        <v>1200</v>
      </c>
    </row>
    <row r="293" customFormat="false" ht="15" hidden="false" customHeight="false" outlineLevel="0" collapsed="false">
      <c r="A293" s="7" t="n">
        <v>45234</v>
      </c>
      <c r="B293" s="8" t="n">
        <f aca="false">SUMIFS('Raw Entries'!$I$2:$I$1501,'Raw Entries'!$B$2:$B$1501,A293)</f>
        <v>500</v>
      </c>
      <c r="C293" s="6" t="n">
        <f aca="false">COUNTIFS('Raw Entries'!$B$2:$B$1501,A293)</f>
        <v>1</v>
      </c>
      <c r="D293" s="6" t="n">
        <f aca="false">SUMIFS('Raw Entries'!$G$2:$G$1501,'Raw Entries'!$B$2:$B$1501,A293)</f>
        <v>1</v>
      </c>
      <c r="E293" s="8" t="n">
        <f aca="false">IFERROR(B293/C293,0)</f>
        <v>500</v>
      </c>
    </row>
    <row r="294" customFormat="false" ht="15" hidden="false" customHeight="false" outlineLevel="0" collapsed="false">
      <c r="A294" s="7" t="n">
        <v>45235</v>
      </c>
      <c r="B294" s="8" t="n">
        <f aca="false">SUMIFS('Raw Entries'!$I$2:$I$1501,'Raw Entries'!$B$2:$B$1501,A294)</f>
        <v>1800</v>
      </c>
      <c r="C294" s="6" t="n">
        <f aca="false">COUNTIFS('Raw Entries'!$B$2:$B$1501,A294)</f>
        <v>2</v>
      </c>
      <c r="D294" s="6" t="n">
        <f aca="false">SUMIFS('Raw Entries'!$G$2:$G$1501,'Raw Entries'!$B$2:$B$1501,A294)</f>
        <v>6</v>
      </c>
      <c r="E294" s="8" t="n">
        <f aca="false">IFERROR(B294/C294,0)</f>
        <v>900</v>
      </c>
    </row>
    <row r="295" customFormat="false" ht="15" hidden="false" customHeight="false" outlineLevel="0" collapsed="false">
      <c r="A295" s="7" t="n">
        <v>45236</v>
      </c>
      <c r="B295" s="8" t="n">
        <f aca="false">SUMIFS('Raw Entries'!$I$2:$I$1501,'Raw Entries'!$B$2:$B$1501,A295)</f>
        <v>2700</v>
      </c>
      <c r="C295" s="6" t="n">
        <f aca="false">COUNTIFS('Raw Entries'!$B$2:$B$1501,A295)</f>
        <v>2</v>
      </c>
      <c r="D295" s="6" t="n">
        <f aca="false">SUMIFS('Raw Entries'!$G$2:$G$1501,'Raw Entries'!$B$2:$B$1501,A295)</f>
        <v>7</v>
      </c>
      <c r="E295" s="8" t="n">
        <f aca="false">IFERROR(B295/C295,0)</f>
        <v>1350</v>
      </c>
    </row>
    <row r="296" customFormat="false" ht="15" hidden="false" customHeight="false" outlineLevel="0" collapsed="false">
      <c r="A296" s="7" t="n">
        <v>45237</v>
      </c>
      <c r="B296" s="8" t="n">
        <f aca="false">SUMIFS('Raw Entries'!$I$2:$I$1501,'Raw Entries'!$B$2:$B$1501,A296)</f>
        <v>1560</v>
      </c>
      <c r="C296" s="6" t="n">
        <f aca="false">COUNTIFS('Raw Entries'!$B$2:$B$1501,A296)</f>
        <v>6</v>
      </c>
      <c r="D296" s="6" t="n">
        <f aca="false">SUMIFS('Raw Entries'!$G$2:$G$1501,'Raw Entries'!$B$2:$B$1501,A296)</f>
        <v>10</v>
      </c>
      <c r="E296" s="8" t="n">
        <f aca="false">IFERROR(B296/C296,0)</f>
        <v>260</v>
      </c>
    </row>
    <row r="297" customFormat="false" ht="15" hidden="false" customHeight="false" outlineLevel="0" collapsed="false">
      <c r="A297" s="7" t="n">
        <v>45238</v>
      </c>
      <c r="B297" s="8" t="n">
        <f aca="false">SUMIFS('Raw Entries'!$I$2:$I$1501,'Raw Entries'!$B$2:$B$1501,A297)</f>
        <v>210</v>
      </c>
      <c r="C297" s="6" t="n">
        <f aca="false">COUNTIFS('Raw Entries'!$B$2:$B$1501,A297)</f>
        <v>2</v>
      </c>
      <c r="D297" s="6" t="n">
        <f aca="false">SUMIFS('Raw Entries'!$G$2:$G$1501,'Raw Entries'!$B$2:$B$1501,A297)</f>
        <v>7</v>
      </c>
      <c r="E297" s="8" t="n">
        <f aca="false">IFERROR(B297/C297,0)</f>
        <v>105</v>
      </c>
    </row>
    <row r="298" customFormat="false" ht="15" hidden="false" customHeight="false" outlineLevel="0" collapsed="false">
      <c r="A298" s="7" t="n">
        <v>45239</v>
      </c>
      <c r="B298" s="8" t="n">
        <f aca="false">SUMIFS('Raw Entries'!$I$2:$I$1501,'Raw Entries'!$B$2:$B$1501,A298)</f>
        <v>3100</v>
      </c>
      <c r="C298" s="6" t="n">
        <f aca="false">COUNTIFS('Raw Entries'!$B$2:$B$1501,A298)</f>
        <v>3</v>
      </c>
      <c r="D298" s="6" t="n">
        <f aca="false">SUMIFS('Raw Entries'!$G$2:$G$1501,'Raw Entries'!$B$2:$B$1501,A298)</f>
        <v>11</v>
      </c>
      <c r="E298" s="8" t="n">
        <f aca="false">IFERROR(B298/C298,0)</f>
        <v>1033.33333333333</v>
      </c>
    </row>
    <row r="299" customFormat="false" ht="15" hidden="false" customHeight="false" outlineLevel="0" collapsed="false">
      <c r="A299" s="7" t="n">
        <v>45240</v>
      </c>
      <c r="B299" s="8" t="n">
        <f aca="false">SUMIFS('Raw Entries'!$I$2:$I$1501,'Raw Entries'!$B$2:$B$1501,A299)</f>
        <v>115</v>
      </c>
      <c r="C299" s="6" t="n">
        <f aca="false">COUNTIFS('Raw Entries'!$B$2:$B$1501,A299)</f>
        <v>2</v>
      </c>
      <c r="D299" s="6" t="n">
        <f aca="false">SUMIFS('Raw Entries'!$G$2:$G$1501,'Raw Entries'!$B$2:$B$1501,A299)</f>
        <v>4</v>
      </c>
      <c r="E299" s="8" t="n">
        <f aca="false">IFERROR(B299/C299,0)</f>
        <v>57.5</v>
      </c>
    </row>
    <row r="300" customFormat="false" ht="15" hidden="false" customHeight="false" outlineLevel="0" collapsed="false">
      <c r="A300" s="7" t="n">
        <v>45242</v>
      </c>
      <c r="B300" s="8" t="n">
        <f aca="false">SUMIFS('Raw Entries'!$I$2:$I$1501,'Raw Entries'!$B$2:$B$1501,A300)</f>
        <v>225</v>
      </c>
      <c r="C300" s="6" t="n">
        <f aca="false">COUNTIFS('Raw Entries'!$B$2:$B$1501,A300)</f>
        <v>2</v>
      </c>
      <c r="D300" s="6" t="n">
        <f aca="false">SUMIFS('Raw Entries'!$G$2:$G$1501,'Raw Entries'!$B$2:$B$1501,A300)</f>
        <v>6</v>
      </c>
      <c r="E300" s="8" t="n">
        <f aca="false">IFERROR(B300/C300,0)</f>
        <v>112.5</v>
      </c>
    </row>
    <row r="301" customFormat="false" ht="15" hidden="false" customHeight="false" outlineLevel="0" collapsed="false">
      <c r="A301" s="7" t="n">
        <v>45243</v>
      </c>
      <c r="B301" s="8" t="n">
        <f aca="false">SUMIFS('Raw Entries'!$I$2:$I$1501,'Raw Entries'!$B$2:$B$1501,A301)</f>
        <v>1225</v>
      </c>
      <c r="C301" s="6" t="n">
        <f aca="false">COUNTIFS('Raw Entries'!$B$2:$B$1501,A301)</f>
        <v>2</v>
      </c>
      <c r="D301" s="6" t="n">
        <f aca="false">SUMIFS('Raw Entries'!$G$2:$G$1501,'Raw Entries'!$B$2:$B$1501,A301)</f>
        <v>5</v>
      </c>
      <c r="E301" s="8" t="n">
        <f aca="false">IFERROR(B301/C301,0)</f>
        <v>612.5</v>
      </c>
    </row>
    <row r="302" customFormat="false" ht="15" hidden="false" customHeight="false" outlineLevel="0" collapsed="false">
      <c r="A302" s="7" t="n">
        <v>45244</v>
      </c>
      <c r="B302" s="8" t="n">
        <f aca="false">SUMIFS('Raw Entries'!$I$2:$I$1501,'Raw Entries'!$B$2:$B$1501,A302)</f>
        <v>1080</v>
      </c>
      <c r="C302" s="6" t="n">
        <f aca="false">COUNTIFS('Raw Entries'!$B$2:$B$1501,A302)</f>
        <v>4</v>
      </c>
      <c r="D302" s="6" t="n">
        <f aca="false">SUMIFS('Raw Entries'!$G$2:$G$1501,'Raw Entries'!$B$2:$B$1501,A302)</f>
        <v>9</v>
      </c>
      <c r="E302" s="8" t="n">
        <f aca="false">IFERROR(B302/C302,0)</f>
        <v>270</v>
      </c>
    </row>
    <row r="303" customFormat="false" ht="15" hidden="false" customHeight="false" outlineLevel="0" collapsed="false">
      <c r="A303" s="7" t="n">
        <v>45245</v>
      </c>
      <c r="B303" s="8" t="n">
        <f aca="false">SUMIFS('Raw Entries'!$I$2:$I$1501,'Raw Entries'!$B$2:$B$1501,A303)</f>
        <v>1630</v>
      </c>
      <c r="C303" s="6" t="n">
        <f aca="false">COUNTIFS('Raw Entries'!$B$2:$B$1501,A303)</f>
        <v>3</v>
      </c>
      <c r="D303" s="6" t="n">
        <f aca="false">SUMIFS('Raw Entries'!$G$2:$G$1501,'Raw Entries'!$B$2:$B$1501,A303)</f>
        <v>8</v>
      </c>
      <c r="E303" s="8" t="n">
        <f aca="false">IFERROR(B303/C303,0)</f>
        <v>543.333333333333</v>
      </c>
    </row>
    <row r="304" customFormat="false" ht="15" hidden="false" customHeight="false" outlineLevel="0" collapsed="false">
      <c r="A304" s="7" t="n">
        <v>45246</v>
      </c>
      <c r="B304" s="8" t="n">
        <f aca="false">SUMIFS('Raw Entries'!$I$2:$I$1501,'Raw Entries'!$B$2:$B$1501,A304)</f>
        <v>1500</v>
      </c>
      <c r="C304" s="6" t="n">
        <f aca="false">COUNTIFS('Raw Entries'!$B$2:$B$1501,A304)</f>
        <v>1</v>
      </c>
      <c r="D304" s="6" t="n">
        <f aca="false">SUMIFS('Raw Entries'!$G$2:$G$1501,'Raw Entries'!$B$2:$B$1501,A304)</f>
        <v>3</v>
      </c>
      <c r="E304" s="8" t="n">
        <f aca="false">IFERROR(B304/C304,0)</f>
        <v>1500</v>
      </c>
    </row>
    <row r="305" customFormat="false" ht="15" hidden="false" customHeight="false" outlineLevel="0" collapsed="false">
      <c r="A305" s="7" t="n">
        <v>45247</v>
      </c>
      <c r="B305" s="8" t="n">
        <f aca="false">SUMIFS('Raw Entries'!$I$2:$I$1501,'Raw Entries'!$B$2:$B$1501,A305)</f>
        <v>2610</v>
      </c>
      <c r="C305" s="6" t="n">
        <f aca="false">COUNTIFS('Raw Entries'!$B$2:$B$1501,A305)</f>
        <v>4</v>
      </c>
      <c r="D305" s="6" t="n">
        <f aca="false">SUMIFS('Raw Entries'!$G$2:$G$1501,'Raw Entries'!$B$2:$B$1501,A305)</f>
        <v>13</v>
      </c>
      <c r="E305" s="8" t="n">
        <f aca="false">IFERROR(B305/C305,0)</f>
        <v>652.5</v>
      </c>
    </row>
    <row r="306" customFormat="false" ht="15" hidden="false" customHeight="false" outlineLevel="0" collapsed="false">
      <c r="A306" s="7" t="n">
        <v>45248</v>
      </c>
      <c r="B306" s="8" t="n">
        <f aca="false">SUMIFS('Raw Entries'!$I$2:$I$1501,'Raw Entries'!$B$2:$B$1501,A306)</f>
        <v>1130</v>
      </c>
      <c r="C306" s="6" t="n">
        <f aca="false">COUNTIFS('Raw Entries'!$B$2:$B$1501,A306)</f>
        <v>3</v>
      </c>
      <c r="D306" s="6" t="n">
        <f aca="false">SUMIFS('Raw Entries'!$G$2:$G$1501,'Raw Entries'!$B$2:$B$1501,A306)</f>
        <v>7</v>
      </c>
      <c r="E306" s="8" t="n">
        <f aca="false">IFERROR(B306/C306,0)</f>
        <v>376.666666666667</v>
      </c>
    </row>
    <row r="307" customFormat="false" ht="15" hidden="false" customHeight="false" outlineLevel="0" collapsed="false">
      <c r="A307" s="7" t="n">
        <v>45249</v>
      </c>
      <c r="B307" s="8" t="n">
        <f aca="false">SUMIFS('Raw Entries'!$I$2:$I$1501,'Raw Entries'!$B$2:$B$1501,A307)</f>
        <v>300</v>
      </c>
      <c r="C307" s="6" t="n">
        <f aca="false">COUNTIFS('Raw Entries'!$B$2:$B$1501,A307)</f>
        <v>2</v>
      </c>
      <c r="D307" s="6" t="n">
        <f aca="false">SUMIFS('Raw Entries'!$G$2:$G$1501,'Raw Entries'!$B$2:$B$1501,A307)</f>
        <v>6</v>
      </c>
      <c r="E307" s="8" t="n">
        <f aca="false">IFERROR(B307/C307,0)</f>
        <v>150</v>
      </c>
    </row>
    <row r="308" customFormat="false" ht="15" hidden="false" customHeight="false" outlineLevel="0" collapsed="false">
      <c r="A308" s="7" t="n">
        <v>45250</v>
      </c>
      <c r="B308" s="8" t="n">
        <f aca="false">SUMIFS('Raw Entries'!$I$2:$I$1501,'Raw Entries'!$B$2:$B$1501,A308)</f>
        <v>50</v>
      </c>
      <c r="C308" s="6" t="n">
        <f aca="false">COUNTIFS('Raw Entries'!$B$2:$B$1501,A308)</f>
        <v>1</v>
      </c>
      <c r="D308" s="6" t="n">
        <f aca="false">SUMIFS('Raw Entries'!$G$2:$G$1501,'Raw Entries'!$B$2:$B$1501,A308)</f>
        <v>2</v>
      </c>
      <c r="E308" s="8" t="n">
        <f aca="false">IFERROR(B308/C308,0)</f>
        <v>50</v>
      </c>
    </row>
    <row r="309" customFormat="false" ht="15" hidden="false" customHeight="false" outlineLevel="0" collapsed="false">
      <c r="A309" s="7" t="n">
        <v>45251</v>
      </c>
      <c r="B309" s="8" t="n">
        <f aca="false">SUMIFS('Raw Entries'!$I$2:$I$1501,'Raw Entries'!$B$2:$B$1501,A309)</f>
        <v>1060</v>
      </c>
      <c r="C309" s="6" t="n">
        <f aca="false">COUNTIFS('Raw Entries'!$B$2:$B$1501,A309)</f>
        <v>3</v>
      </c>
      <c r="D309" s="6" t="n">
        <f aca="false">SUMIFS('Raw Entries'!$G$2:$G$1501,'Raw Entries'!$B$2:$B$1501,A309)</f>
        <v>7</v>
      </c>
      <c r="E309" s="8" t="n">
        <f aca="false">IFERROR(B309/C309,0)</f>
        <v>353.333333333333</v>
      </c>
    </row>
    <row r="310" customFormat="false" ht="15" hidden="false" customHeight="false" outlineLevel="0" collapsed="false">
      <c r="A310" s="7" t="n">
        <v>45252</v>
      </c>
      <c r="B310" s="8" t="n">
        <f aca="false">SUMIFS('Raw Entries'!$I$2:$I$1501,'Raw Entries'!$B$2:$B$1501,A310)</f>
        <v>2200</v>
      </c>
      <c r="C310" s="6" t="n">
        <f aca="false">COUNTIFS('Raw Entries'!$B$2:$B$1501,A310)</f>
        <v>3</v>
      </c>
      <c r="D310" s="6" t="n">
        <f aca="false">SUMIFS('Raw Entries'!$G$2:$G$1501,'Raw Entries'!$B$2:$B$1501,A310)</f>
        <v>10</v>
      </c>
      <c r="E310" s="8" t="n">
        <f aca="false">IFERROR(B310/C310,0)</f>
        <v>733.333333333333</v>
      </c>
    </row>
    <row r="311" customFormat="false" ht="15" hidden="false" customHeight="false" outlineLevel="0" collapsed="false">
      <c r="A311" s="7" t="n">
        <v>45253</v>
      </c>
      <c r="B311" s="8" t="n">
        <f aca="false">SUMIFS('Raw Entries'!$I$2:$I$1501,'Raw Entries'!$B$2:$B$1501,A311)</f>
        <v>1590</v>
      </c>
      <c r="C311" s="6" t="n">
        <f aca="false">COUNTIFS('Raw Entries'!$B$2:$B$1501,A311)</f>
        <v>3</v>
      </c>
      <c r="D311" s="6" t="n">
        <f aca="false">SUMIFS('Raw Entries'!$G$2:$G$1501,'Raw Entries'!$B$2:$B$1501,A311)</f>
        <v>8</v>
      </c>
      <c r="E311" s="8" t="n">
        <f aca="false">IFERROR(B311/C311,0)</f>
        <v>530</v>
      </c>
    </row>
    <row r="312" customFormat="false" ht="15" hidden="false" customHeight="false" outlineLevel="0" collapsed="false">
      <c r="A312" s="7" t="n">
        <v>45254</v>
      </c>
      <c r="B312" s="8" t="n">
        <f aca="false">SUMIFS('Raw Entries'!$I$2:$I$1501,'Raw Entries'!$B$2:$B$1501,A312)</f>
        <v>1110</v>
      </c>
      <c r="C312" s="6" t="n">
        <f aca="false">COUNTIFS('Raw Entries'!$B$2:$B$1501,A312)</f>
        <v>3</v>
      </c>
      <c r="D312" s="6" t="n">
        <f aca="false">SUMIFS('Raw Entries'!$G$2:$G$1501,'Raw Entries'!$B$2:$B$1501,A312)</f>
        <v>8</v>
      </c>
      <c r="E312" s="8" t="n">
        <f aca="false">IFERROR(B312/C312,0)</f>
        <v>370</v>
      </c>
    </row>
    <row r="313" customFormat="false" ht="15" hidden="false" customHeight="false" outlineLevel="0" collapsed="false">
      <c r="A313" s="7" t="n">
        <v>45255</v>
      </c>
      <c r="B313" s="8" t="n">
        <f aca="false">SUMIFS('Raw Entries'!$I$2:$I$1501,'Raw Entries'!$B$2:$B$1501,A313)</f>
        <v>150</v>
      </c>
      <c r="C313" s="6" t="n">
        <f aca="false">COUNTIFS('Raw Entries'!$B$2:$B$1501,A313)</f>
        <v>2</v>
      </c>
      <c r="D313" s="6" t="n">
        <f aca="false">SUMIFS('Raw Entries'!$G$2:$G$1501,'Raw Entries'!$B$2:$B$1501,A313)</f>
        <v>6</v>
      </c>
      <c r="E313" s="8" t="n">
        <f aca="false">IFERROR(B313/C313,0)</f>
        <v>75</v>
      </c>
    </row>
    <row r="314" customFormat="false" ht="15" hidden="false" customHeight="false" outlineLevel="0" collapsed="false">
      <c r="A314" s="7" t="n">
        <v>45256</v>
      </c>
      <c r="B314" s="8" t="n">
        <f aca="false">SUMIFS('Raw Entries'!$I$2:$I$1501,'Raw Entries'!$B$2:$B$1501,A314)</f>
        <v>1600</v>
      </c>
      <c r="C314" s="6" t="n">
        <f aca="false">COUNTIFS('Raw Entries'!$B$2:$B$1501,A314)</f>
        <v>2</v>
      </c>
      <c r="D314" s="6" t="n">
        <f aca="false">SUMIFS('Raw Entries'!$G$2:$G$1501,'Raw Entries'!$B$2:$B$1501,A314)</f>
        <v>7</v>
      </c>
      <c r="E314" s="8" t="n">
        <f aca="false">IFERROR(B314/C314,0)</f>
        <v>800</v>
      </c>
    </row>
    <row r="315" customFormat="false" ht="15" hidden="false" customHeight="false" outlineLevel="0" collapsed="false">
      <c r="A315" s="7" t="n">
        <v>45257</v>
      </c>
      <c r="B315" s="8" t="n">
        <f aca="false">SUMIFS('Raw Entries'!$I$2:$I$1501,'Raw Entries'!$B$2:$B$1501,A315)</f>
        <v>235</v>
      </c>
      <c r="C315" s="6" t="n">
        <f aca="false">COUNTIFS('Raw Entries'!$B$2:$B$1501,A315)</f>
        <v>3</v>
      </c>
      <c r="D315" s="6" t="n">
        <f aca="false">SUMIFS('Raw Entries'!$G$2:$G$1501,'Raw Entries'!$B$2:$B$1501,A315)</f>
        <v>8</v>
      </c>
      <c r="E315" s="8" t="n">
        <f aca="false">IFERROR(B315/C315,0)</f>
        <v>78.3333333333333</v>
      </c>
    </row>
    <row r="316" customFormat="false" ht="15" hidden="false" customHeight="false" outlineLevel="0" collapsed="false">
      <c r="A316" s="7" t="n">
        <v>45258</v>
      </c>
      <c r="B316" s="8" t="n">
        <f aca="false">SUMIFS('Raw Entries'!$I$2:$I$1501,'Raw Entries'!$B$2:$B$1501,A316)</f>
        <v>390</v>
      </c>
      <c r="C316" s="6" t="n">
        <f aca="false">COUNTIFS('Raw Entries'!$B$2:$B$1501,A316)</f>
        <v>2</v>
      </c>
      <c r="D316" s="6" t="n">
        <f aca="false">SUMIFS('Raw Entries'!$G$2:$G$1501,'Raw Entries'!$B$2:$B$1501,A316)</f>
        <v>4</v>
      </c>
      <c r="E316" s="8" t="n">
        <f aca="false">IFERROR(B316/C316,0)</f>
        <v>195</v>
      </c>
    </row>
    <row r="317" customFormat="false" ht="15" hidden="false" customHeight="false" outlineLevel="0" collapsed="false">
      <c r="A317" s="7" t="n">
        <v>45259</v>
      </c>
      <c r="B317" s="8" t="n">
        <f aca="false">SUMIFS('Raw Entries'!$I$2:$I$1501,'Raw Entries'!$B$2:$B$1501,A317)</f>
        <v>1825</v>
      </c>
      <c r="C317" s="6" t="n">
        <f aca="false">COUNTIFS('Raw Entries'!$B$2:$B$1501,A317)</f>
        <v>3</v>
      </c>
      <c r="D317" s="6" t="n">
        <f aca="false">SUMIFS('Raw Entries'!$G$2:$G$1501,'Raw Entries'!$B$2:$B$1501,A317)</f>
        <v>5</v>
      </c>
      <c r="E317" s="8" t="n">
        <f aca="false">IFERROR(B317/C317,0)</f>
        <v>608.333333333333</v>
      </c>
    </row>
    <row r="318" customFormat="false" ht="15" hidden="false" customHeight="false" outlineLevel="0" collapsed="false">
      <c r="A318" s="7" t="n">
        <v>45260</v>
      </c>
      <c r="B318" s="8" t="n">
        <f aca="false">SUMIFS('Raw Entries'!$I$2:$I$1501,'Raw Entries'!$B$2:$B$1501,A318)</f>
        <v>460</v>
      </c>
      <c r="C318" s="6" t="n">
        <f aca="false">COUNTIFS('Raw Entries'!$B$2:$B$1501,A318)</f>
        <v>3</v>
      </c>
      <c r="D318" s="6" t="n">
        <f aca="false">SUMIFS('Raw Entries'!$G$2:$G$1501,'Raw Entries'!$B$2:$B$1501,A318)</f>
        <v>7</v>
      </c>
      <c r="E318" s="8" t="n">
        <f aca="false">IFERROR(B318/C318,0)</f>
        <v>153.333333333333</v>
      </c>
    </row>
    <row r="319" customFormat="false" ht="15" hidden="false" customHeight="false" outlineLevel="0" collapsed="false">
      <c r="A319" s="7" t="n">
        <v>45261</v>
      </c>
      <c r="B319" s="8" t="n">
        <f aca="false">SUMIFS('Raw Entries'!$I$2:$I$1501,'Raw Entries'!$B$2:$B$1501,A319)</f>
        <v>110</v>
      </c>
      <c r="C319" s="6" t="n">
        <f aca="false">COUNTIFS('Raw Entries'!$B$2:$B$1501,A319)</f>
        <v>2</v>
      </c>
      <c r="D319" s="6" t="n">
        <f aca="false">SUMIFS('Raw Entries'!$G$2:$G$1501,'Raw Entries'!$B$2:$B$1501,A319)</f>
        <v>4</v>
      </c>
      <c r="E319" s="8" t="n">
        <f aca="false">IFERROR(B319/C319,0)</f>
        <v>55</v>
      </c>
    </row>
    <row r="320" customFormat="false" ht="15" hidden="false" customHeight="false" outlineLevel="0" collapsed="false">
      <c r="A320" s="7" t="n">
        <v>45262</v>
      </c>
      <c r="B320" s="8" t="n">
        <f aca="false">SUMIFS('Raw Entries'!$I$2:$I$1501,'Raw Entries'!$B$2:$B$1501,A320)</f>
        <v>3030</v>
      </c>
      <c r="C320" s="6" t="n">
        <f aca="false">COUNTIFS('Raw Entries'!$B$2:$B$1501,A320)</f>
        <v>3</v>
      </c>
      <c r="D320" s="6" t="n">
        <f aca="false">SUMIFS('Raw Entries'!$G$2:$G$1501,'Raw Entries'!$B$2:$B$1501,A320)</f>
        <v>7</v>
      </c>
      <c r="E320" s="8" t="n">
        <f aca="false">IFERROR(B320/C320,0)</f>
        <v>1010</v>
      </c>
    </row>
    <row r="321" customFormat="false" ht="15" hidden="false" customHeight="false" outlineLevel="0" collapsed="false">
      <c r="A321" s="7" t="n">
        <v>45263</v>
      </c>
      <c r="B321" s="8" t="n">
        <f aca="false">SUMIFS('Raw Entries'!$I$2:$I$1501,'Raw Entries'!$B$2:$B$1501,A321)</f>
        <v>600</v>
      </c>
      <c r="C321" s="6" t="n">
        <f aca="false">COUNTIFS('Raw Entries'!$B$2:$B$1501,A321)</f>
        <v>1</v>
      </c>
      <c r="D321" s="6" t="n">
        <f aca="false">SUMIFS('Raw Entries'!$G$2:$G$1501,'Raw Entries'!$B$2:$B$1501,A321)</f>
        <v>2</v>
      </c>
      <c r="E321" s="8" t="n">
        <f aca="false">IFERROR(B321/C321,0)</f>
        <v>600</v>
      </c>
    </row>
    <row r="322" customFormat="false" ht="15" hidden="false" customHeight="false" outlineLevel="0" collapsed="false">
      <c r="A322" s="7" t="n">
        <v>45264</v>
      </c>
      <c r="B322" s="8" t="n">
        <f aca="false">SUMIFS('Raw Entries'!$I$2:$I$1501,'Raw Entries'!$B$2:$B$1501,A322)</f>
        <v>1730</v>
      </c>
      <c r="C322" s="6" t="n">
        <f aca="false">COUNTIFS('Raw Entries'!$B$2:$B$1501,A322)</f>
        <v>4</v>
      </c>
      <c r="D322" s="6" t="n">
        <f aca="false">SUMIFS('Raw Entries'!$G$2:$G$1501,'Raw Entries'!$B$2:$B$1501,A322)</f>
        <v>8</v>
      </c>
      <c r="E322" s="8" t="n">
        <f aca="false">IFERROR(B322/C322,0)</f>
        <v>432.5</v>
      </c>
    </row>
    <row r="323" customFormat="false" ht="15" hidden="false" customHeight="false" outlineLevel="0" collapsed="false">
      <c r="A323" s="7" t="n">
        <v>45265</v>
      </c>
      <c r="B323" s="8" t="n">
        <f aca="false">SUMIFS('Raw Entries'!$I$2:$I$1501,'Raw Entries'!$B$2:$B$1501,A323)</f>
        <v>2475</v>
      </c>
      <c r="C323" s="6" t="n">
        <f aca="false">COUNTIFS('Raw Entries'!$B$2:$B$1501,A323)</f>
        <v>5</v>
      </c>
      <c r="D323" s="6" t="n">
        <f aca="false">SUMIFS('Raw Entries'!$G$2:$G$1501,'Raw Entries'!$B$2:$B$1501,A323)</f>
        <v>16</v>
      </c>
      <c r="E323" s="8" t="n">
        <f aca="false">IFERROR(B323/C323,0)</f>
        <v>495</v>
      </c>
    </row>
    <row r="324" customFormat="false" ht="15" hidden="false" customHeight="false" outlineLevel="0" collapsed="false">
      <c r="A324" s="7" t="n">
        <v>45266</v>
      </c>
      <c r="B324" s="8" t="n">
        <f aca="false">SUMIFS('Raw Entries'!$I$2:$I$1501,'Raw Entries'!$B$2:$B$1501,A324)</f>
        <v>2940</v>
      </c>
      <c r="C324" s="6" t="n">
        <f aca="false">COUNTIFS('Raw Entries'!$B$2:$B$1501,A324)</f>
        <v>5</v>
      </c>
      <c r="D324" s="6" t="n">
        <f aca="false">SUMIFS('Raw Entries'!$G$2:$G$1501,'Raw Entries'!$B$2:$B$1501,A324)</f>
        <v>11</v>
      </c>
      <c r="E324" s="8" t="n">
        <f aca="false">IFERROR(B324/C324,0)</f>
        <v>588</v>
      </c>
    </row>
    <row r="325" customFormat="false" ht="15" hidden="false" customHeight="false" outlineLevel="0" collapsed="false">
      <c r="A325" s="7" t="n">
        <v>45267</v>
      </c>
      <c r="B325" s="8" t="n">
        <f aca="false">SUMIFS('Raw Entries'!$I$2:$I$1501,'Raw Entries'!$B$2:$B$1501,A325)</f>
        <v>1400</v>
      </c>
      <c r="C325" s="6" t="n">
        <f aca="false">COUNTIFS('Raw Entries'!$B$2:$B$1501,A325)</f>
        <v>2</v>
      </c>
      <c r="D325" s="6" t="n">
        <f aca="false">SUMIFS('Raw Entries'!$G$2:$G$1501,'Raw Entries'!$B$2:$B$1501,A325)</f>
        <v>4</v>
      </c>
      <c r="E325" s="8" t="n">
        <f aca="false">IFERROR(B325/C325,0)</f>
        <v>700</v>
      </c>
    </row>
    <row r="326" customFormat="false" ht="15" hidden="false" customHeight="false" outlineLevel="0" collapsed="false">
      <c r="A326" s="7" t="n">
        <v>45268</v>
      </c>
      <c r="B326" s="8" t="n">
        <f aca="false">SUMIFS('Raw Entries'!$I$2:$I$1501,'Raw Entries'!$B$2:$B$1501,A326)</f>
        <v>2800</v>
      </c>
      <c r="C326" s="6" t="n">
        <f aca="false">COUNTIFS('Raw Entries'!$B$2:$B$1501,A326)</f>
        <v>4</v>
      </c>
      <c r="D326" s="6" t="n">
        <f aca="false">SUMIFS('Raw Entries'!$G$2:$G$1501,'Raw Entries'!$B$2:$B$1501,A326)</f>
        <v>8</v>
      </c>
      <c r="E326" s="8" t="n">
        <f aca="false">IFERROR(B326/C326,0)</f>
        <v>700</v>
      </c>
    </row>
    <row r="327" customFormat="false" ht="15" hidden="false" customHeight="false" outlineLevel="0" collapsed="false">
      <c r="A327" s="7" t="n">
        <v>45269</v>
      </c>
      <c r="B327" s="8" t="n">
        <f aca="false">SUMIFS('Raw Entries'!$I$2:$I$1501,'Raw Entries'!$B$2:$B$1501,A327)</f>
        <v>3925</v>
      </c>
      <c r="C327" s="6" t="n">
        <f aca="false">COUNTIFS('Raw Entries'!$B$2:$B$1501,A327)</f>
        <v>6</v>
      </c>
      <c r="D327" s="6" t="n">
        <f aca="false">SUMIFS('Raw Entries'!$G$2:$G$1501,'Raw Entries'!$B$2:$B$1501,A327)</f>
        <v>14</v>
      </c>
      <c r="E327" s="8" t="n">
        <f aca="false">IFERROR(B327/C327,0)</f>
        <v>654.166666666667</v>
      </c>
    </row>
    <row r="328" customFormat="false" ht="15" hidden="false" customHeight="false" outlineLevel="0" collapsed="false">
      <c r="A328" s="7" t="n">
        <v>45270</v>
      </c>
      <c r="B328" s="8" t="n">
        <f aca="false">SUMIFS('Raw Entries'!$I$2:$I$1501,'Raw Entries'!$B$2:$B$1501,A328)</f>
        <v>1420</v>
      </c>
      <c r="C328" s="6" t="n">
        <f aca="false">COUNTIFS('Raw Entries'!$B$2:$B$1501,A328)</f>
        <v>4</v>
      </c>
      <c r="D328" s="6" t="n">
        <f aca="false">SUMIFS('Raw Entries'!$G$2:$G$1501,'Raw Entries'!$B$2:$B$1501,A328)</f>
        <v>10</v>
      </c>
      <c r="E328" s="8" t="n">
        <f aca="false">IFERROR(B328/C328,0)</f>
        <v>355</v>
      </c>
    </row>
    <row r="329" customFormat="false" ht="15" hidden="false" customHeight="false" outlineLevel="0" collapsed="false">
      <c r="A329" s="7" t="n">
        <v>45271</v>
      </c>
      <c r="B329" s="8" t="n">
        <f aca="false">SUMIFS('Raw Entries'!$I$2:$I$1501,'Raw Entries'!$B$2:$B$1501,A329)</f>
        <v>950</v>
      </c>
      <c r="C329" s="6" t="n">
        <f aca="false">COUNTIFS('Raw Entries'!$B$2:$B$1501,A329)</f>
        <v>2</v>
      </c>
      <c r="D329" s="6" t="n">
        <f aca="false">SUMIFS('Raw Entries'!$G$2:$G$1501,'Raw Entries'!$B$2:$B$1501,A329)</f>
        <v>4</v>
      </c>
      <c r="E329" s="8" t="n">
        <f aca="false">IFERROR(B329/C329,0)</f>
        <v>475</v>
      </c>
    </row>
    <row r="330" customFormat="false" ht="15" hidden="false" customHeight="false" outlineLevel="0" collapsed="false">
      <c r="A330" s="7" t="n">
        <v>45272</v>
      </c>
      <c r="B330" s="8" t="n">
        <f aca="false">SUMIFS('Raw Entries'!$I$2:$I$1501,'Raw Entries'!$B$2:$B$1501,A330)</f>
        <v>200</v>
      </c>
      <c r="C330" s="6" t="n">
        <f aca="false">COUNTIFS('Raw Entries'!$B$2:$B$1501,A330)</f>
        <v>2</v>
      </c>
      <c r="D330" s="6" t="n">
        <f aca="false">SUMIFS('Raw Entries'!$G$2:$G$1501,'Raw Entries'!$B$2:$B$1501,A330)</f>
        <v>4</v>
      </c>
      <c r="E330" s="8" t="n">
        <f aca="false">IFERROR(B330/C330,0)</f>
        <v>100</v>
      </c>
    </row>
    <row r="331" customFormat="false" ht="15" hidden="false" customHeight="false" outlineLevel="0" collapsed="false">
      <c r="A331" s="7" t="n">
        <v>45273</v>
      </c>
      <c r="B331" s="8" t="n">
        <f aca="false">SUMIFS('Raw Entries'!$I$2:$I$1501,'Raw Entries'!$B$2:$B$1501,A331)</f>
        <v>725</v>
      </c>
      <c r="C331" s="6" t="n">
        <f aca="false">COUNTIFS('Raw Entries'!$B$2:$B$1501,A331)</f>
        <v>3</v>
      </c>
      <c r="D331" s="6" t="n">
        <f aca="false">SUMIFS('Raw Entries'!$G$2:$G$1501,'Raw Entries'!$B$2:$B$1501,A331)</f>
        <v>7</v>
      </c>
      <c r="E331" s="8" t="n">
        <f aca="false">IFERROR(B331/C331,0)</f>
        <v>241.666666666667</v>
      </c>
    </row>
    <row r="332" customFormat="false" ht="15" hidden="false" customHeight="false" outlineLevel="0" collapsed="false">
      <c r="A332" s="7" t="n">
        <v>45274</v>
      </c>
      <c r="B332" s="8" t="n">
        <f aca="false">SUMIFS('Raw Entries'!$I$2:$I$1501,'Raw Entries'!$B$2:$B$1501,A332)</f>
        <v>660</v>
      </c>
      <c r="C332" s="6" t="n">
        <f aca="false">COUNTIFS('Raw Entries'!$B$2:$B$1501,A332)</f>
        <v>2</v>
      </c>
      <c r="D332" s="6" t="n">
        <f aca="false">SUMIFS('Raw Entries'!$G$2:$G$1501,'Raw Entries'!$B$2:$B$1501,A332)</f>
        <v>4</v>
      </c>
      <c r="E332" s="8" t="n">
        <f aca="false">IFERROR(B332/C332,0)</f>
        <v>330</v>
      </c>
    </row>
    <row r="333" customFormat="false" ht="15" hidden="false" customHeight="false" outlineLevel="0" collapsed="false">
      <c r="A333" s="7" t="n">
        <v>45275</v>
      </c>
      <c r="B333" s="8" t="n">
        <f aca="false">SUMIFS('Raw Entries'!$I$2:$I$1501,'Raw Entries'!$B$2:$B$1501,A333)</f>
        <v>2050</v>
      </c>
      <c r="C333" s="6" t="n">
        <f aca="false">COUNTIFS('Raw Entries'!$B$2:$B$1501,A333)</f>
        <v>2</v>
      </c>
      <c r="D333" s="6" t="n">
        <f aca="false">SUMIFS('Raw Entries'!$G$2:$G$1501,'Raw Entries'!$B$2:$B$1501,A333)</f>
        <v>5</v>
      </c>
      <c r="E333" s="8" t="n">
        <f aca="false">IFERROR(B333/C333,0)</f>
        <v>1025</v>
      </c>
    </row>
    <row r="334" customFormat="false" ht="15" hidden="false" customHeight="false" outlineLevel="0" collapsed="false">
      <c r="A334" s="7" t="n">
        <v>45276</v>
      </c>
      <c r="B334" s="8" t="n">
        <f aca="false">SUMIFS('Raw Entries'!$I$2:$I$1501,'Raw Entries'!$B$2:$B$1501,A334)</f>
        <v>1130</v>
      </c>
      <c r="C334" s="6" t="n">
        <f aca="false">COUNTIFS('Raw Entries'!$B$2:$B$1501,A334)</f>
        <v>3</v>
      </c>
      <c r="D334" s="6" t="n">
        <f aca="false">SUMIFS('Raw Entries'!$G$2:$G$1501,'Raw Entries'!$B$2:$B$1501,A334)</f>
        <v>5</v>
      </c>
      <c r="E334" s="8" t="n">
        <f aca="false">IFERROR(B334/C334,0)</f>
        <v>376.666666666667</v>
      </c>
    </row>
    <row r="335" customFormat="false" ht="15" hidden="false" customHeight="false" outlineLevel="0" collapsed="false">
      <c r="A335" s="7" t="n">
        <v>45277</v>
      </c>
      <c r="B335" s="8" t="n">
        <f aca="false">SUMIFS('Raw Entries'!$I$2:$I$1501,'Raw Entries'!$B$2:$B$1501,A335)</f>
        <v>1500</v>
      </c>
      <c r="C335" s="6" t="n">
        <f aca="false">COUNTIFS('Raw Entries'!$B$2:$B$1501,A335)</f>
        <v>2</v>
      </c>
      <c r="D335" s="6" t="n">
        <f aca="false">SUMIFS('Raw Entries'!$G$2:$G$1501,'Raw Entries'!$B$2:$B$1501,A335)</f>
        <v>5</v>
      </c>
      <c r="E335" s="8" t="n">
        <f aca="false">IFERROR(B335/C335,0)</f>
        <v>750</v>
      </c>
    </row>
    <row r="336" customFormat="false" ht="15" hidden="false" customHeight="false" outlineLevel="0" collapsed="false">
      <c r="A336" s="7" t="n">
        <v>45278</v>
      </c>
      <c r="B336" s="8" t="n">
        <f aca="false">SUMIFS('Raw Entries'!$I$2:$I$1501,'Raw Entries'!$B$2:$B$1501,A336)</f>
        <v>2250</v>
      </c>
      <c r="C336" s="6" t="n">
        <f aca="false">COUNTIFS('Raw Entries'!$B$2:$B$1501,A336)</f>
        <v>4</v>
      </c>
      <c r="D336" s="6" t="n">
        <f aca="false">SUMIFS('Raw Entries'!$G$2:$G$1501,'Raw Entries'!$B$2:$B$1501,A336)</f>
        <v>8</v>
      </c>
      <c r="E336" s="8" t="n">
        <f aca="false">IFERROR(B336/C336,0)</f>
        <v>562.5</v>
      </c>
    </row>
    <row r="337" customFormat="false" ht="15" hidden="false" customHeight="false" outlineLevel="0" collapsed="false">
      <c r="A337" s="7" t="n">
        <v>45279</v>
      </c>
      <c r="B337" s="8" t="n">
        <f aca="false">SUMIFS('Raw Entries'!$I$2:$I$1501,'Raw Entries'!$B$2:$B$1501,A337)</f>
        <v>790</v>
      </c>
      <c r="C337" s="6" t="n">
        <f aca="false">COUNTIFS('Raw Entries'!$B$2:$B$1501,A337)</f>
        <v>3</v>
      </c>
      <c r="D337" s="6" t="n">
        <f aca="false">SUMIFS('Raw Entries'!$G$2:$G$1501,'Raw Entries'!$B$2:$B$1501,A337)</f>
        <v>7</v>
      </c>
      <c r="E337" s="8" t="n">
        <f aca="false">IFERROR(B337/C337,0)</f>
        <v>263.333333333333</v>
      </c>
    </row>
    <row r="338" customFormat="false" ht="15" hidden="false" customHeight="false" outlineLevel="0" collapsed="false">
      <c r="A338" s="7" t="n">
        <v>45280</v>
      </c>
      <c r="B338" s="8" t="n">
        <f aca="false">SUMIFS('Raw Entries'!$I$2:$I$1501,'Raw Entries'!$B$2:$B$1501,A338)</f>
        <v>1350</v>
      </c>
      <c r="C338" s="6" t="n">
        <f aca="false">COUNTIFS('Raw Entries'!$B$2:$B$1501,A338)</f>
        <v>5</v>
      </c>
      <c r="D338" s="6" t="n">
        <f aca="false">SUMIFS('Raw Entries'!$G$2:$G$1501,'Raw Entries'!$B$2:$B$1501,A338)</f>
        <v>13</v>
      </c>
      <c r="E338" s="8" t="n">
        <f aca="false">IFERROR(B338/C338,0)</f>
        <v>270</v>
      </c>
    </row>
    <row r="339" customFormat="false" ht="15" hidden="false" customHeight="false" outlineLevel="0" collapsed="false">
      <c r="A339" s="7" t="n">
        <v>45281</v>
      </c>
      <c r="B339" s="8" t="n">
        <f aca="false">SUMIFS('Raw Entries'!$I$2:$I$1501,'Raw Entries'!$B$2:$B$1501,A339)</f>
        <v>300</v>
      </c>
      <c r="C339" s="6" t="n">
        <f aca="false">COUNTIFS('Raw Entries'!$B$2:$B$1501,A339)</f>
        <v>1</v>
      </c>
      <c r="D339" s="6" t="n">
        <f aca="false">SUMIFS('Raw Entries'!$G$2:$G$1501,'Raw Entries'!$B$2:$B$1501,A339)</f>
        <v>1</v>
      </c>
      <c r="E339" s="8" t="n">
        <f aca="false">IFERROR(B339/C339,0)</f>
        <v>300</v>
      </c>
    </row>
    <row r="340" customFormat="false" ht="15" hidden="false" customHeight="false" outlineLevel="0" collapsed="false">
      <c r="A340" s="7" t="n">
        <v>45282</v>
      </c>
      <c r="B340" s="8" t="n">
        <f aca="false">SUMIFS('Raw Entries'!$I$2:$I$1501,'Raw Entries'!$B$2:$B$1501,A340)</f>
        <v>1000</v>
      </c>
      <c r="C340" s="6" t="n">
        <f aca="false">COUNTIFS('Raw Entries'!$B$2:$B$1501,A340)</f>
        <v>1</v>
      </c>
      <c r="D340" s="6" t="n">
        <f aca="false">SUMIFS('Raw Entries'!$G$2:$G$1501,'Raw Entries'!$B$2:$B$1501,A340)</f>
        <v>2</v>
      </c>
      <c r="E340" s="8" t="n">
        <f aca="false">IFERROR(B340/C340,0)</f>
        <v>1000</v>
      </c>
    </row>
    <row r="341" customFormat="false" ht="15" hidden="false" customHeight="false" outlineLevel="0" collapsed="false">
      <c r="A341" s="7" t="n">
        <v>45283</v>
      </c>
      <c r="B341" s="8" t="n">
        <f aca="false">SUMIFS('Raw Entries'!$I$2:$I$1501,'Raw Entries'!$B$2:$B$1501,A341)</f>
        <v>1850</v>
      </c>
      <c r="C341" s="6" t="n">
        <f aca="false">COUNTIFS('Raw Entries'!$B$2:$B$1501,A341)</f>
        <v>6</v>
      </c>
      <c r="D341" s="6" t="n">
        <f aca="false">SUMIFS('Raw Entries'!$G$2:$G$1501,'Raw Entries'!$B$2:$B$1501,A341)</f>
        <v>11</v>
      </c>
      <c r="E341" s="8" t="n">
        <f aca="false">IFERROR(B341/C341,0)</f>
        <v>308.333333333333</v>
      </c>
    </row>
    <row r="342" customFormat="false" ht="15" hidden="false" customHeight="false" outlineLevel="0" collapsed="false">
      <c r="A342" s="7" t="n">
        <v>45284</v>
      </c>
      <c r="B342" s="8" t="n">
        <f aca="false">SUMIFS('Raw Entries'!$I$2:$I$1501,'Raw Entries'!$B$2:$B$1501,A342)</f>
        <v>200</v>
      </c>
      <c r="C342" s="6" t="n">
        <f aca="false">COUNTIFS('Raw Entries'!$B$2:$B$1501,A342)</f>
        <v>2</v>
      </c>
      <c r="D342" s="6" t="n">
        <f aca="false">SUMIFS('Raw Entries'!$G$2:$G$1501,'Raw Entries'!$B$2:$B$1501,A342)</f>
        <v>4</v>
      </c>
      <c r="E342" s="8" t="n">
        <f aca="false">IFERROR(B342/C342,0)</f>
        <v>100</v>
      </c>
    </row>
    <row r="343" customFormat="false" ht="15" hidden="false" customHeight="false" outlineLevel="0" collapsed="false">
      <c r="A343" s="7" t="n">
        <v>45285</v>
      </c>
      <c r="B343" s="8" t="n">
        <f aca="false">SUMIFS('Raw Entries'!$I$2:$I$1501,'Raw Entries'!$B$2:$B$1501,A343)</f>
        <v>1200</v>
      </c>
      <c r="C343" s="6" t="n">
        <f aca="false">COUNTIFS('Raw Entries'!$B$2:$B$1501,A343)</f>
        <v>1</v>
      </c>
      <c r="D343" s="6" t="n">
        <f aca="false">SUMIFS('Raw Entries'!$G$2:$G$1501,'Raw Entries'!$B$2:$B$1501,A343)</f>
        <v>4</v>
      </c>
      <c r="E343" s="8" t="n">
        <f aca="false">IFERROR(B343/C343,0)</f>
        <v>1200</v>
      </c>
    </row>
    <row r="344" customFormat="false" ht="15" hidden="false" customHeight="false" outlineLevel="0" collapsed="false">
      <c r="A344" s="7" t="n">
        <v>45286</v>
      </c>
      <c r="B344" s="8" t="n">
        <f aca="false">SUMIFS('Raw Entries'!$I$2:$I$1501,'Raw Entries'!$B$2:$B$1501,A344)</f>
        <v>1880</v>
      </c>
      <c r="C344" s="6" t="n">
        <f aca="false">COUNTIFS('Raw Entries'!$B$2:$B$1501,A344)</f>
        <v>6</v>
      </c>
      <c r="D344" s="6" t="n">
        <f aca="false">SUMIFS('Raw Entries'!$G$2:$G$1501,'Raw Entries'!$B$2:$B$1501,A344)</f>
        <v>13</v>
      </c>
      <c r="E344" s="8" t="n">
        <f aca="false">IFERROR(B344/C344,0)</f>
        <v>313.333333333333</v>
      </c>
    </row>
    <row r="345" customFormat="false" ht="15" hidden="false" customHeight="false" outlineLevel="0" collapsed="false">
      <c r="A345" s="7" t="n">
        <v>45287</v>
      </c>
      <c r="B345" s="8" t="n">
        <f aca="false">SUMIFS('Raw Entries'!$I$2:$I$1501,'Raw Entries'!$B$2:$B$1501,A345)</f>
        <v>700</v>
      </c>
      <c r="C345" s="6" t="n">
        <f aca="false">COUNTIFS('Raw Entries'!$B$2:$B$1501,A345)</f>
        <v>2</v>
      </c>
      <c r="D345" s="6" t="n">
        <f aca="false">SUMIFS('Raw Entries'!$G$2:$G$1501,'Raw Entries'!$B$2:$B$1501,A345)</f>
        <v>4</v>
      </c>
      <c r="E345" s="8" t="n">
        <f aca="false">IFERROR(B345/C345,0)</f>
        <v>350</v>
      </c>
    </row>
    <row r="346" customFormat="false" ht="15" hidden="false" customHeight="false" outlineLevel="0" collapsed="false">
      <c r="A346" s="7" t="n">
        <v>45288</v>
      </c>
      <c r="B346" s="8" t="n">
        <f aca="false">SUMIFS('Raw Entries'!$I$2:$I$1501,'Raw Entries'!$B$2:$B$1501,A346)</f>
        <v>2075</v>
      </c>
      <c r="C346" s="6" t="n">
        <f aca="false">COUNTIFS('Raw Entries'!$B$2:$B$1501,A346)</f>
        <v>3</v>
      </c>
      <c r="D346" s="6" t="n">
        <f aca="false">SUMIFS('Raw Entries'!$G$2:$G$1501,'Raw Entries'!$B$2:$B$1501,A346)</f>
        <v>7</v>
      </c>
      <c r="E346" s="8" t="n">
        <f aca="false">IFERROR(B346/C346,0)</f>
        <v>691.666666666667</v>
      </c>
    </row>
    <row r="347" customFormat="false" ht="15" hidden="false" customHeight="false" outlineLevel="0" collapsed="false">
      <c r="A347" s="7" t="n">
        <v>45289</v>
      </c>
      <c r="B347" s="8" t="n">
        <f aca="false">SUMIFS('Raw Entries'!$I$2:$I$1501,'Raw Entries'!$B$2:$B$1501,A347)</f>
        <v>3400</v>
      </c>
      <c r="C347" s="6" t="n">
        <f aca="false">COUNTIFS('Raw Entries'!$B$2:$B$1501,A347)</f>
        <v>4</v>
      </c>
      <c r="D347" s="6" t="n">
        <f aca="false">SUMIFS('Raw Entries'!$G$2:$G$1501,'Raw Entries'!$B$2:$B$1501,A347)</f>
        <v>13</v>
      </c>
      <c r="E347" s="8" t="n">
        <f aca="false">IFERROR(B347/C347,0)</f>
        <v>850</v>
      </c>
    </row>
    <row r="348" customFormat="false" ht="15" hidden="false" customHeight="false" outlineLevel="0" collapsed="false">
      <c r="A348" s="7" t="n">
        <v>45291</v>
      </c>
      <c r="B348" s="8" t="n">
        <f aca="false">SUMIFS('Raw Entries'!$I$2:$I$1501,'Raw Entries'!$B$2:$B$1501,A348)</f>
        <v>50</v>
      </c>
      <c r="C348" s="6" t="n">
        <f aca="false">COUNTIFS('Raw Entries'!$B$2:$B$1501,A348)</f>
        <v>1</v>
      </c>
      <c r="D348" s="6" t="n">
        <f aca="false">SUMIFS('Raw Entries'!$G$2:$G$1501,'Raw Entries'!$B$2:$B$1501,A348)</f>
        <v>2</v>
      </c>
      <c r="E348" s="8" t="n">
        <f aca="false">IFERROR(B348/C348,0)</f>
        <v>50</v>
      </c>
    </row>
    <row r="349" customFormat="false" ht="15" hidden="false" customHeight="false" outlineLevel="0" collapsed="false">
      <c r="A349" s="7" t="n">
        <v>45292</v>
      </c>
      <c r="B349" s="8" t="n">
        <f aca="false">SUMIFS('Raw Entries'!$I$2:$I$1501,'Raw Entries'!$B$2:$B$1501,A349)</f>
        <v>1530</v>
      </c>
      <c r="C349" s="6" t="n">
        <f aca="false">COUNTIFS('Raw Entries'!$B$2:$B$1501,A349)</f>
        <v>2</v>
      </c>
      <c r="D349" s="6" t="n">
        <f aca="false">SUMIFS('Raw Entries'!$G$2:$G$1501,'Raw Entries'!$B$2:$B$1501,A349)</f>
        <v>4</v>
      </c>
      <c r="E349" s="8" t="n">
        <f aca="false">IFERROR(B349/C349,0)</f>
        <v>765</v>
      </c>
    </row>
    <row r="351" customFormat="false" ht="15" hidden="false" customHeight="false" outlineLevel="0" collapsed="false">
      <c r="A351" s="13" t="s">
        <v>1054</v>
      </c>
      <c r="B351" s="14" t="n">
        <f aca="false">SUM(B5:B349)</f>
        <v>456000</v>
      </c>
      <c r="C351" s="13" t="n">
        <f aca="false">SUM(C5:C349)</f>
        <v>1000</v>
      </c>
      <c r="D351" s="13" t="n">
        <f aca="false">SUM(D5:D349)</f>
        <v>2514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6"/>
    <col collapsed="false" customWidth="true" hidden="false" outlineLevel="0" max="5" min="4" style="0" width="18"/>
  </cols>
  <sheetData>
    <row r="1" customFormat="false" ht="17.35" hidden="false" customHeight="false" outlineLevel="0" collapsed="false">
      <c r="A1" s="1" t="s">
        <v>1055</v>
      </c>
    </row>
    <row r="2" customFormat="false" ht="15" hidden="false" customHeight="false" outlineLevel="0" collapsed="false">
      <c r="A2" s="12" t="s">
        <v>1056</v>
      </c>
    </row>
    <row r="4" customFormat="false" ht="21.75" hidden="false" customHeight="true" outlineLevel="0" collapsed="false">
      <c r="A4" s="5" t="s">
        <v>1057</v>
      </c>
      <c r="B4" s="5" t="s">
        <v>1058</v>
      </c>
      <c r="C4" s="5" t="s">
        <v>1050</v>
      </c>
      <c r="D4" s="5" t="s">
        <v>1051</v>
      </c>
      <c r="E4" s="5" t="s">
        <v>1052</v>
      </c>
    </row>
    <row r="5" customFormat="false" ht="15" hidden="false" customHeight="false" outlineLevel="0" collapsed="false">
      <c r="A5" s="7" t="n">
        <v>44921</v>
      </c>
      <c r="B5" s="7" t="n">
        <v>44927</v>
      </c>
      <c r="C5" s="8" t="n">
        <f aca="false">SUMIFS('Raw Entries'!$I$2:$I$1501,'Raw Entries'!$B$2:$B$1501,"&gt;="&amp;A5,'Raw Entries'!$B$2:$B$1501,"&lt;="&amp;B5)</f>
        <v>3600</v>
      </c>
      <c r="D5" s="6" t="n">
        <f aca="false">COUNTIFS('Raw Entries'!$B$2:$B$1501,"&gt;="&amp;A5,'Raw Entries'!$B$2:$B$1501,"&lt;="&amp;B5)</f>
        <v>3</v>
      </c>
      <c r="E5" s="6" t="n">
        <f aca="false">SUMIFS('Raw Entries'!$G$2:$G$1501,'Raw Entries'!$B$2:$B$1501,"&gt;="&amp;A5,'Raw Entries'!$B$2:$B$1501,"&lt;="&amp;B5)</f>
        <v>10</v>
      </c>
    </row>
    <row r="6" customFormat="false" ht="15" hidden="false" customHeight="false" outlineLevel="0" collapsed="false">
      <c r="A6" s="7" t="n">
        <v>44928</v>
      </c>
      <c r="B6" s="7" t="n">
        <v>44934</v>
      </c>
      <c r="C6" s="8" t="n">
        <f aca="false">SUMIFS('Raw Entries'!$I$2:$I$1501,'Raw Entries'!$B$2:$B$1501,"&gt;="&amp;A6,'Raw Entries'!$B$2:$B$1501,"&lt;="&amp;B6)</f>
        <v>6100</v>
      </c>
      <c r="D6" s="6" t="n">
        <f aca="false">COUNTIFS('Raw Entries'!$B$2:$B$1501,"&gt;="&amp;A6,'Raw Entries'!$B$2:$B$1501,"&lt;="&amp;B6)</f>
        <v>17</v>
      </c>
      <c r="E6" s="6" t="n">
        <f aca="false">SUMIFS('Raw Entries'!$G$2:$G$1501,'Raw Entries'!$B$2:$B$1501,"&gt;="&amp;A6,'Raw Entries'!$B$2:$B$1501,"&lt;="&amp;B6)</f>
        <v>39</v>
      </c>
    </row>
    <row r="7" customFormat="false" ht="15" hidden="false" customHeight="false" outlineLevel="0" collapsed="false">
      <c r="A7" s="7" t="n">
        <v>44935</v>
      </c>
      <c r="B7" s="7" t="n">
        <v>44941</v>
      </c>
      <c r="C7" s="8" t="n">
        <f aca="false">SUMIFS('Raw Entries'!$I$2:$I$1501,'Raw Entries'!$B$2:$B$1501,"&gt;="&amp;A7,'Raw Entries'!$B$2:$B$1501,"&lt;="&amp;B7)</f>
        <v>4850</v>
      </c>
      <c r="D7" s="6" t="n">
        <f aca="false">COUNTIFS('Raw Entries'!$B$2:$B$1501,"&gt;="&amp;A7,'Raw Entries'!$B$2:$B$1501,"&lt;="&amp;B7)</f>
        <v>17</v>
      </c>
      <c r="E7" s="6" t="n">
        <f aca="false">SUMIFS('Raw Entries'!$G$2:$G$1501,'Raw Entries'!$B$2:$B$1501,"&gt;="&amp;A7,'Raw Entries'!$B$2:$B$1501,"&lt;="&amp;B7)</f>
        <v>47</v>
      </c>
    </row>
    <row r="8" customFormat="false" ht="15" hidden="false" customHeight="false" outlineLevel="0" collapsed="false">
      <c r="A8" s="7" t="n">
        <v>44942</v>
      </c>
      <c r="B8" s="7" t="n">
        <v>44948</v>
      </c>
      <c r="C8" s="8" t="n">
        <f aca="false">SUMIFS('Raw Entries'!$I$2:$I$1501,'Raw Entries'!$B$2:$B$1501,"&gt;="&amp;A8,'Raw Entries'!$B$2:$B$1501,"&lt;="&amp;B8)</f>
        <v>8215</v>
      </c>
      <c r="D8" s="6" t="n">
        <f aca="false">COUNTIFS('Raw Entries'!$B$2:$B$1501,"&gt;="&amp;A8,'Raw Entries'!$B$2:$B$1501,"&lt;="&amp;B8)</f>
        <v>14</v>
      </c>
      <c r="E8" s="6" t="n">
        <f aca="false">SUMIFS('Raw Entries'!$G$2:$G$1501,'Raw Entries'!$B$2:$B$1501,"&gt;="&amp;A8,'Raw Entries'!$B$2:$B$1501,"&lt;="&amp;B8)</f>
        <v>30</v>
      </c>
    </row>
    <row r="9" customFormat="false" ht="15" hidden="false" customHeight="false" outlineLevel="0" collapsed="false">
      <c r="A9" s="7" t="n">
        <v>44949</v>
      </c>
      <c r="B9" s="7" t="n">
        <v>44955</v>
      </c>
      <c r="C9" s="8" t="n">
        <f aca="false">SUMIFS('Raw Entries'!$I$2:$I$1501,'Raw Entries'!$B$2:$B$1501,"&gt;="&amp;A9,'Raw Entries'!$B$2:$B$1501,"&lt;="&amp;B9)</f>
        <v>9845</v>
      </c>
      <c r="D9" s="6" t="n">
        <f aca="false">COUNTIFS('Raw Entries'!$B$2:$B$1501,"&gt;="&amp;A9,'Raw Entries'!$B$2:$B$1501,"&lt;="&amp;B9)</f>
        <v>18</v>
      </c>
      <c r="E9" s="6" t="n">
        <f aca="false">SUMIFS('Raw Entries'!$G$2:$G$1501,'Raw Entries'!$B$2:$B$1501,"&gt;="&amp;A9,'Raw Entries'!$B$2:$B$1501,"&lt;="&amp;B9)</f>
        <v>51</v>
      </c>
    </row>
    <row r="10" customFormat="false" ht="15" hidden="false" customHeight="false" outlineLevel="0" collapsed="false">
      <c r="A10" s="7" t="n">
        <v>44956</v>
      </c>
      <c r="B10" s="7" t="n">
        <v>44962</v>
      </c>
      <c r="C10" s="8" t="n">
        <f aca="false">SUMIFS('Raw Entries'!$I$2:$I$1501,'Raw Entries'!$B$2:$B$1501,"&gt;="&amp;A10,'Raw Entries'!$B$2:$B$1501,"&lt;="&amp;B10)</f>
        <v>13070</v>
      </c>
      <c r="D10" s="6" t="n">
        <f aca="false">COUNTIFS('Raw Entries'!$B$2:$B$1501,"&gt;="&amp;A10,'Raw Entries'!$B$2:$B$1501,"&lt;="&amp;B10)</f>
        <v>25</v>
      </c>
      <c r="E10" s="6" t="n">
        <f aca="false">SUMIFS('Raw Entries'!$G$2:$G$1501,'Raw Entries'!$B$2:$B$1501,"&gt;="&amp;A10,'Raw Entries'!$B$2:$B$1501,"&lt;="&amp;B10)</f>
        <v>68</v>
      </c>
    </row>
    <row r="11" customFormat="false" ht="15" hidden="false" customHeight="false" outlineLevel="0" collapsed="false">
      <c r="A11" s="7" t="n">
        <v>44963</v>
      </c>
      <c r="B11" s="7" t="n">
        <v>44969</v>
      </c>
      <c r="C11" s="8" t="n">
        <f aca="false">SUMIFS('Raw Entries'!$I$2:$I$1501,'Raw Entries'!$B$2:$B$1501,"&gt;="&amp;A11,'Raw Entries'!$B$2:$B$1501,"&lt;="&amp;B11)</f>
        <v>8365</v>
      </c>
      <c r="D11" s="6" t="n">
        <f aca="false">COUNTIFS('Raw Entries'!$B$2:$B$1501,"&gt;="&amp;A11,'Raw Entries'!$B$2:$B$1501,"&lt;="&amp;B11)</f>
        <v>22</v>
      </c>
      <c r="E11" s="6" t="n">
        <f aca="false">SUMIFS('Raw Entries'!$G$2:$G$1501,'Raw Entries'!$B$2:$B$1501,"&gt;="&amp;A11,'Raw Entries'!$B$2:$B$1501,"&lt;="&amp;B11)</f>
        <v>52</v>
      </c>
    </row>
    <row r="12" customFormat="false" ht="15" hidden="false" customHeight="false" outlineLevel="0" collapsed="false">
      <c r="A12" s="7" t="n">
        <v>44970</v>
      </c>
      <c r="B12" s="7" t="n">
        <v>44976</v>
      </c>
      <c r="C12" s="8" t="n">
        <f aca="false">SUMIFS('Raw Entries'!$I$2:$I$1501,'Raw Entries'!$B$2:$B$1501,"&gt;="&amp;A12,'Raw Entries'!$B$2:$B$1501,"&lt;="&amp;B12)</f>
        <v>13815</v>
      </c>
      <c r="D12" s="6" t="n">
        <f aca="false">COUNTIFS('Raw Entries'!$B$2:$B$1501,"&gt;="&amp;A12,'Raw Entries'!$B$2:$B$1501,"&lt;="&amp;B12)</f>
        <v>16</v>
      </c>
      <c r="E12" s="6" t="n">
        <f aca="false">SUMIFS('Raw Entries'!$G$2:$G$1501,'Raw Entries'!$B$2:$B$1501,"&gt;="&amp;A12,'Raw Entries'!$B$2:$B$1501,"&lt;="&amp;B12)</f>
        <v>45</v>
      </c>
    </row>
    <row r="13" customFormat="false" ht="15" hidden="false" customHeight="false" outlineLevel="0" collapsed="false">
      <c r="A13" s="7" t="n">
        <v>44977</v>
      </c>
      <c r="B13" s="7" t="n">
        <v>44983</v>
      </c>
      <c r="C13" s="8" t="n">
        <f aca="false">SUMIFS('Raw Entries'!$I$2:$I$1501,'Raw Entries'!$B$2:$B$1501,"&gt;="&amp;A13,'Raw Entries'!$B$2:$B$1501,"&lt;="&amp;B13)</f>
        <v>7645</v>
      </c>
      <c r="D13" s="6" t="n">
        <f aca="false">COUNTIFS('Raw Entries'!$B$2:$B$1501,"&gt;="&amp;A13,'Raw Entries'!$B$2:$B$1501,"&lt;="&amp;B13)</f>
        <v>21</v>
      </c>
      <c r="E13" s="6" t="n">
        <f aca="false">SUMIFS('Raw Entries'!$G$2:$G$1501,'Raw Entries'!$B$2:$B$1501,"&gt;="&amp;A13,'Raw Entries'!$B$2:$B$1501,"&lt;="&amp;B13)</f>
        <v>47</v>
      </c>
    </row>
    <row r="14" customFormat="false" ht="15" hidden="false" customHeight="false" outlineLevel="0" collapsed="false">
      <c r="A14" s="7" t="n">
        <v>44984</v>
      </c>
      <c r="B14" s="7" t="n">
        <v>44990</v>
      </c>
      <c r="C14" s="8" t="n">
        <f aca="false">SUMIFS('Raw Entries'!$I$2:$I$1501,'Raw Entries'!$B$2:$B$1501,"&gt;="&amp;A14,'Raw Entries'!$B$2:$B$1501,"&lt;="&amp;B14)</f>
        <v>7155</v>
      </c>
      <c r="D14" s="6" t="n">
        <f aca="false">COUNTIFS('Raw Entries'!$B$2:$B$1501,"&gt;="&amp;A14,'Raw Entries'!$B$2:$B$1501,"&lt;="&amp;B14)</f>
        <v>20</v>
      </c>
      <c r="E14" s="6" t="n">
        <f aca="false">SUMIFS('Raw Entries'!$G$2:$G$1501,'Raw Entries'!$B$2:$B$1501,"&gt;="&amp;A14,'Raw Entries'!$B$2:$B$1501,"&lt;="&amp;B14)</f>
        <v>50</v>
      </c>
    </row>
    <row r="15" customFormat="false" ht="15" hidden="false" customHeight="false" outlineLevel="0" collapsed="false">
      <c r="A15" s="7" t="n">
        <v>44991</v>
      </c>
      <c r="B15" s="7" t="n">
        <v>44997</v>
      </c>
      <c r="C15" s="8" t="n">
        <f aca="false">SUMIFS('Raw Entries'!$I$2:$I$1501,'Raw Entries'!$B$2:$B$1501,"&gt;="&amp;A15,'Raw Entries'!$B$2:$B$1501,"&lt;="&amp;B15)</f>
        <v>6090</v>
      </c>
      <c r="D15" s="6" t="n">
        <f aca="false">COUNTIFS('Raw Entries'!$B$2:$B$1501,"&gt;="&amp;A15,'Raw Entries'!$B$2:$B$1501,"&lt;="&amp;B15)</f>
        <v>17</v>
      </c>
      <c r="E15" s="6" t="n">
        <f aca="false">SUMIFS('Raw Entries'!$G$2:$G$1501,'Raw Entries'!$B$2:$B$1501,"&gt;="&amp;A15,'Raw Entries'!$B$2:$B$1501,"&lt;="&amp;B15)</f>
        <v>45</v>
      </c>
    </row>
    <row r="16" customFormat="false" ht="15" hidden="false" customHeight="false" outlineLevel="0" collapsed="false">
      <c r="A16" s="7" t="n">
        <v>44998</v>
      </c>
      <c r="B16" s="7" t="n">
        <v>45004</v>
      </c>
      <c r="C16" s="8" t="n">
        <f aca="false">SUMIFS('Raw Entries'!$I$2:$I$1501,'Raw Entries'!$B$2:$B$1501,"&gt;="&amp;A16,'Raw Entries'!$B$2:$B$1501,"&lt;="&amp;B16)</f>
        <v>4075</v>
      </c>
      <c r="D16" s="6" t="n">
        <f aca="false">COUNTIFS('Raw Entries'!$B$2:$B$1501,"&gt;="&amp;A16,'Raw Entries'!$B$2:$B$1501,"&lt;="&amp;B16)</f>
        <v>11</v>
      </c>
      <c r="E16" s="6" t="n">
        <f aca="false">SUMIFS('Raw Entries'!$G$2:$G$1501,'Raw Entries'!$B$2:$B$1501,"&gt;="&amp;A16,'Raw Entries'!$B$2:$B$1501,"&lt;="&amp;B16)</f>
        <v>31</v>
      </c>
    </row>
    <row r="17" customFormat="false" ht="15" hidden="false" customHeight="false" outlineLevel="0" collapsed="false">
      <c r="A17" s="7" t="n">
        <v>45005</v>
      </c>
      <c r="B17" s="7" t="n">
        <v>45011</v>
      </c>
      <c r="C17" s="8" t="n">
        <f aca="false">SUMIFS('Raw Entries'!$I$2:$I$1501,'Raw Entries'!$B$2:$B$1501,"&gt;="&amp;A17,'Raw Entries'!$B$2:$B$1501,"&lt;="&amp;B17)</f>
        <v>13085</v>
      </c>
      <c r="D17" s="6" t="n">
        <f aca="false">COUNTIFS('Raw Entries'!$B$2:$B$1501,"&gt;="&amp;A17,'Raw Entries'!$B$2:$B$1501,"&lt;="&amp;B17)</f>
        <v>27</v>
      </c>
      <c r="E17" s="6" t="n">
        <f aca="false">SUMIFS('Raw Entries'!$G$2:$G$1501,'Raw Entries'!$B$2:$B$1501,"&gt;="&amp;A17,'Raw Entries'!$B$2:$B$1501,"&lt;="&amp;B17)</f>
        <v>73</v>
      </c>
    </row>
    <row r="18" customFormat="false" ht="15" hidden="false" customHeight="false" outlineLevel="0" collapsed="false">
      <c r="A18" s="7" t="n">
        <v>45012</v>
      </c>
      <c r="B18" s="7" t="n">
        <v>45018</v>
      </c>
      <c r="C18" s="8" t="n">
        <f aca="false">SUMIFS('Raw Entries'!$I$2:$I$1501,'Raw Entries'!$B$2:$B$1501,"&gt;="&amp;A18,'Raw Entries'!$B$2:$B$1501,"&lt;="&amp;B18)</f>
        <v>9590</v>
      </c>
      <c r="D18" s="6" t="n">
        <f aca="false">COUNTIFS('Raw Entries'!$B$2:$B$1501,"&gt;="&amp;A18,'Raw Entries'!$B$2:$B$1501,"&lt;="&amp;B18)</f>
        <v>13</v>
      </c>
      <c r="E18" s="6" t="n">
        <f aca="false">SUMIFS('Raw Entries'!$G$2:$G$1501,'Raw Entries'!$B$2:$B$1501,"&gt;="&amp;A18,'Raw Entries'!$B$2:$B$1501,"&lt;="&amp;B18)</f>
        <v>38</v>
      </c>
    </row>
    <row r="19" customFormat="false" ht="15" hidden="false" customHeight="false" outlineLevel="0" collapsed="false">
      <c r="A19" s="7" t="n">
        <v>45019</v>
      </c>
      <c r="B19" s="7" t="n">
        <v>45025</v>
      </c>
      <c r="C19" s="8" t="n">
        <f aca="false">SUMIFS('Raw Entries'!$I$2:$I$1501,'Raw Entries'!$B$2:$B$1501,"&gt;="&amp;A19,'Raw Entries'!$B$2:$B$1501,"&lt;="&amp;B19)</f>
        <v>9605</v>
      </c>
      <c r="D19" s="6" t="n">
        <f aca="false">COUNTIFS('Raw Entries'!$B$2:$B$1501,"&gt;="&amp;A19,'Raw Entries'!$B$2:$B$1501,"&lt;="&amp;B19)</f>
        <v>17</v>
      </c>
      <c r="E19" s="6" t="n">
        <f aca="false">SUMIFS('Raw Entries'!$G$2:$G$1501,'Raw Entries'!$B$2:$B$1501,"&gt;="&amp;A19,'Raw Entries'!$B$2:$B$1501,"&lt;="&amp;B19)</f>
        <v>46</v>
      </c>
    </row>
    <row r="20" customFormat="false" ht="15" hidden="false" customHeight="false" outlineLevel="0" collapsed="false">
      <c r="A20" s="7" t="n">
        <v>45026</v>
      </c>
      <c r="B20" s="7" t="n">
        <v>45032</v>
      </c>
      <c r="C20" s="8" t="n">
        <f aca="false">SUMIFS('Raw Entries'!$I$2:$I$1501,'Raw Entries'!$B$2:$B$1501,"&gt;="&amp;A20,'Raw Entries'!$B$2:$B$1501,"&lt;="&amp;B20)</f>
        <v>3060</v>
      </c>
      <c r="D20" s="6" t="n">
        <f aca="false">COUNTIFS('Raw Entries'!$B$2:$B$1501,"&gt;="&amp;A20,'Raw Entries'!$B$2:$B$1501,"&lt;="&amp;B20)</f>
        <v>14</v>
      </c>
      <c r="E20" s="6" t="n">
        <f aca="false">SUMIFS('Raw Entries'!$G$2:$G$1501,'Raw Entries'!$B$2:$B$1501,"&gt;="&amp;A20,'Raw Entries'!$B$2:$B$1501,"&lt;="&amp;B20)</f>
        <v>31</v>
      </c>
    </row>
    <row r="21" customFormat="false" ht="15" hidden="false" customHeight="false" outlineLevel="0" collapsed="false">
      <c r="A21" s="7" t="n">
        <v>45033</v>
      </c>
      <c r="B21" s="7" t="n">
        <v>45039</v>
      </c>
      <c r="C21" s="8" t="n">
        <f aca="false">SUMIFS('Raw Entries'!$I$2:$I$1501,'Raw Entries'!$B$2:$B$1501,"&gt;="&amp;A21,'Raw Entries'!$B$2:$B$1501,"&lt;="&amp;B21)</f>
        <v>9925</v>
      </c>
      <c r="D21" s="6" t="n">
        <f aca="false">COUNTIFS('Raw Entries'!$B$2:$B$1501,"&gt;="&amp;A21,'Raw Entries'!$B$2:$B$1501,"&lt;="&amp;B21)</f>
        <v>28</v>
      </c>
      <c r="E21" s="6" t="n">
        <f aca="false">SUMIFS('Raw Entries'!$G$2:$G$1501,'Raw Entries'!$B$2:$B$1501,"&gt;="&amp;A21,'Raw Entries'!$B$2:$B$1501,"&lt;="&amp;B21)</f>
        <v>68</v>
      </c>
    </row>
    <row r="22" customFormat="false" ht="15" hidden="false" customHeight="false" outlineLevel="0" collapsed="false">
      <c r="A22" s="7" t="n">
        <v>45040</v>
      </c>
      <c r="B22" s="7" t="n">
        <v>45046</v>
      </c>
      <c r="C22" s="8" t="n">
        <f aca="false">SUMIFS('Raw Entries'!$I$2:$I$1501,'Raw Entries'!$B$2:$B$1501,"&gt;="&amp;A22,'Raw Entries'!$B$2:$B$1501,"&lt;="&amp;B22)</f>
        <v>4280</v>
      </c>
      <c r="D22" s="6" t="n">
        <f aca="false">COUNTIFS('Raw Entries'!$B$2:$B$1501,"&gt;="&amp;A22,'Raw Entries'!$B$2:$B$1501,"&lt;="&amp;B22)</f>
        <v>20</v>
      </c>
      <c r="E22" s="6" t="n">
        <f aca="false">SUMIFS('Raw Entries'!$G$2:$G$1501,'Raw Entries'!$B$2:$B$1501,"&gt;="&amp;A22,'Raw Entries'!$B$2:$B$1501,"&lt;="&amp;B22)</f>
        <v>46</v>
      </c>
    </row>
    <row r="23" customFormat="false" ht="15" hidden="false" customHeight="false" outlineLevel="0" collapsed="false">
      <c r="A23" s="7" t="n">
        <v>45047</v>
      </c>
      <c r="B23" s="7" t="n">
        <v>45053</v>
      </c>
      <c r="C23" s="8" t="n">
        <f aca="false">SUMIFS('Raw Entries'!$I$2:$I$1501,'Raw Entries'!$B$2:$B$1501,"&gt;="&amp;A23,'Raw Entries'!$B$2:$B$1501,"&lt;="&amp;B23)</f>
        <v>5735</v>
      </c>
      <c r="D23" s="6" t="n">
        <f aca="false">COUNTIFS('Raw Entries'!$B$2:$B$1501,"&gt;="&amp;A23,'Raw Entries'!$B$2:$B$1501,"&lt;="&amp;B23)</f>
        <v>29</v>
      </c>
      <c r="E23" s="6" t="n">
        <f aca="false">SUMIFS('Raw Entries'!$G$2:$G$1501,'Raw Entries'!$B$2:$B$1501,"&gt;="&amp;A23,'Raw Entries'!$B$2:$B$1501,"&lt;="&amp;B23)</f>
        <v>59</v>
      </c>
    </row>
    <row r="24" customFormat="false" ht="15" hidden="false" customHeight="false" outlineLevel="0" collapsed="false">
      <c r="A24" s="7" t="n">
        <v>45054</v>
      </c>
      <c r="B24" s="7" t="n">
        <v>45060</v>
      </c>
      <c r="C24" s="8" t="n">
        <f aca="false">SUMIFS('Raw Entries'!$I$2:$I$1501,'Raw Entries'!$B$2:$B$1501,"&gt;="&amp;A24,'Raw Entries'!$B$2:$B$1501,"&lt;="&amp;B24)</f>
        <v>9050</v>
      </c>
      <c r="D24" s="6" t="n">
        <f aca="false">COUNTIFS('Raw Entries'!$B$2:$B$1501,"&gt;="&amp;A24,'Raw Entries'!$B$2:$B$1501,"&lt;="&amp;B24)</f>
        <v>18</v>
      </c>
      <c r="E24" s="6" t="n">
        <f aca="false">SUMIFS('Raw Entries'!$G$2:$G$1501,'Raw Entries'!$B$2:$B$1501,"&gt;="&amp;A24,'Raw Entries'!$B$2:$B$1501,"&lt;="&amp;B24)</f>
        <v>45</v>
      </c>
    </row>
    <row r="25" customFormat="false" ht="15" hidden="false" customHeight="false" outlineLevel="0" collapsed="false">
      <c r="A25" s="7" t="n">
        <v>45061</v>
      </c>
      <c r="B25" s="7" t="n">
        <v>45067</v>
      </c>
      <c r="C25" s="8" t="n">
        <f aca="false">SUMIFS('Raw Entries'!$I$2:$I$1501,'Raw Entries'!$B$2:$B$1501,"&gt;="&amp;A25,'Raw Entries'!$B$2:$B$1501,"&lt;="&amp;B25)</f>
        <v>17515</v>
      </c>
      <c r="D25" s="6" t="n">
        <f aca="false">COUNTIFS('Raw Entries'!$B$2:$B$1501,"&gt;="&amp;A25,'Raw Entries'!$B$2:$B$1501,"&lt;="&amp;B25)</f>
        <v>28</v>
      </c>
      <c r="E25" s="6" t="n">
        <f aca="false">SUMIFS('Raw Entries'!$G$2:$G$1501,'Raw Entries'!$B$2:$B$1501,"&gt;="&amp;A25,'Raw Entries'!$B$2:$B$1501,"&lt;="&amp;B25)</f>
        <v>63</v>
      </c>
    </row>
    <row r="26" customFormat="false" ht="15" hidden="false" customHeight="false" outlineLevel="0" collapsed="false">
      <c r="A26" s="7" t="n">
        <v>45068</v>
      </c>
      <c r="B26" s="7" t="n">
        <v>45074</v>
      </c>
      <c r="C26" s="8" t="n">
        <f aca="false">SUMIFS('Raw Entries'!$I$2:$I$1501,'Raw Entries'!$B$2:$B$1501,"&gt;="&amp;A26,'Raw Entries'!$B$2:$B$1501,"&lt;="&amp;B26)</f>
        <v>17210</v>
      </c>
      <c r="D26" s="6" t="n">
        <f aca="false">COUNTIFS('Raw Entries'!$B$2:$B$1501,"&gt;="&amp;A26,'Raw Entries'!$B$2:$B$1501,"&lt;="&amp;B26)</f>
        <v>24</v>
      </c>
      <c r="E26" s="6" t="n">
        <f aca="false">SUMIFS('Raw Entries'!$G$2:$G$1501,'Raw Entries'!$B$2:$B$1501,"&gt;="&amp;A26,'Raw Entries'!$B$2:$B$1501,"&lt;="&amp;B26)</f>
        <v>72</v>
      </c>
    </row>
    <row r="27" customFormat="false" ht="15" hidden="false" customHeight="false" outlineLevel="0" collapsed="false">
      <c r="A27" s="7" t="n">
        <v>45075</v>
      </c>
      <c r="B27" s="7" t="n">
        <v>45081</v>
      </c>
      <c r="C27" s="8" t="n">
        <f aca="false">SUMIFS('Raw Entries'!$I$2:$I$1501,'Raw Entries'!$B$2:$B$1501,"&gt;="&amp;A27,'Raw Entries'!$B$2:$B$1501,"&lt;="&amp;B27)</f>
        <v>6005</v>
      </c>
      <c r="D27" s="6" t="n">
        <f aca="false">COUNTIFS('Raw Entries'!$B$2:$B$1501,"&gt;="&amp;A27,'Raw Entries'!$B$2:$B$1501,"&lt;="&amp;B27)</f>
        <v>19</v>
      </c>
      <c r="E27" s="6" t="n">
        <f aca="false">SUMIFS('Raw Entries'!$G$2:$G$1501,'Raw Entries'!$B$2:$B$1501,"&gt;="&amp;A27,'Raw Entries'!$B$2:$B$1501,"&lt;="&amp;B27)</f>
        <v>40</v>
      </c>
    </row>
    <row r="28" customFormat="false" ht="15" hidden="false" customHeight="false" outlineLevel="0" collapsed="false">
      <c r="A28" s="7" t="n">
        <v>45082</v>
      </c>
      <c r="B28" s="7" t="n">
        <v>45088</v>
      </c>
      <c r="C28" s="8" t="n">
        <f aca="false">SUMIFS('Raw Entries'!$I$2:$I$1501,'Raw Entries'!$B$2:$B$1501,"&gt;="&amp;A28,'Raw Entries'!$B$2:$B$1501,"&lt;="&amp;B28)</f>
        <v>11770</v>
      </c>
      <c r="D28" s="6" t="n">
        <f aca="false">COUNTIFS('Raw Entries'!$B$2:$B$1501,"&gt;="&amp;A28,'Raw Entries'!$B$2:$B$1501,"&lt;="&amp;B28)</f>
        <v>22</v>
      </c>
      <c r="E28" s="6" t="n">
        <f aca="false">SUMIFS('Raw Entries'!$G$2:$G$1501,'Raw Entries'!$B$2:$B$1501,"&gt;="&amp;A28,'Raw Entries'!$B$2:$B$1501,"&lt;="&amp;B28)</f>
        <v>56</v>
      </c>
    </row>
    <row r="29" customFormat="false" ht="15" hidden="false" customHeight="false" outlineLevel="0" collapsed="false">
      <c r="A29" s="7" t="n">
        <v>45089</v>
      </c>
      <c r="B29" s="7" t="n">
        <v>45095</v>
      </c>
      <c r="C29" s="8" t="n">
        <f aca="false">SUMIFS('Raw Entries'!$I$2:$I$1501,'Raw Entries'!$B$2:$B$1501,"&gt;="&amp;A29,'Raw Entries'!$B$2:$B$1501,"&lt;="&amp;B29)</f>
        <v>4250</v>
      </c>
      <c r="D29" s="6" t="n">
        <f aca="false">COUNTIFS('Raw Entries'!$B$2:$B$1501,"&gt;="&amp;A29,'Raw Entries'!$B$2:$B$1501,"&lt;="&amp;B29)</f>
        <v>11</v>
      </c>
      <c r="E29" s="6" t="n">
        <f aca="false">SUMIFS('Raw Entries'!$G$2:$G$1501,'Raw Entries'!$B$2:$B$1501,"&gt;="&amp;A29,'Raw Entries'!$B$2:$B$1501,"&lt;="&amp;B29)</f>
        <v>29</v>
      </c>
    </row>
    <row r="30" customFormat="false" ht="15" hidden="false" customHeight="false" outlineLevel="0" collapsed="false">
      <c r="A30" s="7" t="n">
        <v>45096</v>
      </c>
      <c r="B30" s="7" t="n">
        <v>45102</v>
      </c>
      <c r="C30" s="8" t="n">
        <f aca="false">SUMIFS('Raw Entries'!$I$2:$I$1501,'Raw Entries'!$B$2:$B$1501,"&gt;="&amp;A30,'Raw Entries'!$B$2:$B$1501,"&lt;="&amp;B30)</f>
        <v>11820</v>
      </c>
      <c r="D30" s="6" t="n">
        <f aca="false">COUNTIFS('Raw Entries'!$B$2:$B$1501,"&gt;="&amp;A30,'Raw Entries'!$B$2:$B$1501,"&lt;="&amp;B30)</f>
        <v>21</v>
      </c>
      <c r="E30" s="6" t="n">
        <f aca="false">SUMIFS('Raw Entries'!$G$2:$G$1501,'Raw Entries'!$B$2:$B$1501,"&gt;="&amp;A30,'Raw Entries'!$B$2:$B$1501,"&lt;="&amp;B30)</f>
        <v>68</v>
      </c>
    </row>
    <row r="31" customFormat="false" ht="15" hidden="false" customHeight="false" outlineLevel="0" collapsed="false">
      <c r="A31" s="7" t="n">
        <v>45103</v>
      </c>
      <c r="B31" s="7" t="n">
        <v>45109</v>
      </c>
      <c r="C31" s="8" t="n">
        <f aca="false">SUMIFS('Raw Entries'!$I$2:$I$1501,'Raw Entries'!$B$2:$B$1501,"&gt;="&amp;A31,'Raw Entries'!$B$2:$B$1501,"&lt;="&amp;B31)</f>
        <v>8260</v>
      </c>
      <c r="D31" s="6" t="n">
        <f aca="false">COUNTIFS('Raw Entries'!$B$2:$B$1501,"&gt;="&amp;A31,'Raw Entries'!$B$2:$B$1501,"&lt;="&amp;B31)</f>
        <v>14</v>
      </c>
      <c r="E31" s="6" t="n">
        <f aca="false">SUMIFS('Raw Entries'!$G$2:$G$1501,'Raw Entries'!$B$2:$B$1501,"&gt;="&amp;A31,'Raw Entries'!$B$2:$B$1501,"&lt;="&amp;B31)</f>
        <v>36</v>
      </c>
    </row>
    <row r="32" customFormat="false" ht="15" hidden="false" customHeight="false" outlineLevel="0" collapsed="false">
      <c r="A32" s="7" t="n">
        <v>45110</v>
      </c>
      <c r="B32" s="7" t="n">
        <v>45116</v>
      </c>
      <c r="C32" s="8" t="n">
        <f aca="false">SUMIFS('Raw Entries'!$I$2:$I$1501,'Raw Entries'!$B$2:$B$1501,"&gt;="&amp;A32,'Raw Entries'!$B$2:$B$1501,"&lt;="&amp;B32)</f>
        <v>4315</v>
      </c>
      <c r="D32" s="6" t="n">
        <f aca="false">COUNTIFS('Raw Entries'!$B$2:$B$1501,"&gt;="&amp;A32,'Raw Entries'!$B$2:$B$1501,"&lt;="&amp;B32)</f>
        <v>16</v>
      </c>
      <c r="E32" s="6" t="n">
        <f aca="false">SUMIFS('Raw Entries'!$G$2:$G$1501,'Raw Entries'!$B$2:$B$1501,"&gt;="&amp;A32,'Raw Entries'!$B$2:$B$1501,"&lt;="&amp;B32)</f>
        <v>39</v>
      </c>
    </row>
    <row r="33" customFormat="false" ht="15" hidden="false" customHeight="false" outlineLevel="0" collapsed="false">
      <c r="A33" s="7" t="n">
        <v>45117</v>
      </c>
      <c r="B33" s="7" t="n">
        <v>45123</v>
      </c>
      <c r="C33" s="8" t="n">
        <f aca="false">SUMIFS('Raw Entries'!$I$2:$I$1501,'Raw Entries'!$B$2:$B$1501,"&gt;="&amp;A33,'Raw Entries'!$B$2:$B$1501,"&lt;="&amp;B33)</f>
        <v>8645</v>
      </c>
      <c r="D33" s="6" t="n">
        <f aca="false">COUNTIFS('Raw Entries'!$B$2:$B$1501,"&gt;="&amp;A33,'Raw Entries'!$B$2:$B$1501,"&lt;="&amp;B33)</f>
        <v>18</v>
      </c>
      <c r="E33" s="6" t="n">
        <f aca="false">SUMIFS('Raw Entries'!$G$2:$G$1501,'Raw Entries'!$B$2:$B$1501,"&gt;="&amp;A33,'Raw Entries'!$B$2:$B$1501,"&lt;="&amp;B33)</f>
        <v>46</v>
      </c>
    </row>
    <row r="34" customFormat="false" ht="15" hidden="false" customHeight="false" outlineLevel="0" collapsed="false">
      <c r="A34" s="7" t="n">
        <v>45124</v>
      </c>
      <c r="B34" s="7" t="n">
        <v>45130</v>
      </c>
      <c r="C34" s="8" t="n">
        <f aca="false">SUMIFS('Raw Entries'!$I$2:$I$1501,'Raw Entries'!$B$2:$B$1501,"&gt;="&amp;A34,'Raw Entries'!$B$2:$B$1501,"&lt;="&amp;B34)</f>
        <v>6160</v>
      </c>
      <c r="D34" s="6" t="n">
        <f aca="false">COUNTIFS('Raw Entries'!$B$2:$B$1501,"&gt;="&amp;A34,'Raw Entries'!$B$2:$B$1501,"&lt;="&amp;B34)</f>
        <v>10</v>
      </c>
      <c r="E34" s="6" t="n">
        <f aca="false">SUMIFS('Raw Entries'!$G$2:$G$1501,'Raw Entries'!$B$2:$B$1501,"&gt;="&amp;A34,'Raw Entries'!$B$2:$B$1501,"&lt;="&amp;B34)</f>
        <v>25</v>
      </c>
    </row>
    <row r="35" customFormat="false" ht="15" hidden="false" customHeight="false" outlineLevel="0" collapsed="false">
      <c r="A35" s="7" t="n">
        <v>45131</v>
      </c>
      <c r="B35" s="7" t="n">
        <v>45137</v>
      </c>
      <c r="C35" s="8" t="n">
        <f aca="false">SUMIFS('Raw Entries'!$I$2:$I$1501,'Raw Entries'!$B$2:$B$1501,"&gt;="&amp;A35,'Raw Entries'!$B$2:$B$1501,"&lt;="&amp;B35)</f>
        <v>13095</v>
      </c>
      <c r="D35" s="6" t="n">
        <f aca="false">COUNTIFS('Raw Entries'!$B$2:$B$1501,"&gt;="&amp;A35,'Raw Entries'!$B$2:$B$1501,"&lt;="&amp;B35)</f>
        <v>23</v>
      </c>
      <c r="E35" s="6" t="n">
        <f aca="false">SUMIFS('Raw Entries'!$G$2:$G$1501,'Raw Entries'!$B$2:$B$1501,"&gt;="&amp;A35,'Raw Entries'!$B$2:$B$1501,"&lt;="&amp;B35)</f>
        <v>51</v>
      </c>
    </row>
    <row r="36" customFormat="false" ht="15" hidden="false" customHeight="false" outlineLevel="0" collapsed="false">
      <c r="A36" s="7" t="n">
        <v>45138</v>
      </c>
      <c r="B36" s="7" t="n">
        <v>45144</v>
      </c>
      <c r="C36" s="8" t="n">
        <f aca="false">SUMIFS('Raw Entries'!$I$2:$I$1501,'Raw Entries'!$B$2:$B$1501,"&gt;="&amp;A36,'Raw Entries'!$B$2:$B$1501,"&lt;="&amp;B36)</f>
        <v>10610</v>
      </c>
      <c r="D36" s="6" t="n">
        <f aca="false">COUNTIFS('Raw Entries'!$B$2:$B$1501,"&gt;="&amp;A36,'Raw Entries'!$B$2:$B$1501,"&lt;="&amp;B36)</f>
        <v>22</v>
      </c>
      <c r="E36" s="6" t="n">
        <f aca="false">SUMIFS('Raw Entries'!$G$2:$G$1501,'Raw Entries'!$B$2:$B$1501,"&gt;="&amp;A36,'Raw Entries'!$B$2:$B$1501,"&lt;="&amp;B36)</f>
        <v>45</v>
      </c>
    </row>
    <row r="37" customFormat="false" ht="15" hidden="false" customHeight="false" outlineLevel="0" collapsed="false">
      <c r="A37" s="7" t="n">
        <v>45145</v>
      </c>
      <c r="B37" s="7" t="n">
        <v>45151</v>
      </c>
      <c r="C37" s="8" t="n">
        <f aca="false">SUMIFS('Raw Entries'!$I$2:$I$1501,'Raw Entries'!$B$2:$B$1501,"&gt;="&amp;A37,'Raw Entries'!$B$2:$B$1501,"&lt;="&amp;B37)</f>
        <v>6585</v>
      </c>
      <c r="D37" s="6" t="n">
        <f aca="false">COUNTIFS('Raw Entries'!$B$2:$B$1501,"&gt;="&amp;A37,'Raw Entries'!$B$2:$B$1501,"&lt;="&amp;B37)</f>
        <v>20</v>
      </c>
      <c r="E37" s="6" t="n">
        <f aca="false">SUMIFS('Raw Entries'!$G$2:$G$1501,'Raw Entries'!$B$2:$B$1501,"&gt;="&amp;A37,'Raw Entries'!$B$2:$B$1501,"&lt;="&amp;B37)</f>
        <v>55</v>
      </c>
    </row>
    <row r="38" customFormat="false" ht="15" hidden="false" customHeight="false" outlineLevel="0" collapsed="false">
      <c r="A38" s="7" t="n">
        <v>45152</v>
      </c>
      <c r="B38" s="7" t="n">
        <v>45158</v>
      </c>
      <c r="C38" s="8" t="n">
        <f aca="false">SUMIFS('Raw Entries'!$I$2:$I$1501,'Raw Entries'!$B$2:$B$1501,"&gt;="&amp;A38,'Raw Entries'!$B$2:$B$1501,"&lt;="&amp;B38)</f>
        <v>6980</v>
      </c>
      <c r="D38" s="6" t="n">
        <f aca="false">COUNTIFS('Raw Entries'!$B$2:$B$1501,"&gt;="&amp;A38,'Raw Entries'!$B$2:$B$1501,"&lt;="&amp;B38)</f>
        <v>17</v>
      </c>
      <c r="E38" s="6" t="n">
        <f aca="false">SUMIFS('Raw Entries'!$G$2:$G$1501,'Raw Entries'!$B$2:$B$1501,"&gt;="&amp;A38,'Raw Entries'!$B$2:$B$1501,"&lt;="&amp;B38)</f>
        <v>40</v>
      </c>
    </row>
    <row r="39" customFormat="false" ht="15" hidden="false" customHeight="false" outlineLevel="0" collapsed="false">
      <c r="A39" s="7" t="n">
        <v>45159</v>
      </c>
      <c r="B39" s="7" t="n">
        <v>45165</v>
      </c>
      <c r="C39" s="8" t="n">
        <f aca="false">SUMIFS('Raw Entries'!$I$2:$I$1501,'Raw Entries'!$B$2:$B$1501,"&gt;="&amp;A39,'Raw Entries'!$B$2:$B$1501,"&lt;="&amp;B39)</f>
        <v>8945</v>
      </c>
      <c r="D39" s="6" t="n">
        <f aca="false">COUNTIFS('Raw Entries'!$B$2:$B$1501,"&gt;="&amp;A39,'Raw Entries'!$B$2:$B$1501,"&lt;="&amp;B39)</f>
        <v>24</v>
      </c>
      <c r="E39" s="6" t="n">
        <f aca="false">SUMIFS('Raw Entries'!$G$2:$G$1501,'Raw Entries'!$B$2:$B$1501,"&gt;="&amp;A39,'Raw Entries'!$B$2:$B$1501,"&lt;="&amp;B39)</f>
        <v>59</v>
      </c>
    </row>
    <row r="40" customFormat="false" ht="15" hidden="false" customHeight="false" outlineLevel="0" collapsed="false">
      <c r="A40" s="7" t="n">
        <v>45166</v>
      </c>
      <c r="B40" s="7" t="n">
        <v>45172</v>
      </c>
      <c r="C40" s="8" t="n">
        <f aca="false">SUMIFS('Raw Entries'!$I$2:$I$1501,'Raw Entries'!$B$2:$B$1501,"&gt;="&amp;A40,'Raw Entries'!$B$2:$B$1501,"&lt;="&amp;B40)</f>
        <v>8385</v>
      </c>
      <c r="D40" s="6" t="n">
        <f aca="false">COUNTIFS('Raw Entries'!$B$2:$B$1501,"&gt;="&amp;A40,'Raw Entries'!$B$2:$B$1501,"&lt;="&amp;B40)</f>
        <v>20</v>
      </c>
      <c r="E40" s="6" t="n">
        <f aca="false">SUMIFS('Raw Entries'!$G$2:$G$1501,'Raw Entries'!$B$2:$B$1501,"&gt;="&amp;A40,'Raw Entries'!$B$2:$B$1501,"&lt;="&amp;B40)</f>
        <v>50</v>
      </c>
    </row>
    <row r="41" customFormat="false" ht="15" hidden="false" customHeight="false" outlineLevel="0" collapsed="false">
      <c r="A41" s="7" t="n">
        <v>45173</v>
      </c>
      <c r="B41" s="7" t="n">
        <v>45179</v>
      </c>
      <c r="C41" s="8" t="n">
        <f aca="false">SUMIFS('Raw Entries'!$I$2:$I$1501,'Raw Entries'!$B$2:$B$1501,"&gt;="&amp;A41,'Raw Entries'!$B$2:$B$1501,"&lt;="&amp;B41)</f>
        <v>5240</v>
      </c>
      <c r="D41" s="6" t="n">
        <f aca="false">COUNTIFS('Raw Entries'!$B$2:$B$1501,"&gt;="&amp;A41,'Raw Entries'!$B$2:$B$1501,"&lt;="&amp;B41)</f>
        <v>19</v>
      </c>
      <c r="E41" s="6" t="n">
        <f aca="false">SUMIFS('Raw Entries'!$G$2:$G$1501,'Raw Entries'!$B$2:$B$1501,"&gt;="&amp;A41,'Raw Entries'!$B$2:$B$1501,"&lt;="&amp;B41)</f>
        <v>51</v>
      </c>
    </row>
    <row r="42" customFormat="false" ht="15" hidden="false" customHeight="false" outlineLevel="0" collapsed="false">
      <c r="A42" s="7" t="n">
        <v>45180</v>
      </c>
      <c r="B42" s="7" t="n">
        <v>45186</v>
      </c>
      <c r="C42" s="8" t="n">
        <f aca="false">SUMIFS('Raw Entries'!$I$2:$I$1501,'Raw Entries'!$B$2:$B$1501,"&gt;="&amp;A42,'Raw Entries'!$B$2:$B$1501,"&lt;="&amp;B42)</f>
        <v>6375</v>
      </c>
      <c r="D42" s="6" t="n">
        <f aca="false">COUNTIFS('Raw Entries'!$B$2:$B$1501,"&gt;="&amp;A42,'Raw Entries'!$B$2:$B$1501,"&lt;="&amp;B42)</f>
        <v>13</v>
      </c>
      <c r="E42" s="6" t="n">
        <f aca="false">SUMIFS('Raw Entries'!$G$2:$G$1501,'Raw Entries'!$B$2:$B$1501,"&gt;="&amp;A42,'Raw Entries'!$B$2:$B$1501,"&lt;="&amp;B42)</f>
        <v>37</v>
      </c>
    </row>
    <row r="43" customFormat="false" ht="15" hidden="false" customHeight="false" outlineLevel="0" collapsed="false">
      <c r="A43" s="7" t="n">
        <v>45187</v>
      </c>
      <c r="B43" s="7" t="n">
        <v>45193</v>
      </c>
      <c r="C43" s="8" t="n">
        <f aca="false">SUMIFS('Raw Entries'!$I$2:$I$1501,'Raw Entries'!$B$2:$B$1501,"&gt;="&amp;A43,'Raw Entries'!$B$2:$B$1501,"&lt;="&amp;B43)</f>
        <v>1895</v>
      </c>
      <c r="D43" s="6" t="n">
        <f aca="false">COUNTIFS('Raw Entries'!$B$2:$B$1501,"&gt;="&amp;A43,'Raw Entries'!$B$2:$B$1501,"&lt;="&amp;B43)</f>
        <v>12</v>
      </c>
      <c r="E43" s="6" t="n">
        <f aca="false">SUMIFS('Raw Entries'!$G$2:$G$1501,'Raw Entries'!$B$2:$B$1501,"&gt;="&amp;A43,'Raw Entries'!$B$2:$B$1501,"&lt;="&amp;B43)</f>
        <v>30</v>
      </c>
    </row>
    <row r="44" customFormat="false" ht="15" hidden="false" customHeight="false" outlineLevel="0" collapsed="false">
      <c r="A44" s="7" t="n">
        <v>45194</v>
      </c>
      <c r="B44" s="7" t="n">
        <v>45200</v>
      </c>
      <c r="C44" s="8" t="n">
        <f aca="false">SUMIFS('Raw Entries'!$I$2:$I$1501,'Raw Entries'!$B$2:$B$1501,"&gt;="&amp;A44,'Raw Entries'!$B$2:$B$1501,"&lt;="&amp;B44)</f>
        <v>9865</v>
      </c>
      <c r="D44" s="6" t="n">
        <f aca="false">COUNTIFS('Raw Entries'!$B$2:$B$1501,"&gt;="&amp;A44,'Raw Entries'!$B$2:$B$1501,"&lt;="&amp;B44)</f>
        <v>16</v>
      </c>
      <c r="E44" s="6" t="n">
        <f aca="false">SUMIFS('Raw Entries'!$G$2:$G$1501,'Raw Entries'!$B$2:$B$1501,"&gt;="&amp;A44,'Raw Entries'!$B$2:$B$1501,"&lt;="&amp;B44)</f>
        <v>39</v>
      </c>
    </row>
    <row r="45" customFormat="false" ht="15" hidden="false" customHeight="false" outlineLevel="0" collapsed="false">
      <c r="A45" s="7" t="n">
        <v>45201</v>
      </c>
      <c r="B45" s="7" t="n">
        <v>45207</v>
      </c>
      <c r="C45" s="8" t="n">
        <f aca="false">SUMIFS('Raw Entries'!$I$2:$I$1501,'Raw Entries'!$B$2:$B$1501,"&gt;="&amp;A45,'Raw Entries'!$B$2:$B$1501,"&lt;="&amp;B45)</f>
        <v>12980</v>
      </c>
      <c r="D45" s="6" t="n">
        <f aca="false">COUNTIFS('Raw Entries'!$B$2:$B$1501,"&gt;="&amp;A45,'Raw Entries'!$B$2:$B$1501,"&lt;="&amp;B45)</f>
        <v>25</v>
      </c>
      <c r="E45" s="6" t="n">
        <f aca="false">SUMIFS('Raw Entries'!$G$2:$G$1501,'Raw Entries'!$B$2:$B$1501,"&gt;="&amp;A45,'Raw Entries'!$B$2:$B$1501,"&lt;="&amp;B45)</f>
        <v>71</v>
      </c>
    </row>
    <row r="46" customFormat="false" ht="15" hidden="false" customHeight="false" outlineLevel="0" collapsed="false">
      <c r="A46" s="7" t="n">
        <v>45208</v>
      </c>
      <c r="B46" s="7" t="n">
        <v>45214</v>
      </c>
      <c r="C46" s="8" t="n">
        <f aca="false">SUMIFS('Raw Entries'!$I$2:$I$1501,'Raw Entries'!$B$2:$B$1501,"&gt;="&amp;A46,'Raw Entries'!$B$2:$B$1501,"&lt;="&amp;B46)</f>
        <v>7825</v>
      </c>
      <c r="D46" s="6" t="n">
        <f aca="false">COUNTIFS('Raw Entries'!$B$2:$B$1501,"&gt;="&amp;A46,'Raw Entries'!$B$2:$B$1501,"&lt;="&amp;B46)</f>
        <v>25</v>
      </c>
      <c r="E46" s="6" t="n">
        <f aca="false">SUMIFS('Raw Entries'!$G$2:$G$1501,'Raw Entries'!$B$2:$B$1501,"&gt;="&amp;A46,'Raw Entries'!$B$2:$B$1501,"&lt;="&amp;B46)</f>
        <v>64</v>
      </c>
    </row>
    <row r="47" customFormat="false" ht="15" hidden="false" customHeight="false" outlineLevel="0" collapsed="false">
      <c r="A47" s="7" t="n">
        <v>45215</v>
      </c>
      <c r="B47" s="7" t="n">
        <v>45221</v>
      </c>
      <c r="C47" s="8" t="n">
        <f aca="false">SUMIFS('Raw Entries'!$I$2:$I$1501,'Raw Entries'!$B$2:$B$1501,"&gt;="&amp;A47,'Raw Entries'!$B$2:$B$1501,"&lt;="&amp;B47)</f>
        <v>8970</v>
      </c>
      <c r="D47" s="6" t="n">
        <f aca="false">COUNTIFS('Raw Entries'!$B$2:$B$1501,"&gt;="&amp;A47,'Raw Entries'!$B$2:$B$1501,"&lt;="&amp;B47)</f>
        <v>17</v>
      </c>
      <c r="E47" s="6" t="n">
        <f aca="false">SUMIFS('Raw Entries'!$G$2:$G$1501,'Raw Entries'!$B$2:$B$1501,"&gt;="&amp;A47,'Raw Entries'!$B$2:$B$1501,"&lt;="&amp;B47)</f>
        <v>41</v>
      </c>
    </row>
    <row r="48" customFormat="false" ht="15" hidden="false" customHeight="false" outlineLevel="0" collapsed="false">
      <c r="A48" s="7" t="n">
        <v>45222</v>
      </c>
      <c r="B48" s="7" t="n">
        <v>45228</v>
      </c>
      <c r="C48" s="8" t="n">
        <f aca="false">SUMIFS('Raw Entries'!$I$2:$I$1501,'Raw Entries'!$B$2:$B$1501,"&gt;="&amp;A48,'Raw Entries'!$B$2:$B$1501,"&lt;="&amp;B48)</f>
        <v>12140</v>
      </c>
      <c r="D48" s="6" t="n">
        <f aca="false">COUNTIFS('Raw Entries'!$B$2:$B$1501,"&gt;="&amp;A48,'Raw Entries'!$B$2:$B$1501,"&lt;="&amp;B48)</f>
        <v>22</v>
      </c>
      <c r="E48" s="6" t="n">
        <f aca="false">SUMIFS('Raw Entries'!$G$2:$G$1501,'Raw Entries'!$B$2:$B$1501,"&gt;="&amp;A48,'Raw Entries'!$B$2:$B$1501,"&lt;="&amp;B48)</f>
        <v>57</v>
      </c>
    </row>
    <row r="49" customFormat="false" ht="15" hidden="false" customHeight="false" outlineLevel="0" collapsed="false">
      <c r="A49" s="7" t="n">
        <v>45229</v>
      </c>
      <c r="B49" s="7" t="n">
        <v>45235</v>
      </c>
      <c r="C49" s="8" t="n">
        <f aca="false">SUMIFS('Raw Entries'!$I$2:$I$1501,'Raw Entries'!$B$2:$B$1501,"&gt;="&amp;A49,'Raw Entries'!$B$2:$B$1501,"&lt;="&amp;B49)</f>
        <v>8730</v>
      </c>
      <c r="D49" s="6" t="n">
        <f aca="false">COUNTIFS('Raw Entries'!$B$2:$B$1501,"&gt;="&amp;A49,'Raw Entries'!$B$2:$B$1501,"&lt;="&amp;B49)</f>
        <v>18</v>
      </c>
      <c r="E49" s="6" t="n">
        <f aca="false">SUMIFS('Raw Entries'!$G$2:$G$1501,'Raw Entries'!$B$2:$B$1501,"&gt;="&amp;A49,'Raw Entries'!$B$2:$B$1501,"&lt;="&amp;B49)</f>
        <v>50</v>
      </c>
    </row>
    <row r="50" customFormat="false" ht="15" hidden="false" customHeight="false" outlineLevel="0" collapsed="false">
      <c r="A50" s="7" t="n">
        <v>45236</v>
      </c>
      <c r="B50" s="7" t="n">
        <v>45242</v>
      </c>
      <c r="C50" s="8" t="n">
        <f aca="false">SUMIFS('Raw Entries'!$I$2:$I$1501,'Raw Entries'!$B$2:$B$1501,"&gt;="&amp;A50,'Raw Entries'!$B$2:$B$1501,"&lt;="&amp;B50)</f>
        <v>7910</v>
      </c>
      <c r="D50" s="6" t="n">
        <f aca="false">COUNTIFS('Raw Entries'!$B$2:$B$1501,"&gt;="&amp;A50,'Raw Entries'!$B$2:$B$1501,"&lt;="&amp;B50)</f>
        <v>17</v>
      </c>
      <c r="E50" s="6" t="n">
        <f aca="false">SUMIFS('Raw Entries'!$G$2:$G$1501,'Raw Entries'!$B$2:$B$1501,"&gt;="&amp;A50,'Raw Entries'!$B$2:$B$1501,"&lt;="&amp;B50)</f>
        <v>45</v>
      </c>
    </row>
    <row r="51" customFormat="false" ht="15" hidden="false" customHeight="false" outlineLevel="0" collapsed="false">
      <c r="A51" s="7" t="n">
        <v>45243</v>
      </c>
      <c r="B51" s="7" t="n">
        <v>45249</v>
      </c>
      <c r="C51" s="8" t="n">
        <f aca="false">SUMIFS('Raw Entries'!$I$2:$I$1501,'Raw Entries'!$B$2:$B$1501,"&gt;="&amp;A51,'Raw Entries'!$B$2:$B$1501,"&lt;="&amp;B51)</f>
        <v>9475</v>
      </c>
      <c r="D51" s="6" t="n">
        <f aca="false">COUNTIFS('Raw Entries'!$B$2:$B$1501,"&gt;="&amp;A51,'Raw Entries'!$B$2:$B$1501,"&lt;="&amp;B51)</f>
        <v>19</v>
      </c>
      <c r="E51" s="6" t="n">
        <f aca="false">SUMIFS('Raw Entries'!$G$2:$G$1501,'Raw Entries'!$B$2:$B$1501,"&gt;="&amp;A51,'Raw Entries'!$B$2:$B$1501,"&lt;="&amp;B51)</f>
        <v>51</v>
      </c>
    </row>
    <row r="52" customFormat="false" ht="15" hidden="false" customHeight="false" outlineLevel="0" collapsed="false">
      <c r="A52" s="7" t="n">
        <v>45250</v>
      </c>
      <c r="B52" s="7" t="n">
        <v>45256</v>
      </c>
      <c r="C52" s="8" t="n">
        <f aca="false">SUMIFS('Raw Entries'!$I$2:$I$1501,'Raw Entries'!$B$2:$B$1501,"&gt;="&amp;A52,'Raw Entries'!$B$2:$B$1501,"&lt;="&amp;B52)</f>
        <v>7760</v>
      </c>
      <c r="D52" s="6" t="n">
        <f aca="false">COUNTIFS('Raw Entries'!$B$2:$B$1501,"&gt;="&amp;A52,'Raw Entries'!$B$2:$B$1501,"&lt;="&amp;B52)</f>
        <v>17</v>
      </c>
      <c r="E52" s="6" t="n">
        <f aca="false">SUMIFS('Raw Entries'!$G$2:$G$1501,'Raw Entries'!$B$2:$B$1501,"&gt;="&amp;A52,'Raw Entries'!$B$2:$B$1501,"&lt;="&amp;B52)</f>
        <v>48</v>
      </c>
    </row>
    <row r="53" customFormat="false" ht="15" hidden="false" customHeight="false" outlineLevel="0" collapsed="false">
      <c r="A53" s="7" t="n">
        <v>45257</v>
      </c>
      <c r="B53" s="7" t="n">
        <v>45263</v>
      </c>
      <c r="C53" s="8" t="n">
        <f aca="false">SUMIFS('Raw Entries'!$I$2:$I$1501,'Raw Entries'!$B$2:$B$1501,"&gt;="&amp;A53,'Raw Entries'!$B$2:$B$1501,"&lt;="&amp;B53)</f>
        <v>6650</v>
      </c>
      <c r="D53" s="6" t="n">
        <f aca="false">COUNTIFS('Raw Entries'!$B$2:$B$1501,"&gt;="&amp;A53,'Raw Entries'!$B$2:$B$1501,"&lt;="&amp;B53)</f>
        <v>17</v>
      </c>
      <c r="E53" s="6" t="n">
        <f aca="false">SUMIFS('Raw Entries'!$G$2:$G$1501,'Raw Entries'!$B$2:$B$1501,"&gt;="&amp;A53,'Raw Entries'!$B$2:$B$1501,"&lt;="&amp;B53)</f>
        <v>37</v>
      </c>
    </row>
    <row r="54" customFormat="false" ht="15" hidden="false" customHeight="false" outlineLevel="0" collapsed="false">
      <c r="A54" s="7" t="n">
        <v>45264</v>
      </c>
      <c r="B54" s="7" t="n">
        <v>45270</v>
      </c>
      <c r="C54" s="8" t="n">
        <f aca="false">SUMIFS('Raw Entries'!$I$2:$I$1501,'Raw Entries'!$B$2:$B$1501,"&gt;="&amp;A54,'Raw Entries'!$B$2:$B$1501,"&lt;="&amp;B54)</f>
        <v>16690</v>
      </c>
      <c r="D54" s="6" t="n">
        <f aca="false">COUNTIFS('Raw Entries'!$B$2:$B$1501,"&gt;="&amp;A54,'Raw Entries'!$B$2:$B$1501,"&lt;="&amp;B54)</f>
        <v>30</v>
      </c>
      <c r="E54" s="6" t="n">
        <f aca="false">SUMIFS('Raw Entries'!$G$2:$G$1501,'Raw Entries'!$B$2:$B$1501,"&gt;="&amp;A54,'Raw Entries'!$B$2:$B$1501,"&lt;="&amp;B54)</f>
        <v>71</v>
      </c>
    </row>
    <row r="55" customFormat="false" ht="15" hidden="false" customHeight="false" outlineLevel="0" collapsed="false">
      <c r="A55" s="7" t="n">
        <v>45271</v>
      </c>
      <c r="B55" s="7" t="n">
        <v>45277</v>
      </c>
      <c r="C55" s="8" t="n">
        <f aca="false">SUMIFS('Raw Entries'!$I$2:$I$1501,'Raw Entries'!$B$2:$B$1501,"&gt;="&amp;A55,'Raw Entries'!$B$2:$B$1501,"&lt;="&amp;B55)</f>
        <v>7215</v>
      </c>
      <c r="D55" s="6" t="n">
        <f aca="false">COUNTIFS('Raw Entries'!$B$2:$B$1501,"&gt;="&amp;A55,'Raw Entries'!$B$2:$B$1501,"&lt;="&amp;B55)</f>
        <v>16</v>
      </c>
      <c r="E55" s="6" t="n">
        <f aca="false">SUMIFS('Raw Entries'!$G$2:$G$1501,'Raw Entries'!$B$2:$B$1501,"&gt;="&amp;A55,'Raw Entries'!$B$2:$B$1501,"&lt;="&amp;B55)</f>
        <v>34</v>
      </c>
    </row>
    <row r="56" customFormat="false" ht="15" hidden="false" customHeight="false" outlineLevel="0" collapsed="false">
      <c r="A56" s="7" t="n">
        <v>45278</v>
      </c>
      <c r="B56" s="7" t="n">
        <v>45284</v>
      </c>
      <c r="C56" s="8" t="n">
        <f aca="false">SUMIFS('Raw Entries'!$I$2:$I$1501,'Raw Entries'!$B$2:$B$1501,"&gt;="&amp;A56,'Raw Entries'!$B$2:$B$1501,"&lt;="&amp;B56)</f>
        <v>7740</v>
      </c>
      <c r="D56" s="6" t="n">
        <f aca="false">COUNTIFS('Raw Entries'!$B$2:$B$1501,"&gt;="&amp;A56,'Raw Entries'!$B$2:$B$1501,"&lt;="&amp;B56)</f>
        <v>22</v>
      </c>
      <c r="E56" s="6" t="n">
        <f aca="false">SUMIFS('Raw Entries'!$G$2:$G$1501,'Raw Entries'!$B$2:$B$1501,"&gt;="&amp;A56,'Raw Entries'!$B$2:$B$1501,"&lt;="&amp;B56)</f>
        <v>46</v>
      </c>
    </row>
    <row r="57" customFormat="false" ht="15" hidden="false" customHeight="false" outlineLevel="0" collapsed="false">
      <c r="A57" s="7" t="n">
        <v>45285</v>
      </c>
      <c r="B57" s="7" t="n">
        <v>45291</v>
      </c>
      <c r="C57" s="8" t="n">
        <f aca="false">SUMIFS('Raw Entries'!$I$2:$I$1501,'Raw Entries'!$B$2:$B$1501,"&gt;="&amp;A57,'Raw Entries'!$B$2:$B$1501,"&lt;="&amp;B57)</f>
        <v>9305</v>
      </c>
      <c r="D57" s="6" t="n">
        <f aca="false">COUNTIFS('Raw Entries'!$B$2:$B$1501,"&gt;="&amp;A57,'Raw Entries'!$B$2:$B$1501,"&lt;="&amp;B57)</f>
        <v>17</v>
      </c>
      <c r="E57" s="6" t="n">
        <f aca="false">SUMIFS('Raw Entries'!$G$2:$G$1501,'Raw Entries'!$B$2:$B$1501,"&gt;="&amp;A57,'Raw Entries'!$B$2:$B$1501,"&lt;="&amp;B57)</f>
        <v>43</v>
      </c>
    </row>
    <row r="58" customFormat="false" ht="15" hidden="false" customHeight="false" outlineLevel="0" collapsed="false">
      <c r="A58" s="7" t="n">
        <v>45292</v>
      </c>
      <c r="B58" s="7" t="n">
        <v>45298</v>
      </c>
      <c r="C58" s="8" t="n">
        <f aca="false">SUMIFS('Raw Entries'!$I$2:$I$1501,'Raw Entries'!$B$2:$B$1501,"&gt;="&amp;A58,'Raw Entries'!$B$2:$B$1501,"&lt;="&amp;B58)</f>
        <v>1530</v>
      </c>
      <c r="D58" s="6" t="n">
        <f aca="false">COUNTIFS('Raw Entries'!$B$2:$B$1501,"&gt;="&amp;A58,'Raw Entries'!$B$2:$B$1501,"&lt;="&amp;B58)</f>
        <v>2</v>
      </c>
      <c r="E58" s="6" t="n">
        <f aca="false">SUMIFS('Raw Entries'!$G$2:$G$1501,'Raw Entries'!$B$2:$B$1501,"&gt;="&amp;A58,'Raw Entries'!$B$2:$B$1501,"&lt;="&amp;B58)</f>
        <v>4</v>
      </c>
    </row>
    <row r="60" customFormat="false" ht="15" hidden="false" customHeight="false" outlineLevel="0" collapsed="false">
      <c r="A60" s="13" t="s">
        <v>1054</v>
      </c>
      <c r="C60" s="14" t="n">
        <f aca="false">SUM(C5:C58)</f>
        <v>456000</v>
      </c>
      <c r="D60" s="13" t="n">
        <f aca="false">SUM(D5:D58)</f>
        <v>1000</v>
      </c>
      <c r="E60" s="13" t="n">
        <f aca="false">SUM(E5:E58)</f>
        <v>2514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4"/>
    <col collapsed="false" customWidth="true" hidden="false" outlineLevel="0" max="4" min="4" style="0" width="16"/>
    <col collapsed="false" customWidth="true" hidden="false" outlineLevel="0" max="6" min="5" style="0" width="18"/>
  </cols>
  <sheetData>
    <row r="1" customFormat="false" ht="17.35" hidden="false" customHeight="false" outlineLevel="0" collapsed="false">
      <c r="A1" s="1" t="s">
        <v>1059</v>
      </c>
    </row>
    <row r="2" customFormat="false" ht="15" hidden="false" customHeight="false" outlineLevel="0" collapsed="false">
      <c r="A2" s="12" t="s">
        <v>1060</v>
      </c>
    </row>
    <row r="4" customFormat="false" ht="21.75" hidden="false" customHeight="true" outlineLevel="0" collapsed="false">
      <c r="A4" s="5" t="s">
        <v>1061</v>
      </c>
      <c r="B4" s="5" t="s">
        <v>1062</v>
      </c>
      <c r="C4" s="5" t="s">
        <v>1063</v>
      </c>
      <c r="D4" s="5" t="s">
        <v>1050</v>
      </c>
      <c r="E4" s="5" t="s">
        <v>1051</v>
      </c>
      <c r="F4" s="5" t="s">
        <v>1064</v>
      </c>
    </row>
    <row r="5" customFormat="false" ht="15" hidden="false" customHeight="false" outlineLevel="0" collapsed="false">
      <c r="A5" s="6" t="s">
        <v>1065</v>
      </c>
      <c r="B5" s="7" t="n">
        <v>44927</v>
      </c>
      <c r="C5" s="7" t="n">
        <v>44957</v>
      </c>
      <c r="D5" s="8" t="n">
        <f aca="false">SUMIFS('Raw Entries'!$I$2:$I$1501,'Raw Entries'!$B$2:$B$1501,"&gt;="&amp;B5,'Raw Entries'!$B$2:$B$1501,"&lt;="&amp;C5)</f>
        <v>35450</v>
      </c>
      <c r="E5" s="6" t="n">
        <f aca="false">COUNTIFS('Raw Entries'!$B$2:$B$1501,"&gt;="&amp;B5,'Raw Entries'!$B$2:$B$1501,"&lt;="&amp;C5)</f>
        <v>76</v>
      </c>
      <c r="F5" s="8" t="n">
        <f aca="false">IFERROR(D5/E5,0)</f>
        <v>466.447368421053</v>
      </c>
    </row>
    <row r="6" customFormat="false" ht="15" hidden="false" customHeight="false" outlineLevel="0" collapsed="false">
      <c r="A6" s="6" t="s">
        <v>1066</v>
      </c>
      <c r="B6" s="7" t="n">
        <v>44958</v>
      </c>
      <c r="C6" s="7" t="n">
        <v>44985</v>
      </c>
      <c r="D6" s="8" t="n">
        <f aca="false">SUMIFS('Raw Entries'!$I$2:$I$1501,'Raw Entries'!$B$2:$B$1501,"&gt;="&amp;B6,'Raw Entries'!$B$2:$B$1501,"&lt;="&amp;C6)</f>
        <v>44060</v>
      </c>
      <c r="E6" s="6" t="n">
        <f aca="false">COUNTIFS('Raw Entries'!$B$2:$B$1501,"&gt;="&amp;B6,'Raw Entries'!$B$2:$B$1501,"&lt;="&amp;C6)</f>
        <v>85</v>
      </c>
      <c r="F6" s="8" t="n">
        <f aca="false">IFERROR(D6/E6,0)</f>
        <v>518.352941176471</v>
      </c>
    </row>
    <row r="7" customFormat="false" ht="15" hidden="false" customHeight="false" outlineLevel="0" collapsed="false">
      <c r="A7" s="6" t="s">
        <v>1067</v>
      </c>
      <c r="B7" s="7" t="n">
        <v>44986</v>
      </c>
      <c r="C7" s="7" t="n">
        <v>45016</v>
      </c>
      <c r="D7" s="8" t="n">
        <f aca="false">SUMIFS('Raw Entries'!$I$2:$I$1501,'Raw Entries'!$B$2:$B$1501,"&gt;="&amp;B7,'Raw Entries'!$B$2:$B$1501,"&lt;="&amp;C7)</f>
        <v>28990</v>
      </c>
      <c r="E7" s="6" t="n">
        <f aca="false">COUNTIFS('Raw Entries'!$B$2:$B$1501,"&gt;="&amp;B7,'Raw Entries'!$B$2:$B$1501,"&lt;="&amp;C7)</f>
        <v>73</v>
      </c>
      <c r="F7" s="8" t="n">
        <f aca="false">IFERROR(D7/E7,0)</f>
        <v>397.123287671233</v>
      </c>
    </row>
    <row r="8" customFormat="false" ht="15" hidden="false" customHeight="false" outlineLevel="0" collapsed="false">
      <c r="A8" s="6" t="s">
        <v>1068</v>
      </c>
      <c r="B8" s="7" t="n">
        <v>45017</v>
      </c>
      <c r="C8" s="7" t="n">
        <v>45046</v>
      </c>
      <c r="D8" s="8" t="n">
        <f aca="false">SUMIFS('Raw Entries'!$I$2:$I$1501,'Raw Entries'!$B$2:$B$1501,"&gt;="&amp;B8,'Raw Entries'!$B$2:$B$1501,"&lt;="&amp;C8)</f>
        <v>33870</v>
      </c>
      <c r="E8" s="6" t="n">
        <f aca="false">COUNTIFS('Raw Entries'!$B$2:$B$1501,"&gt;="&amp;B8,'Raw Entries'!$B$2:$B$1501,"&lt;="&amp;C8)</f>
        <v>86</v>
      </c>
      <c r="F8" s="8" t="n">
        <f aca="false">IFERROR(D8/E8,0)</f>
        <v>393.837209302326</v>
      </c>
    </row>
    <row r="9" customFormat="false" ht="15" hidden="false" customHeight="false" outlineLevel="0" collapsed="false">
      <c r="A9" s="6" t="s">
        <v>1069</v>
      </c>
      <c r="B9" s="7" t="n">
        <v>45047</v>
      </c>
      <c r="C9" s="7" t="n">
        <v>45077</v>
      </c>
      <c r="D9" s="8" t="n">
        <f aca="false">SUMIFS('Raw Entries'!$I$2:$I$1501,'Raw Entries'!$B$2:$B$1501,"&gt;="&amp;B9,'Raw Entries'!$B$2:$B$1501,"&lt;="&amp;C9)</f>
        <v>53150</v>
      </c>
      <c r="E9" s="6" t="n">
        <f aca="false">COUNTIFS('Raw Entries'!$B$2:$B$1501,"&gt;="&amp;B9,'Raw Entries'!$B$2:$B$1501,"&lt;="&amp;C9)</f>
        <v>105</v>
      </c>
      <c r="F9" s="8" t="n">
        <f aca="false">IFERROR(D9/E9,0)</f>
        <v>506.190476190476</v>
      </c>
    </row>
    <row r="10" customFormat="false" ht="15" hidden="false" customHeight="false" outlineLevel="0" collapsed="false">
      <c r="A10" s="6" t="s">
        <v>1070</v>
      </c>
      <c r="B10" s="7" t="n">
        <v>45078</v>
      </c>
      <c r="C10" s="7" t="n">
        <v>45107</v>
      </c>
      <c r="D10" s="8" t="n">
        <f aca="false">SUMIFS('Raw Entries'!$I$2:$I$1501,'Raw Entries'!$B$2:$B$1501,"&gt;="&amp;B10,'Raw Entries'!$B$2:$B$1501,"&lt;="&amp;C10)</f>
        <v>36715</v>
      </c>
      <c r="E10" s="6" t="n">
        <f aca="false">COUNTIFS('Raw Entries'!$B$2:$B$1501,"&gt;="&amp;B10,'Raw Entries'!$B$2:$B$1501,"&lt;="&amp;C10)</f>
        <v>77</v>
      </c>
      <c r="F10" s="8" t="n">
        <f aca="false">IFERROR(D10/E10,0)</f>
        <v>476.818181818182</v>
      </c>
    </row>
    <row r="11" customFormat="false" ht="15" hidden="false" customHeight="false" outlineLevel="0" collapsed="false">
      <c r="A11" s="6" t="s">
        <v>1071</v>
      </c>
      <c r="B11" s="7" t="n">
        <v>45108</v>
      </c>
      <c r="C11" s="7" t="n">
        <v>45138</v>
      </c>
      <c r="D11" s="8" t="n">
        <f aca="false">SUMIFS('Raw Entries'!$I$2:$I$1501,'Raw Entries'!$B$2:$B$1501,"&gt;="&amp;B11,'Raw Entries'!$B$2:$B$1501,"&lt;="&amp;C11)</f>
        <v>35465</v>
      </c>
      <c r="E11" s="6" t="n">
        <f aca="false">COUNTIFS('Raw Entries'!$B$2:$B$1501,"&gt;="&amp;B11,'Raw Entries'!$B$2:$B$1501,"&lt;="&amp;C11)</f>
        <v>72</v>
      </c>
      <c r="F11" s="8" t="n">
        <f aca="false">IFERROR(D11/E11,0)</f>
        <v>492.569444444444</v>
      </c>
    </row>
    <row r="12" customFormat="false" ht="15" hidden="false" customHeight="false" outlineLevel="0" collapsed="false">
      <c r="A12" s="6" t="s">
        <v>1072</v>
      </c>
      <c r="B12" s="7" t="n">
        <v>45139</v>
      </c>
      <c r="C12" s="7" t="n">
        <v>45169</v>
      </c>
      <c r="D12" s="8" t="n">
        <f aca="false">SUMIFS('Raw Entries'!$I$2:$I$1501,'Raw Entries'!$B$2:$B$1501,"&gt;="&amp;B12,'Raw Entries'!$B$2:$B$1501,"&lt;="&amp;C12)</f>
        <v>36960</v>
      </c>
      <c r="E12" s="6" t="n">
        <f aca="false">COUNTIFS('Raw Entries'!$B$2:$B$1501,"&gt;="&amp;B12,'Raw Entries'!$B$2:$B$1501,"&lt;="&amp;C12)</f>
        <v>94</v>
      </c>
      <c r="F12" s="8" t="n">
        <f aca="false">IFERROR(D12/E12,0)</f>
        <v>393.191489361702</v>
      </c>
    </row>
    <row r="13" customFormat="false" ht="15" hidden="false" customHeight="false" outlineLevel="0" collapsed="false">
      <c r="A13" s="6" t="s">
        <v>1073</v>
      </c>
      <c r="B13" s="7" t="n">
        <v>45170</v>
      </c>
      <c r="C13" s="7" t="n">
        <v>45199</v>
      </c>
      <c r="D13" s="8" t="n">
        <f aca="false">SUMIFS('Raw Entries'!$I$2:$I$1501,'Raw Entries'!$B$2:$B$1501,"&gt;="&amp;B13,'Raw Entries'!$B$2:$B$1501,"&lt;="&amp;C13)</f>
        <v>23620</v>
      </c>
      <c r="E13" s="6" t="n">
        <f aca="false">COUNTIFS('Raw Entries'!$B$2:$B$1501,"&gt;="&amp;B13,'Raw Entries'!$B$2:$B$1501,"&lt;="&amp;C13)</f>
        <v>65</v>
      </c>
      <c r="F13" s="8" t="n">
        <f aca="false">IFERROR(D13/E13,0)</f>
        <v>363.384615384615</v>
      </c>
    </row>
    <row r="14" customFormat="false" ht="15" hidden="false" customHeight="false" outlineLevel="0" collapsed="false">
      <c r="A14" s="6" t="s">
        <v>1074</v>
      </c>
      <c r="B14" s="7" t="n">
        <v>45200</v>
      </c>
      <c r="C14" s="7" t="n">
        <v>45230</v>
      </c>
      <c r="D14" s="8" t="n">
        <f aca="false">SUMIFS('Raw Entries'!$I$2:$I$1501,'Raw Entries'!$B$2:$B$1501,"&gt;="&amp;B14,'Raw Entries'!$B$2:$B$1501,"&lt;="&amp;C14)</f>
        <v>46580</v>
      </c>
      <c r="E14" s="6" t="n">
        <f aca="false">COUNTIFS('Raw Entries'!$B$2:$B$1501,"&gt;="&amp;B14,'Raw Entries'!$B$2:$B$1501,"&lt;="&amp;C14)</f>
        <v>96</v>
      </c>
      <c r="F14" s="8" t="n">
        <f aca="false">IFERROR(D14/E14,0)</f>
        <v>485.208333333333</v>
      </c>
    </row>
    <row r="15" customFormat="false" ht="15" hidden="false" customHeight="false" outlineLevel="0" collapsed="false">
      <c r="A15" s="6" t="s">
        <v>1075</v>
      </c>
      <c r="B15" s="7" t="n">
        <v>45231</v>
      </c>
      <c r="C15" s="7" t="n">
        <v>45260</v>
      </c>
      <c r="D15" s="8" t="n">
        <f aca="false">SUMIFS('Raw Entries'!$I$2:$I$1501,'Raw Entries'!$B$2:$B$1501,"&gt;="&amp;B15,'Raw Entries'!$B$2:$B$1501,"&lt;="&amp;C15)</f>
        <v>34920</v>
      </c>
      <c r="E15" s="6" t="n">
        <f aca="false">COUNTIFS('Raw Entries'!$B$2:$B$1501,"&gt;="&amp;B15,'Raw Entries'!$B$2:$B$1501,"&lt;="&amp;C15)</f>
        <v>78</v>
      </c>
      <c r="F15" s="8" t="n">
        <f aca="false">IFERROR(D15/E15,0)</f>
        <v>447.692307692308</v>
      </c>
    </row>
    <row r="16" customFormat="false" ht="15" hidden="false" customHeight="false" outlineLevel="0" collapsed="false">
      <c r="A16" s="6" t="s">
        <v>1076</v>
      </c>
      <c r="B16" s="7" t="n">
        <v>45261</v>
      </c>
      <c r="C16" s="7" t="n">
        <v>45291</v>
      </c>
      <c r="D16" s="8" t="n">
        <f aca="false">SUMIFS('Raw Entries'!$I$2:$I$1501,'Raw Entries'!$B$2:$B$1501,"&gt;="&amp;B16,'Raw Entries'!$B$2:$B$1501,"&lt;="&amp;C16)</f>
        <v>44690</v>
      </c>
      <c r="E16" s="6" t="n">
        <f aca="false">COUNTIFS('Raw Entries'!$B$2:$B$1501,"&gt;="&amp;B16,'Raw Entries'!$B$2:$B$1501,"&lt;="&amp;C16)</f>
        <v>91</v>
      </c>
      <c r="F16" s="8" t="n">
        <f aca="false">IFERROR(D16/E16,0)</f>
        <v>491.098901098901</v>
      </c>
    </row>
    <row r="17" customFormat="false" ht="15" hidden="false" customHeight="false" outlineLevel="0" collapsed="false">
      <c r="A17" s="6" t="s">
        <v>1077</v>
      </c>
      <c r="B17" s="7" t="n">
        <v>45292</v>
      </c>
      <c r="C17" s="7" t="n">
        <v>45322</v>
      </c>
      <c r="D17" s="8" t="n">
        <f aca="false">SUMIFS('Raw Entries'!$I$2:$I$1501,'Raw Entries'!$B$2:$B$1501,"&gt;="&amp;B17,'Raw Entries'!$B$2:$B$1501,"&lt;="&amp;C17)</f>
        <v>1530</v>
      </c>
      <c r="E17" s="6" t="n">
        <f aca="false">COUNTIFS('Raw Entries'!$B$2:$B$1501,"&gt;="&amp;B17,'Raw Entries'!$B$2:$B$1501,"&lt;="&amp;C17)</f>
        <v>2</v>
      </c>
      <c r="F17" s="8" t="n">
        <f aca="false">IFERROR(D17/E17,0)</f>
        <v>765</v>
      </c>
    </row>
    <row r="19" customFormat="false" ht="15" hidden="false" customHeight="false" outlineLevel="0" collapsed="false">
      <c r="A19" s="13" t="s">
        <v>1054</v>
      </c>
      <c r="D19" s="14" t="n">
        <f aca="false">SUM(D5:D17)</f>
        <v>456000</v>
      </c>
      <c r="E19" s="13" t="n">
        <f aca="false">SUM(E5:E17)</f>
        <v>1000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4" min="3" style="0" width="20"/>
    <col collapsed="false" customWidth="true" hidden="false" outlineLevel="0" max="5" min="5" style="0" width="10"/>
    <col collapsed="false" customWidth="true" hidden="false" outlineLevel="0" max="6" min="6" style="0" width="16"/>
  </cols>
  <sheetData>
    <row r="1" customFormat="false" ht="17.35" hidden="false" customHeight="false" outlineLevel="0" collapsed="false">
      <c r="A1" s="1" t="s">
        <v>1078</v>
      </c>
    </row>
    <row r="2" customFormat="false" ht="30" hidden="false" customHeight="true" outlineLevel="0" collapsed="false">
      <c r="A2" s="15" t="s">
        <v>1079</v>
      </c>
      <c r="B2" s="15"/>
      <c r="C2" s="15"/>
      <c r="D2" s="15"/>
      <c r="E2" s="15"/>
      <c r="F2" s="15"/>
    </row>
    <row r="4" customFormat="false" ht="21.75" hidden="false" customHeight="true" outlineLevel="0" collapsed="false">
      <c r="A4" s="5" t="s">
        <v>1080</v>
      </c>
      <c r="B4" s="5" t="s">
        <v>1081</v>
      </c>
      <c r="C4" s="5" t="s">
        <v>1082</v>
      </c>
      <c r="D4" s="5" t="s">
        <v>1083</v>
      </c>
      <c r="E4" s="5" t="s">
        <v>1084</v>
      </c>
      <c r="F4" s="5" t="s">
        <v>1085</v>
      </c>
    </row>
    <row r="5" customFormat="false" ht="15" hidden="false" customHeight="false" outlineLevel="0" collapsed="false">
      <c r="A5" s="6" t="s">
        <v>1086</v>
      </c>
      <c r="B5" s="6" t="s">
        <v>1087</v>
      </c>
      <c r="C5" s="8" t="n">
        <v>1030</v>
      </c>
      <c r="D5" s="8" t="n">
        <f aca="false">'Daily Summary'!B177</f>
        <v>1030</v>
      </c>
      <c r="E5" s="6" t="str">
        <f aca="false">IF(ROUND(C5-D5,2)=0,"MATCH","CHECK")</f>
        <v>MATCH</v>
      </c>
      <c r="F5" s="6" t="n">
        <v>2</v>
      </c>
    </row>
    <row r="6" customFormat="false" ht="15" hidden="false" customHeight="false" outlineLevel="0" collapsed="false">
      <c r="A6" s="6" t="s">
        <v>1088</v>
      </c>
      <c r="B6" s="6" t="s">
        <v>1089</v>
      </c>
      <c r="C6" s="8" t="n">
        <v>4315</v>
      </c>
      <c r="D6" s="8" t="n">
        <f aca="false">'Weekly Summary'!C32</f>
        <v>4315</v>
      </c>
      <c r="E6" s="6" t="str">
        <f aca="false">IF(ROUND(C6-D6,2)=0,"MATCH","CHECK")</f>
        <v>MATCH</v>
      </c>
      <c r="F6" s="6" t="n">
        <v>16</v>
      </c>
    </row>
    <row r="7" customFormat="false" ht="15" hidden="false" customHeight="false" outlineLevel="0" collapsed="false">
      <c r="A7" s="6" t="s">
        <v>1090</v>
      </c>
      <c r="B7" s="6" t="s">
        <v>1071</v>
      </c>
      <c r="C7" s="8" t="n">
        <v>35465</v>
      </c>
      <c r="D7" s="8" t="n">
        <f aca="false">'Monthly Summary'!D11</f>
        <v>35465</v>
      </c>
      <c r="E7" s="6" t="str">
        <f aca="false">IF(ROUND(C7-D7,2)=0,"MATCH","CHECK")</f>
        <v>MATCH</v>
      </c>
      <c r="F7" s="6" t="n">
        <v>72</v>
      </c>
    </row>
    <row r="9" customFormat="false" ht="30" hidden="false" customHeight="true" outlineLevel="0" collapsed="false">
      <c r="A9" s="15" t="s">
        <v>1091</v>
      </c>
      <c r="B9" s="15"/>
      <c r="C9" s="15"/>
      <c r="D9" s="15"/>
      <c r="E9" s="15"/>
      <c r="F9" s="15"/>
    </row>
  </sheetData>
  <mergeCells count="2">
    <mergeCell ref="A2:F2"/>
    <mergeCell ref="A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2026-09-15T05:20:02Z</dcterms:created>
  <dc:creator>openpyxl</dc:creator>
  <dc:description/>
  <dc:language>en-US</dc:language>
  <cp:lastModifiedBy/>
  <dcterms:modified xsi:type="dcterms:W3CDTF">2026-09-15T05:20:03Z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