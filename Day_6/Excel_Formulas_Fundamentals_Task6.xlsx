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Lookup_Tables" sheetId="3" state="visible" r:id="rId5"/>
    <sheet name="Lookup_Demo" sheetId="4" state="visible" r:id="rId6"/>
    <sheet name="SUMIFS_COUNTIFS" sheetId="5" state="visible" r:id="rId7"/>
    <sheet name="Text_Functions" sheetId="6" state="visible" r:id="rId8"/>
    <sheet name="Edge_Cases" sheetId="7" state="visible" r:id="rId9"/>
    <sheet name="Notes" sheetId="8" state="visible" r:id="rId10"/>
  </sheets>
  <definedNames>
    <definedName function="false" hidden="false" name="Category_Range" vbProcedure="false">Data!$H$2:$H$1001</definedName>
    <definedName function="false" hidden="false" name="Discount_Range" vbProcedure="false">Data!$L$2:$L$1001</definedName>
    <definedName function="false" hidden="false" name="Profit_Range" vbProcedure="false">Data!$M$2:$M$1001</definedName>
    <definedName function="false" hidden="false" name="Quantity_Range" vbProcedure="false">Data!$K$2:$K$1001</definedName>
    <definedName function="false" hidden="false" name="Region_Manager_Table" vbProcedure="false">Lookup_Tables!$A$3:$B$6</definedName>
    <definedName function="false" hidden="false" name="Region_Range" vbProcedure="false">Data!$G$2:$G$1001</definedName>
    <definedName function="false" hidden="false" name="Sales_Range" vbProcedure="false">Data!$J$2:$J$1001</definedName>
    <definedName function="false" hidden="false" name="Segment_Range" vbProcedure="false">Data!$B$2:$B$1001</definedName>
    <definedName function="false" hidden="false" name="ShipMode_Col" vbProcedure="false">Lookup_Tables!$D$3:$D$6</definedName>
    <definedName function="false" hidden="false" name="ShipMode_Range" vbProcedure="false">Data!$A$2:$A$1001</definedName>
    <definedName function="false" hidden="false" name="SLA_Days_Col" vbProcedure="false">Lookup_Tables!$E$3:$E$6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<sst xmlns="http://schemas.openxmlformats.org/spreadsheetml/2006/main" count="8226" uniqueCount="435">
  <si>
    <t xml:space="preserve">Excel Formulas &amp; Functions Fundamentals — Practice Workbook</t>
  </si>
  <si>
    <t xml:space="preserve">Task 6 · Data Analytics Track · Built on the Sample Superstore dataset (cleaned)</t>
  </si>
  <si>
    <t xml:space="preserve">About this workbook</t>
  </si>
  <si>
    <t xml:space="preserve">Dataset used</t>
  </si>
  <si>
    <t xml:space="preserve">SampleSuperstore_clean.csv — first 1,000 transaction rows loaded into the 'Data' sheet (kept to 1,000 rows so every formula recalculates instantly; every formula below works identically if you paste in the full 9,977-row file and extend the ranges).</t>
  </si>
  <si>
    <t xml:space="preserve">Columns in the raw data</t>
  </si>
  <si>
    <t xml:space="preserve">Ship Mode, Segment, Country, City, State, Postal Code, Region, Category, Sub-Category, Sales, Quantity, Discount, Profit.</t>
  </si>
  <si>
    <t xml:space="preserve">What was added</t>
  </si>
  <si>
    <t xml:space="preserve">Helper columns (N–R) on the Data sheet using nested IF, text concatenation, VLOOKUP and INDEX/MATCH — plus five extra sheets that isolate each function family so you can see it working on its own before it gets combined with others.</t>
  </si>
  <si>
    <t xml:space="preserve">Sheet map</t>
  </si>
  <si>
    <t xml:space="preserve">Sheet</t>
  </si>
  <si>
    <t xml:space="preserve">What's in it</t>
  </si>
  <si>
    <t xml:space="preserve">Data</t>
  </si>
  <si>
    <t xml:space="preserve">The working table (1,000 live rows) plus helper columns demonstrating nested IF, text formulas, VLOOKUP and INDEX/MATCH row-by-row.</t>
  </si>
  <si>
    <t xml:space="preserve">Lookup_Tables</t>
  </si>
  <si>
    <t xml:space="preserve">Small reference tables (Region→Manager, Ship Mode→Delivery SLA) that the lookup formulas pull from. This is the 'answer key' VLOOKUP/INDEX-MATCH search.</t>
  </si>
  <si>
    <t xml:space="preserve">Lookup_Demo</t>
  </si>
  <si>
    <t xml:space="preserve">An interactive sandbox — type a Region or Ship Mode into the yellow cell and watch VLOOKUP, INDEX/MATCH (and the XLOOKUP equivalent) return the answer live.</t>
  </si>
  <si>
    <t xml:space="preserve">SUMIFS_COUNTIFS</t>
  </si>
  <si>
    <t xml:space="preserve">Summary matrices — total Sales and order counts sliced by Region, Category and Segment, plus a direct SUMIF vs SUMIFS comparison.</t>
  </si>
  <si>
    <t xml:space="preserve">Text_Functions</t>
  </si>
  <si>
    <t xml:space="preserve">LEFT, RIGHT, MID, LEN, TRIM, UPPER/LOWER/PROPER, CONCATENATE/TEXTJOIN, FIND/SEARCH and SUBSTITUTE, each applied to real City/Category/Ship Mode text.</t>
  </si>
  <si>
    <t xml:space="preserve">Edge_Cases</t>
  </si>
  <si>
    <t xml:space="preserve">A small deliberately-messy test table (blank cells, numbers stored as text, stray spaces) used to show how IFERROR, ISBLANK, ISNUMBER, VALUE and TRIM protect a formula.</t>
  </si>
  <si>
    <t xml:space="preserve">Notes</t>
  </si>
  <si>
    <t xml:space="preserve">Plain-English notes on when to reach for each function, the key differences (SUMIF vs SUMIFS, VLOOKUP vs INDEX/MATCH vs XLOOKUP), and answers to the interview questions from the task brief.</t>
  </si>
  <si>
    <t xml:space="preserve">Color legend</t>
  </si>
  <si>
    <t xml:space="preserve">Yellow fill</t>
  </si>
  <si>
    <t xml:space="preserve">Editable input cell — change this value to test the formula yourself</t>
  </si>
  <si>
    <t xml:space="preserve">Blue header</t>
  </si>
  <si>
    <t xml:space="preserve">Column headers / section titles</t>
  </si>
  <si>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</si>
  <si>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</si>
  <si>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</si>
  <si>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</si>
  <si>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</si>
  <si>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</si>
  <si>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</si>
  <si>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</si>
  <si>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</si>
  <si>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</si>
  <si>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</si>
  <si>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</si>
  <si>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</si>
  <si>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Profit Category (nested IF)</t>
  </si>
  <si>
    <t xml:space="preserve">High-Value Order (IF)</t>
  </si>
  <si>
    <t xml:space="preserve">Full Item Description (&amp; text join)</t>
  </si>
  <si>
    <t xml:space="preserve">Regional Manager (VLOOKUP)</t>
  </si>
  <si>
    <t xml:space="preserve">Delivery SLA – days (INDEX/MATCH)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</si>
  <si>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</si>
  <si>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</si>
  <si>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</si>
  <si>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</si>
  <si>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</si>
  <si>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</si>
  <si>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</si>
  <si>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</si>
  <si>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</si>
  <si>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</si>
  <si>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</si>
  <si>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California</t>
  </si>
  <si>
    <t xml:space="preserve">West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</si>
  <si>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</si>
  <si>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</si>
  <si>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</si>
  <si>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</si>
  <si>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</si>
  <si>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Tables</t>
  </si>
  <si>
    <t xml:space="preserve">Storage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</si>
  <si>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</si>
  <si>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</si>
  <si>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</si>
  <si>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</si>
  <si>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</si>
  <si>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</si>
  <si>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</si>
  <si>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</si>
  <si>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Paper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</si>
  <si>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</si>
  <si>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</si>
  <si>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</si>
  <si>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</si>
  <si>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</si>
  <si>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</si>
  <si>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</si>
  <si>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</si>
  <si>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</si>
  <si>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</si>
  <si>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</si>
  <si>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</si>
  <si>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</si>
  <si>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</si>
  <si>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</si>
  <si>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</si>
  <si>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</si>
  <si>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Accessories</t>
  </si>
  <si>
    <t xml:space="preserve">Envelopes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</si>
  <si>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</si>
  <si>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</si>
  <si>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</si>
  <si>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</si>
  <si>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</si>
  <si>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</si>
  <si>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</si>
  <si>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</si>
  <si>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</si>
  <si>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</si>
  <si>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</si>
  <si>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</si>
  <si>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</si>
  <si>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</si>
  <si>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</si>
  <si>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</si>
  <si>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Fasteners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</si>
  <si>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</si>
  <si>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</si>
  <si>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</si>
  <si>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</si>
  <si>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</si>
  <si>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</si>
  <si>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</si>
  <si>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</si>
  <si>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</si>
  <si>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</si>
  <si>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</si>
  <si>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</si>
  <si>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</si>
  <si>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</si>
  <si>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</si>
  <si>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</si>
  <si>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</si>
  <si>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</si>
  <si>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</si>
  <si>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</si>
  <si>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</si>
  <si>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</si>
  <si>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</si>
  <si>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</si>
  <si>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</si>
  <si>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</si>
  <si>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</si>
  <si>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</si>
  <si>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</si>
  <si>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</si>
  <si>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</si>
  <si>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</si>
  <si>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Supplies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</si>
  <si>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</si>
  <si>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</si>
  <si>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</si>
  <si>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</si>
  <si>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</si>
  <si>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</si>
  <si>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</si>
  <si>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</si>
  <si>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</si>
  <si>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</si>
  <si>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</si>
  <si>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</si>
  <si>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Machines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</si>
  <si>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</si>
  <si>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</si>
  <si>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</si>
  <si>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</si>
  <si>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</si>
  <si>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</si>
  <si>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</si>
  <si>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</si>
  <si>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</si>
  <si>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</si>
  <si>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</si>
  <si>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</si>
  <si>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</si>
  <si>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</si>
  <si>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</si>
  <si>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</si>
  <si>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</si>
  <si>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</si>
  <si>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</si>
  <si>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</si>
  <si>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</si>
  <si>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</si>
  <si>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</si>
  <si>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</si>
  <si>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</si>
  <si>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</si>
  <si>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</si>
  <si>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</si>
  <si>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</si>
  <si>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</si>
  <si>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</si>
  <si>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</si>
  <si>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</si>
  <si>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</si>
  <si>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</si>
  <si>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</si>
  <si>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</si>
  <si>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</si>
  <si>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Copiers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</si>
  <si>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</si>
  <si>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</si>
  <si>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</si>
  <si>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</si>
  <si>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</si>
  <si>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</si>
  <si>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</si>
  <si>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</si>
  <si>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</si>
  <si>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</si>
  <si>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</si>
  <si>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</si>
  <si>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</si>
  <si>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</si>
  <si>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</si>
  <si>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</si>
  <si>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</si>
  <si>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</si>
  <si>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</si>
  <si>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</si>
  <si>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</si>
  <si>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</si>
  <si>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</si>
  <si>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</si>
  <si>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</si>
  <si>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</si>
  <si>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</si>
  <si>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</si>
  <si>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</si>
  <si>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</si>
  <si>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</si>
  <si>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</si>
  <si>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</si>
  <si>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</si>
  <si>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</si>
  <si>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</si>
  <si>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Parker</t>
  </si>
  <si>
    <t xml:space="preserve">Atlanta</t>
  </si>
  <si>
    <t xml:space="preserve">Gladstone</t>
  </si>
  <si>
    <t xml:space="preserve">Great Falls</t>
  </si>
  <si>
    <t xml:space="preserve">Montana</t>
  </si>
  <si>
    <t xml:space="preserve">Lakeland</t>
  </si>
  <si>
    <t xml:space="preserve">Montgomery</t>
  </si>
  <si>
    <t xml:space="preserve">Mesa</t>
  </si>
  <si>
    <t xml:space="preserve">Green Bay</t>
  </si>
  <si>
    <t xml:space="preserve">Anaheim</t>
  </si>
  <si>
    <t xml:space="preserve">Marysville</t>
  </si>
  <si>
    <t xml:space="preserve">Salem</t>
  </si>
  <si>
    <t xml:space="preserve">Laredo</t>
  </si>
  <si>
    <t xml:space="preserve">Grove City</t>
  </si>
  <si>
    <t xml:space="preserve">Dearborn</t>
  </si>
  <si>
    <t xml:space="preserve">Warner Robins</t>
  </si>
  <si>
    <t xml:space="preserve">Vallejo</t>
  </si>
  <si>
    <t xml:space="preserve">Mission Viejo</t>
  </si>
  <si>
    <t xml:space="preserve">Rochester Hills</t>
  </si>
  <si>
    <t xml:space="preserve">Plainfield</t>
  </si>
  <si>
    <t xml:space="preserve">Sierra Vista</t>
  </si>
  <si>
    <t xml:space="preserve">Vancouver</t>
  </si>
  <si>
    <t xml:space="preserve">Cleveland</t>
  </si>
  <si>
    <t xml:space="preserve">Tyler</t>
  </si>
  <si>
    <t xml:space="preserve">Burlington</t>
  </si>
  <si>
    <t xml:space="preserve">Waynesboro</t>
  </si>
  <si>
    <t xml:space="preserve">Chester</t>
  </si>
  <si>
    <t xml:space="preserve">Cary</t>
  </si>
  <si>
    <t xml:space="preserve">Palm Coast</t>
  </si>
  <si>
    <t xml:space="preserve">Mount Vernon</t>
  </si>
  <si>
    <t xml:space="preserve">Hialeah</t>
  </si>
  <si>
    <t xml:space="preserve">Oceanside</t>
  </si>
  <si>
    <t xml:space="preserve">Evanston</t>
  </si>
  <si>
    <t xml:space="preserve">Trenton</t>
  </si>
  <si>
    <t xml:space="preserve">Cottage Grove</t>
  </si>
  <si>
    <t xml:space="preserve">Bossier City</t>
  </si>
  <si>
    <t xml:space="preserve">Lancaster</t>
  </si>
  <si>
    <t xml:space="preserve">Asheville</t>
  </si>
  <si>
    <t xml:space="preserve">Lake Elsinore</t>
  </si>
  <si>
    <t xml:space="preserve">Omaha</t>
  </si>
  <si>
    <t xml:space="preserve">Edmonds</t>
  </si>
  <si>
    <t xml:space="preserve">Santa Ana</t>
  </si>
  <si>
    <t xml:space="preserve">Milwaukee</t>
  </si>
  <si>
    <t xml:space="preserve">Florence</t>
  </si>
  <si>
    <t xml:space="preserve">Lorain</t>
  </si>
  <si>
    <t xml:space="preserve">Linden</t>
  </si>
  <si>
    <t xml:space="preserve">Salinas</t>
  </si>
  <si>
    <t xml:space="preserve">New Brunswick</t>
  </si>
  <si>
    <t xml:space="preserve">New Hampshire</t>
  </si>
  <si>
    <t xml:space="preserve">Maryland</t>
  </si>
  <si>
    <t xml:space="preserve">Garland</t>
  </si>
  <si>
    <t xml:space="preserve">Norwich</t>
  </si>
  <si>
    <t xml:space="preserve">Alexandria</t>
  </si>
  <si>
    <t xml:space="preserve">Toledo</t>
  </si>
  <si>
    <t xml:space="preserve">Farmington</t>
  </si>
  <si>
    <t xml:space="preserve">Riverside</t>
  </si>
  <si>
    <t xml:space="preserve">Torrance</t>
  </si>
  <si>
    <t xml:space="preserve">Round Rock</t>
  </si>
  <si>
    <t xml:space="preserve">Boca Raton</t>
  </si>
  <si>
    <t xml:space="preserve">Virginia Beach</t>
  </si>
  <si>
    <t xml:space="preserve">Table 1 — Region → Regional Manager</t>
  </si>
  <si>
    <t xml:space="preserve">Table 2 — Ship Mode → Delivery SLA (days)</t>
  </si>
  <si>
    <t xml:space="preserve">Regional Manager</t>
  </si>
  <si>
    <t xml:space="preserve">SLA Days</t>
  </si>
  <si>
    <t xml:space="preserve">Aditya Rao</t>
  </si>
  <si>
    <t xml:space="preserve">Priya Menon</t>
  </si>
  <si>
    <t xml:space="preserve">Karthik Iyer</t>
  </si>
  <si>
    <t xml:space="preserve">Sana Sheikh</t>
  </si>
  <si>
    <t xml:space="preserve">Note: Manager names are illustrative placeholders (not present in the original dataset) created only so VLOOKUP/INDEX-MATCH has a second table to search — a realistic situation, since in real analyst work the lookup table is usually a separate reference file (e.g. an HR list).</t>
  </si>
  <si>
    <t xml:space="preserve">Interactive lookup sandbox</t>
  </si>
  <si>
    <t xml:space="preserve">Type a Region name in the yellow cell below and watch every lookup method return the same answer.</t>
  </si>
  <si>
    <t xml:space="preserve">Region to look up:</t>
  </si>
  <si>
    <t xml:space="preserve">Method</t>
  </si>
  <si>
    <t xml:space="preserve">Live result</t>
  </si>
  <si>
    <t xml:space="preserve">Formula pattern</t>
  </si>
  <si>
    <t xml:space="preserve">VLOOKUP</t>
  </si>
  <si>
    <t xml:space="preserve">Pattern: VLOOKUP(lookup_value, table_array, col_index_num, FALSE)  — searches the FIRST column only, always left→right.</t>
  </si>
  <si>
    <t xml:space="preserve">INDEX/MATCH</t>
  </si>
  <si>
    <t xml:space="preserve">Pattern: INDEX(return_range, MATCH(lookup_value, lookup_range, 0))  — can look right-to-left and doesn't break if columns are inserted.</t>
  </si>
  <si>
    <t xml:space="preserve">XLOOKUP</t>
  </si>
  <si>
    <t xml:space="preserve">Formula text: =XLOOKUP(C5,Lookup_Tables!A3:A6,Lookup_Tables!B3:B6)</t>
  </si>
  <si>
    <t xml:space="preserve">Shown as TEXT, not a live formula: this workbook is checked with LibreOffice, which can't calculate XLOOKUP. Paste this exact formula into Excel 365 or Google Sheets and it will work — no FALSE/0 needed, and it returns a friendly result directly if nothing is found via a 4th 'if_not_found' argument.</t>
  </si>
  <si>
    <t xml:space="preserve">Ship Mode to look up:</t>
  </si>
  <si>
    <t xml:space="preserve">Delivery SLA (INDEX/MATCH):</t>
  </si>
  <si>
    <t xml:space="preserve">SUMIFS, COUNTIFS &amp; friends — sliced summaries of the live Data sheet</t>
  </si>
  <si>
    <t xml:space="preserve">1) Total Sales by Region × Category  —  SUMIFS(Sales_Range, Region_Range, region, Category_Range, category)</t>
  </si>
  <si>
    <t xml:space="preserve">All Regions</t>
  </si>
  <si>
    <t xml:space="preserve">2) Number of Orders by Region × Segment  —  COUNTIFS(Region_Range, region, Segment_Range, segment)</t>
  </si>
  <si>
    <t xml:space="preserve">3) SUMIF vs SUMIFS — same question, one criterion vs two</t>
  </si>
  <si>
    <t xml:space="preserve">SUMIF — total Sales where Category = "Technology":</t>
  </si>
  <si>
    <t xml:space="preserve">SUMIFS — total Sales where Category = "Technology" AND Region = "West":</t>
  </si>
  <si>
    <t xml:space="preserve">COUNTIF — number of orders with Discount &gt; 0:</t>
  </si>
  <si>
    <t xml:space="preserve">COUNTIFS — number of Technology orders with Discount &gt; 20%:</t>
  </si>
  <si>
    <t xml:space="preserve">4) Bonus — AVERAGEIFS: average Discount given per Category</t>
  </si>
  <si>
    <t xml:space="preserve">Avg. Discount</t>
  </si>
  <si>
    <t xml:space="preserve">Text functions applied to real City / Category / Ship Mode values (first 15 rows of Data)</t>
  </si>
  <si>
    <t xml:space="preserve">Row #</t>
  </si>
  <si>
    <t xml:space="preserve">City (source)</t>
  </si>
  <si>
    <t xml:space="preserve">State (source)</t>
  </si>
  <si>
    <t xml:space="preserve">LEFT(City,3)</t>
  </si>
  <si>
    <t xml:space="preserve">RIGHT(State,3)</t>
  </si>
  <si>
    <t xml:space="preserve">MID(City,2,4)</t>
  </si>
  <si>
    <t xml:space="preserve">LEN(City)</t>
  </si>
  <si>
    <t xml:space="preserve">UPPER/PROPER(Segment)</t>
  </si>
  <si>
    <t xml:space="preserve">City &amp; ", " &amp; State</t>
  </si>
  <si>
    <t xml:space="preserve">TEXTJOIN(" | ", City,State,Segment)</t>
  </si>
  <si>
    <t xml:space="preserve">More text-function patterns worth knowing</t>
  </si>
  <si>
    <t xml:space="preserve">FIND (case-sensitive position)</t>
  </si>
  <si>
    <t xml:space="preserve">Returns the character position of "Office" inside the Category text of row 4 ("Office Supplies"), or a VALUE error if it isn't found.</t>
  </si>
  <si>
    <t xml:space="preserve">SEARCH (case-insensitive position)</t>
  </si>
  <si>
    <t xml:space="preserve">Same idea as FIND, but ignores upper/lower case — safer when you can't guarantee consistent capitalization.</t>
  </si>
  <si>
    <t xml:space="preserve">SUBSTITUTE (replace text)</t>
  </si>
  <si>
    <t xml:space="preserve">Replaces every occurrence of "Class" with "Tier" inside the Ship Mode text — useful for relabeling values without retyping them.</t>
  </si>
  <si>
    <t xml:space="preserve">TRIM (strip extra spaces)</t>
  </si>
  <si>
    <t xml:space="preserve">Collapses leading, trailing and repeated internal spaces down to single spaces — the fix for text that looks identical but won't match in a lookup.</t>
  </si>
  <si>
    <t xml:space="preserve">VALUE (text number -&gt; real number)</t>
  </si>
  <si>
    <t xml:space="preserve">Converts a number that's stored as text (left-aligned, ignored by SUM) into a real number Excel can calculate with.</t>
  </si>
  <si>
    <t xml:space="preserve">A small, deliberately-messy test table — used to show how formulas break, and how to guard them</t>
  </si>
  <si>
    <t xml:space="preserve">This table is hand-built (not from the Superstore file) purely to create the messy conditions analysts hit in real spreadsheets: a blank cell, a number typed as text, and stray spaces.</t>
  </si>
  <si>
    <t xml:space="preserve">Order</t>
  </si>
  <si>
    <t xml:space="preserve">Quantity (blank/number/text)</t>
  </si>
  <si>
    <t xml:space="preserve">A1</t>
  </si>
  <si>
    <t xml:space="preserve">normal row</t>
  </si>
  <si>
    <t xml:space="preserve">A2</t>
  </si>
  <si>
    <t xml:space="preserve">blank Quantity</t>
  </si>
  <si>
    <t xml:space="preserve">A3</t>
  </si>
  <si>
    <t xml:space="preserve">7</t>
  </si>
  <si>
    <t xml:space="preserve">Quantity typed/pasted as TEXT, not a number</t>
  </si>
  <si>
    <t xml:space="preserve">A4</t>
  </si>
  <si>
    <t xml:space="preserve">  6</t>
  </si>
  <si>
    <t xml:space="preserve">Quantity has a leading space — looks fine, breaks matches</t>
  </si>
  <si>
    <t xml:space="preserve">Problem &amp; fix</t>
  </si>
  <si>
    <t xml:space="preserve">Naive SUM (breaks on blank+text)</t>
  </si>
  <si>
    <t xml:space="preserve">SUM silently skips the blank and the text value — it looks like it worked, but the total is quietly wrong (only counts the real numbers).</t>
  </si>
  <si>
    <t xml:space="preserve">ISBLANK — catch the missing value</t>
  </si>
  <si>
    <t xml:space="preserve">Flags row A2 explicitly instead of letting a blank slide through unnoticed.</t>
  </si>
  <si>
    <t xml:space="preserve">ISNUMBER — catch the text value</t>
  </si>
  <si>
    <t xml:space="preserve">B7, holding "7" as text, is caught here — a plain SUM() would have ignored it.</t>
  </si>
  <si>
    <t xml:space="preserve">VALUE — force text back to a number</t>
  </si>
  <si>
    <t xml:space="preserve">TRIM removes the stray leading space first, then VALUE converts the cleaned text "6" into the real number 6.</t>
  </si>
  <si>
    <t xml:space="preserve">IFERROR — never show a raw error to a user</t>
  </si>
  <si>
    <t xml:space="preserve">Wraps a conversion that could fail (e.g. on true non-numeric text) so the sheet shows a friendly "n/a" instead of a VALUE error.</t>
  </si>
  <si>
    <t xml:space="preserve">Notes — when to use each formula</t>
  </si>
  <si>
    <t xml:space="preserve">1. Lookup functions</t>
  </si>
  <si>
    <t xml:space="preserve">You need to pull a matching value from a column to the RIGHT of your lookup column, in a table that won't have columns inserted into it. Simple, universally understood, works in every Excel version.</t>
  </si>
  <si>
    <t xml:space="preserve">Data!Q2 pulls the Regional Manager for each Region.</t>
  </si>
  <si>
    <t xml:space="preserve">Same job as VLOOKUP but more flexible: it can look to the LEFT, doesn't break when someone inserts a column in the middle of the table, and is generally faster on very large sheets.</t>
  </si>
  <si>
    <t xml:space="preserve">Data!R2 finds the Delivery SLA by matching Ship Mode.</t>
  </si>
  <si>
    <t xml:space="preserve">The modern replacement for both — Excel 365 / Google Sheets only. One function does what VLOOKUP+INDEX/MATCH used to need two for: searches either direction, defaults to exact match, and lets you supply a custom 'not found' message instead of an N/A error.</t>
  </si>
  <si>
    <t xml:space="preserve">See Lookup_Demo sheet — shown as text since it needs Excel 365/Sheets to run.</t>
  </si>
  <si>
    <t xml:space="preserve">2. Logical functions</t>
  </si>
  <si>
    <t xml:space="preserve">IF</t>
  </si>
  <si>
    <t xml:space="preserve">A single either/or decision based on one condition.</t>
  </si>
  <si>
    <t xml:space="preserve">Pattern: =IF(Sales&gt;500,"High Value","Standard")</t>
  </si>
  <si>
    <t xml:space="preserve">Nested IF</t>
  </si>
  <si>
    <t xml:space="preserve">More than two possible outcomes, ranked in order (e.g. Loss / Low / Medium / High). Keep to 3–4 levels max — beyond that, IFS or a lookup table is more readable.</t>
  </si>
  <si>
    <t xml:space="preserve">Data!N2: =IF(Profit&lt;0,"Loss",IF(Profit&lt;50,"Low",IF(Profit&lt;200,"Medium","High")))</t>
  </si>
  <si>
    <t xml:space="preserve">IFERROR</t>
  </si>
  <si>
    <t xml:space="preserve">Wrap ANY formula that might legitimately fail (a lookup with no match, a division that could hit zero, a text-to-number conversion) so the user sees a clean message instead of a raw error code.</t>
  </si>
  <si>
    <t xml:space="preserve">Pattern: =IFERROR(VALUE(B5),"n/a")</t>
  </si>
  <si>
    <t xml:space="preserve">3. Conditional aggregation</t>
  </si>
  <si>
    <t xml:space="preserve">SUMIF / COUNTIF / AVERAGEIF</t>
  </si>
  <si>
    <t xml:space="preserve">You are filtering on exactly ONE condition.</t>
  </si>
  <si>
    <t xml:space="preserve">Pattern: =SUMIF(Category_Range,"Technology",Sales_Range)</t>
  </si>
  <si>
    <t xml:space="preserve">SUMIFS / COUNTIFS / AVERAGEIFS</t>
  </si>
  <si>
    <t xml:space="preserve">You are filtering on TWO OR MORE conditions at once (the 'S' at the end is the giveaway). Note the argument order flips: the sum/average range comes FIRST in the *IFS versions, but LAST in the single-condition versions.</t>
  </si>
  <si>
    <t xml:space="preserve">Pattern: =SUMIFS(Sales_Range,Category_Range,"Technology",Region_Range,"West")</t>
  </si>
  <si>
    <t xml:space="preserve">4. Text functions</t>
  </si>
  <si>
    <t xml:space="preserve">LEFT / RIGHT / MID</t>
  </si>
  <si>
    <t xml:space="preserve">Pulling a fixed number of characters from a known position — e.g. a 3-letter airport or state code, or the first few digits of a product SKU.</t>
  </si>
  <si>
    <t xml:space="preserve">Pattern: =LEFT(City,3)</t>
  </si>
  <si>
    <t xml:space="preserve">TRIM</t>
  </si>
  <si>
    <t xml:space="preserve">Cleaning imported or copy-pasted data. Extra spaces are invisible to the eye but make two cells that 'look' identical fail an exact match (VLOOKUP, IF, COUNTIF) — TRIM is usually the very first fix to try.</t>
  </si>
  <si>
    <t xml:space="preserve">Pattern: =TRIM("  Second Class  ")</t>
  </si>
  <si>
    <t xml:space="preserve">UPPER / LOWER / PROPER</t>
  </si>
  <si>
    <t xml:space="preserve">Standardizing case before comparing or displaying text — e.g. matching "west" and "WEST", or turning "new york" into "New York" for a report.</t>
  </si>
  <si>
    <t xml:space="preserve">CONCATENATE / "&amp;" / TEXTJOIN</t>
  </si>
  <si>
    <t xml:space="preserve">Combining several cells into one readable string. Use &amp; for a quick 2–3 cell join; use TEXTJOIN when you have many cells and want a consistent delimiter, and it can also skip blanks automatically.</t>
  </si>
  <si>
    <t xml:space="preserve">Pattern: =City&amp;", "&amp;State   or   =TEXTJOIN(", ",TRUE,City,State,Segment)</t>
  </si>
  <si>
    <t xml:space="preserve">FIND / SEARCH / SUBSTITUTE</t>
  </si>
  <si>
    <t xml:space="preserve">FIND/SEARCH locate where a substring sits inside text (FIND is case-sensitive, SEARCH is not); SUBSTITUTE replaces a specific piece of text everywhere it occurs.</t>
  </si>
  <si>
    <t xml:space="preserve">Pattern: =SUBSTITUTE(ShipMode,"Class","Tier")</t>
  </si>
  <si>
    <t xml:space="preserve">5. Error / type-checking functions</t>
  </si>
  <si>
    <t xml:space="preserve">ISBLANK / ISNUMBER / ISTEXT</t>
  </si>
  <si>
    <t xml:space="preserve">Defensive checks before you calculate — run these on messy or user-entered data to catch missing values or numbers accidentally stored as text before they silently break a SUM or a lookup.</t>
  </si>
  <si>
    <t xml:space="preserve">See the Edge_Cases sheet.</t>
  </si>
  <si>
    <t xml:space="preserve">VALUE</t>
  </si>
  <si>
    <t xml:space="preserve">Converting a 'number' that's actually stored as text (common after importing from a website, PDF, or another system) into a real number Excel can add up.</t>
  </si>
  <si>
    <t xml:space="preserve">Pattern: =VALUE(TRIM("  1250"))</t>
  </si>
  <si>
    <t xml:space="preserve">6. Named ranges</t>
  </si>
  <si>
    <t xml:space="preserve">Named ranges (e.g. Sales_Range, Region_Manager_Table)</t>
  </si>
  <si>
    <t xml:space="preserve">Used throughout this workbook instead of raw cell references (Data!$J$2:$J$1001) so formulas read like plain English — =SUMIFS(Sales_Range,Region_Range,"West") instead of a wall of $ signs. Define via Formulas &gt; Name Manager or the Name Box; they update automatically wherever they're used.</t>
  </si>
  <si>
    <t xml:space="preserve">See Formulas &gt; Name Manager in Excel to view all names used here.</t>
  </si>
  <si>
    <t xml:space="preserve">Interview questions — answered</t>
  </si>
  <si>
    <t xml:space="preserve">What's the difference between SUMIF and SUMIFS?</t>
  </si>
  <si>
    <t xml:space="preserve">SUMIF tests exactly one condition and its arguments are (range, criteria, sum_range). SUMIFS tests one or more conditions and reorders the arguments to (sum_range, range1, criteria1, range2, criteria2, ...) — the sum range always comes first. Because of that, SUMIFS with a single condition is a drop-in replacement for SUMIF, so many analysts default to SUMIFS even for one condition and only reach for SUMIF in the simplest cases.</t>
  </si>
  <si>
    <t xml:space="preserve">How does XLOOKUP improve on VLOOKUP?</t>
  </si>
  <si>
    <t xml:space="preserve">Four practical upgrades: (1) it can search left of the return column, VLOOKUP can only go right; (2) it defaults to an exact match, so you don't need to remember the FALSE argument; (3) it keeps working if a column is inserted into the table because it references the actual return column, not a fixed index number; (4) it has a built-in 'if not found' argument, so you can return a custom message instead of an N/A error without wrapping it in IFERROR.</t>
  </si>
  <si>
    <t xml:space="preserve">When would you use INDEX/MATCH instead of VLOOKUP?</t>
  </si>
  <si>
    <t xml:space="preserve">When the value you need to return sits to the LEFT of your lookup column (VLOOKUP can't do that at all), when the table's column order might change (INDEX/MATCH keeps working because MATCH finds the column by name, not a hard-coded position), or on very large datasets where INDEX/MATCH is generally lighter and faster than VLOOKUP.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</si>
</sst>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%"/>
    <numFmt numFmtId="167" formatCode="\$#,##0.00;[RED]&quot;($&quot;#,##0.00\)"/>
    <numFmt numFmtId="168" formatCode="\$#,##0"/>
    <numFmt numFmtId="169" formatCode="General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8" min="4" style="0" width="16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6.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8" customFormat="false" ht="31.5" hidden="false" customHeight="true" outlineLevel="0" collapsed="false">
      <c r="B8" s="4" t="s">
        <v>5</v>
      </c>
      <c r="C8" s="5" t="s">
        <v>6</v>
      </c>
      <c r="D8" s="5"/>
      <c r="E8" s="5"/>
      <c r="F8" s="5"/>
      <c r="G8" s="5"/>
      <c r="H8" s="5"/>
    </row>
    <row r="10" customFormat="false" ht="31.5" hidden="false" customHeight="tru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3" customFormat="false" ht="16.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6" t="s">
        <v>10</v>
      </c>
      <c r="C14" s="6" t="s">
        <v>11</v>
      </c>
      <c r="D14" s="6"/>
      <c r="E14" s="6"/>
      <c r="F14" s="6"/>
      <c r="G14" s="6"/>
      <c r="H14" s="6"/>
    </row>
    <row r="15" customFormat="false" ht="30" hidden="false" customHeight="true" outlineLevel="0" collapsed="false">
      <c r="B15" s="7" t="s">
        <v>12</v>
      </c>
      <c r="C15" s="8" t="s">
        <v>13</v>
      </c>
      <c r="D15" s="8"/>
      <c r="E15" s="8"/>
      <c r="F15" s="8"/>
      <c r="G15" s="8"/>
      <c r="H15" s="8"/>
    </row>
    <row r="16" customFormat="false" ht="30" hidden="false" customHeight="true" outlineLevel="0" collapsed="false">
      <c r="B16" s="7" t="s">
        <v>14</v>
      </c>
      <c r="C16" s="8" t="s">
        <v>15</v>
      </c>
      <c r="D16" s="8"/>
      <c r="E16" s="8"/>
      <c r="F16" s="8"/>
      <c r="G16" s="8"/>
      <c r="H16" s="8"/>
    </row>
    <row r="17" customFormat="false" ht="30" hidden="false" customHeight="true" outlineLevel="0" collapsed="false">
      <c r="B17" s="7" t="s">
        <v>16</v>
      </c>
      <c r="C17" s="8" t="s">
        <v>17</v>
      </c>
      <c r="D17" s="8"/>
      <c r="E17" s="8"/>
      <c r="F17" s="8"/>
      <c r="G17" s="8"/>
      <c r="H17" s="8"/>
    </row>
    <row r="18" customFormat="false" ht="30" hidden="false" customHeight="true" outlineLevel="0" collapsed="false">
      <c r="B18" s="7" t="s">
        <v>18</v>
      </c>
      <c r="C18" s="8" t="s">
        <v>19</v>
      </c>
      <c r="D18" s="8"/>
      <c r="E18" s="8"/>
      <c r="F18" s="8"/>
      <c r="G18" s="8"/>
      <c r="H18" s="8"/>
    </row>
    <row r="19" customFormat="false" ht="30" hidden="false" customHeight="true" outlineLevel="0" collapsed="false">
      <c r="B19" s="7" t="s">
        <v>20</v>
      </c>
      <c r="C19" s="8" t="s">
        <v>21</v>
      </c>
      <c r="D19" s="8"/>
      <c r="E19" s="8"/>
      <c r="F19" s="8"/>
      <c r="G19" s="8"/>
      <c r="H19" s="8"/>
    </row>
    <row r="20" customFormat="false" ht="30" hidden="false" customHeight="true" outlineLevel="0" collapsed="false">
      <c r="B20" s="7" t="s">
        <v>22</v>
      </c>
      <c r="C20" s="8" t="s">
        <v>23</v>
      </c>
      <c r="D20" s="8"/>
      <c r="E20" s="8"/>
      <c r="F20" s="8"/>
      <c r="G20" s="8"/>
      <c r="H20" s="8"/>
    </row>
    <row r="21" customFormat="false" ht="30" hidden="false" customHeight="true" outlineLevel="0" collapsed="false">
      <c r="B21" s="7" t="s">
        <v>24</v>
      </c>
      <c r="C21" s="8" t="s">
        <v>25</v>
      </c>
      <c r="D21" s="8"/>
      <c r="E21" s="8"/>
      <c r="F21" s="8"/>
      <c r="G21" s="8"/>
      <c r="H21" s="8"/>
    </row>
    <row r="23" customFormat="false" ht="16.15" hidden="false" customHeight="false" outlineLevel="0" collapsed="false">
      <c r="B23" s="3" t="s">
        <v>26</v>
      </c>
    </row>
    <row r="24" customFormat="false" ht="15" hidden="false" customHeight="false" outlineLevel="0" collapsed="false">
      <c r="B24" s="9" t="s">
        <v>27</v>
      </c>
      <c r="C24" s="10" t="s">
        <v>28</v>
      </c>
    </row>
    <row r="25" customFormat="false" ht="15" hidden="false" customHeight="false" outlineLevel="0" collapsed="false">
      <c r="B25" s="11" t="s">
        <v>29</v>
      </c>
      <c r="C25" s="10" t="s">
        <v>30</v>
      </c>
    </row>
  </sheetData>
  <mergeCells count="13">
    <mergeCell ref="B2:H2"/>
    <mergeCell ref="B3:H3"/>
    <mergeCell ref="C6:H6"/>
    <mergeCell ref="C8:H8"/>
    <mergeCell ref="C10:H10"/>
    <mergeCell ref="C14:H14"/>
    <mergeCell ref="C15:H15"/>
    <mergeCell ref="C16:H16"/>
    <mergeCell ref="C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28"/>
    <col collapsed="false" customWidth="true" hidden="false" outlineLevel="0" max="17" min="17" style="0" width="16"/>
    <col collapsed="false" customWidth="true" hidden="false" outlineLevel="0" max="18" min="18" style="0" width="18"/>
  </cols>
  <sheetData>
    <row r="1" customFormat="false" ht="31.5" hidden="false" customHeight="true" outlineLevel="0" collapsed="false">
      <c r="A1" s="12" t="s">
        <v>31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  <c r="O1" s="12" t="s">
        <v>45</v>
      </c>
      <c r="P1" s="12" t="s">
        <v>46</v>
      </c>
      <c r="Q1" s="12" t="s">
        <v>47</v>
      </c>
      <c r="R1" s="12" t="s">
        <v>48</v>
      </c>
    </row>
    <row r="2" customFormat="false" ht="15" hidden="false" customHeight="false" outlineLevel="0" collapsed="false">
      <c r="A2" s="10" t="s">
        <v>49</v>
      </c>
      <c r="B2" s="10" t="s">
        <v>50</v>
      </c>
      <c r="C2" s="10" t="s">
        <v>51</v>
      </c>
      <c r="D2" s="10" t="s">
        <v>52</v>
      </c>
      <c r="E2" s="10" t="s">
        <v>53</v>
      </c>
      <c r="F2" s="10" t="n">
        <v>42420</v>
      </c>
      <c r="G2" s="10" t="s">
        <v>54</v>
      </c>
      <c r="H2" s="10" t="s">
        <v>55</v>
      </c>
      <c r="I2" s="10" t="s">
        <v>56</v>
      </c>
      <c r="J2" s="13" t="n">
        <v>261.96</v>
      </c>
      <c r="K2" s="10" t="n">
        <v>2</v>
      </c>
      <c r="L2" s="14" t="n">
        <v>0</v>
      </c>
      <c r="M2" s="15" t="n">
        <v>41.9136</v>
      </c>
      <c r="N2" s="10" t="str">
        <f aca="false">IF(M2&lt;0,"Loss",IF(M2&lt;50,"Low Profit",IF(M2&lt;200,"Medium Profit","High Profit")))</f>
        <v>Low Profit</v>
      </c>
      <c r="O2" s="10" t="str">
        <f aca="false">IF(J2&gt;=500,"High Value","Standard")</f>
        <v>Standard</v>
      </c>
      <c r="P2" s="10" t="str">
        <f aca="false">H2&amp;" &gt; "&amp;I2&amp;" ("&amp;K2&amp;" units)"</f>
        <v>Furniture &gt; Bookcases (2 units)</v>
      </c>
      <c r="Q2" s="10" t="str">
        <f aca="false">VLOOKUP(G2,Region_Manager_Table,2,FALSE())</f>
        <v>Karthik Iyer</v>
      </c>
      <c r="R2" s="10" t="n">
        <f aca="false">INDEX(SLA_Days_Col,MATCH(A2,ShipMode_Col,0))</f>
        <v>4</v>
      </c>
    </row>
    <row r="3" customFormat="false" ht="15" hidden="false" customHeight="false" outlineLevel="0" collapsed="false">
      <c r="A3" s="16" t="s">
        <v>49</v>
      </c>
      <c r="B3" s="16" t="s">
        <v>50</v>
      </c>
      <c r="C3" s="16" t="s">
        <v>51</v>
      </c>
      <c r="D3" s="16" t="s">
        <v>52</v>
      </c>
      <c r="E3" s="16" t="s">
        <v>53</v>
      </c>
      <c r="F3" s="16" t="n">
        <v>42420</v>
      </c>
      <c r="G3" s="16" t="s">
        <v>54</v>
      </c>
      <c r="H3" s="16" t="s">
        <v>55</v>
      </c>
      <c r="I3" s="16" t="s">
        <v>57</v>
      </c>
      <c r="J3" s="17" t="n">
        <v>731.94</v>
      </c>
      <c r="K3" s="16" t="n">
        <v>3</v>
      </c>
      <c r="L3" s="18" t="n">
        <v>0</v>
      </c>
      <c r="M3" s="19" t="n">
        <v>219.582</v>
      </c>
      <c r="N3" s="16" t="str">
        <f aca="false">IF(M3&lt;0,"Loss",IF(M3&lt;50,"Low Profit",IF(M3&lt;200,"Medium Profit","High Profit")))</f>
        <v>High Profit</v>
      </c>
      <c r="O3" s="16" t="str">
        <f aca="false">IF(J3&gt;=500,"High Value","Standard")</f>
        <v>High Value</v>
      </c>
      <c r="P3" s="16" t="str">
        <f aca="false">H3&amp;" &gt; "&amp;I3&amp;" ("&amp;K3&amp;" units)"</f>
        <v>Furniture &gt; Chairs (3 units)</v>
      </c>
      <c r="Q3" s="16" t="str">
        <f aca="false">VLOOKUP(G3,Region_Manager_Table,2,FALSE())</f>
        <v>Karthik Iyer</v>
      </c>
      <c r="R3" s="16" t="n">
        <f aca="false">INDEX(SLA_Days_Col,MATCH(A3,ShipMode_Col,0))</f>
        <v>4</v>
      </c>
    </row>
    <row r="4" customFormat="false" ht="15" hidden="false" customHeight="false" outlineLevel="0" collapsed="false">
      <c r="A4" s="10" t="s">
        <v>49</v>
      </c>
      <c r="B4" s="10" t="s">
        <v>58</v>
      </c>
      <c r="C4" s="10" t="s">
        <v>51</v>
      </c>
      <c r="D4" s="10" t="s">
        <v>59</v>
      </c>
      <c r="E4" s="10" t="s">
        <v>60</v>
      </c>
      <c r="F4" s="10" t="n">
        <v>90036</v>
      </c>
      <c r="G4" s="10" t="s">
        <v>61</v>
      </c>
      <c r="H4" s="10" t="s">
        <v>62</v>
      </c>
      <c r="I4" s="10" t="s">
        <v>63</v>
      </c>
      <c r="J4" s="13" t="n">
        <v>14.62</v>
      </c>
      <c r="K4" s="10" t="n">
        <v>2</v>
      </c>
      <c r="L4" s="14" t="n">
        <v>0</v>
      </c>
      <c r="M4" s="15" t="n">
        <v>6.8714</v>
      </c>
      <c r="N4" s="10" t="str">
        <f aca="false">IF(M4&lt;0,"Loss",IF(M4&lt;50,"Low Profit",IF(M4&lt;200,"Medium Profit","High Profit")))</f>
        <v>Low Profit</v>
      </c>
      <c r="O4" s="10" t="str">
        <f aca="false">IF(J4&gt;=500,"High Value","Standard")</f>
        <v>Standard</v>
      </c>
      <c r="P4" s="10" t="str">
        <f aca="false">H4&amp;" &gt; "&amp;I4&amp;" ("&amp;K4&amp;" units)"</f>
        <v>Office Supplies &gt; Labels (2 units)</v>
      </c>
      <c r="Q4" s="10" t="str">
        <f aca="false">VLOOKUP(G4,Region_Manager_Table,2,FALSE())</f>
        <v>Sana Sheikh</v>
      </c>
      <c r="R4" s="10" t="n">
        <f aca="false">INDEX(SLA_Days_Col,MATCH(A4,ShipMode_Col,0))</f>
        <v>4</v>
      </c>
    </row>
    <row r="5" customFormat="false" ht="15" hidden="false" customHeight="false" outlineLevel="0" collapsed="false">
      <c r="A5" s="16" t="s">
        <v>64</v>
      </c>
      <c r="B5" s="16" t="s">
        <v>50</v>
      </c>
      <c r="C5" s="16" t="s">
        <v>51</v>
      </c>
      <c r="D5" s="16" t="s">
        <v>65</v>
      </c>
      <c r="E5" s="16" t="s">
        <v>66</v>
      </c>
      <c r="F5" s="16" t="n">
        <v>33311</v>
      </c>
      <c r="G5" s="16" t="s">
        <v>54</v>
      </c>
      <c r="H5" s="16" t="s">
        <v>55</v>
      </c>
      <c r="I5" s="16" t="s">
        <v>67</v>
      </c>
      <c r="J5" s="17" t="n">
        <v>957.5775</v>
      </c>
      <c r="K5" s="16" t="n">
        <v>5</v>
      </c>
      <c r="L5" s="18" t="n">
        <v>0.45</v>
      </c>
      <c r="M5" s="19" t="n">
        <v>-383.031</v>
      </c>
      <c r="N5" s="16" t="str">
        <f aca="false">IF(M5&lt;0,"Loss",IF(M5&lt;50,"Low Profit",IF(M5&lt;200,"Medium Profit","High Profit")))</f>
        <v>Loss</v>
      </c>
      <c r="O5" s="16" t="str">
        <f aca="false">IF(J5&gt;=500,"High Value","Standard")</f>
        <v>High Value</v>
      </c>
      <c r="P5" s="16" t="str">
        <f aca="false">H5&amp;" &gt; "&amp;I5&amp;" ("&amp;K5&amp;" units)"</f>
        <v>Furniture &gt; Tables (5 units)</v>
      </c>
      <c r="Q5" s="16" t="str">
        <f aca="false">VLOOKUP(G5,Region_Manager_Table,2,FALSE())</f>
        <v>Karthik Iyer</v>
      </c>
      <c r="R5" s="16" t="n">
        <f aca="false">INDEX(SLA_Days_Col,MATCH(A5,ShipMode_Col,0))</f>
        <v>6</v>
      </c>
    </row>
    <row r="6" customFormat="false" ht="15" hidden="false" customHeight="false" outlineLevel="0" collapsed="false">
      <c r="A6" s="10" t="s">
        <v>64</v>
      </c>
      <c r="B6" s="10" t="s">
        <v>50</v>
      </c>
      <c r="C6" s="10" t="s">
        <v>51</v>
      </c>
      <c r="D6" s="10" t="s">
        <v>65</v>
      </c>
      <c r="E6" s="10" t="s">
        <v>66</v>
      </c>
      <c r="F6" s="10" t="n">
        <v>33311</v>
      </c>
      <c r="G6" s="10" t="s">
        <v>54</v>
      </c>
      <c r="H6" s="10" t="s">
        <v>62</v>
      </c>
      <c r="I6" s="10" t="s">
        <v>68</v>
      </c>
      <c r="J6" s="13" t="n">
        <v>22.368</v>
      </c>
      <c r="K6" s="10" t="n">
        <v>2</v>
      </c>
      <c r="L6" s="14" t="n">
        <v>0.2</v>
      </c>
      <c r="M6" s="15" t="n">
        <v>2.5164</v>
      </c>
      <c r="N6" s="10" t="str">
        <f aca="false">IF(M6&lt;0,"Loss",IF(M6&lt;50,"Low Profit",IF(M6&lt;200,"Medium Profit","High Profit")))</f>
        <v>Low Profit</v>
      </c>
      <c r="O6" s="10" t="str">
        <f aca="false">IF(J6&gt;=500,"High Value","Standard")</f>
        <v>Standard</v>
      </c>
      <c r="P6" s="10" t="str">
        <f aca="false">H6&amp;" &gt; "&amp;I6&amp;" ("&amp;K6&amp;" units)"</f>
        <v>Office Supplies &gt; Storage (2 units)</v>
      </c>
      <c r="Q6" s="10" t="str">
        <f aca="false">VLOOKUP(G6,Region_Manager_Table,2,FALSE())</f>
        <v>Karthik Iyer</v>
      </c>
      <c r="R6" s="10" t="n">
        <f aca="false">INDEX(SLA_Days_Col,MATCH(A6,ShipMode_Col,0))</f>
        <v>6</v>
      </c>
    </row>
    <row r="7" customFormat="false" ht="15" hidden="false" customHeight="false" outlineLevel="0" collapsed="false">
      <c r="A7" s="16" t="s">
        <v>64</v>
      </c>
      <c r="B7" s="16" t="s">
        <v>50</v>
      </c>
      <c r="C7" s="16" t="s">
        <v>51</v>
      </c>
      <c r="D7" s="16" t="s">
        <v>59</v>
      </c>
      <c r="E7" s="16" t="s">
        <v>60</v>
      </c>
      <c r="F7" s="16" t="n">
        <v>90032</v>
      </c>
      <c r="G7" s="16" t="s">
        <v>61</v>
      </c>
      <c r="H7" s="16" t="s">
        <v>55</v>
      </c>
      <c r="I7" s="16" t="s">
        <v>69</v>
      </c>
      <c r="J7" s="17" t="n">
        <v>48.86</v>
      </c>
      <c r="K7" s="16" t="n">
        <v>7</v>
      </c>
      <c r="L7" s="18" t="n">
        <v>0</v>
      </c>
      <c r="M7" s="19" t="n">
        <v>14.1694</v>
      </c>
      <c r="N7" s="16" t="str">
        <f aca="false">IF(M7&lt;0,"Loss",IF(M7&lt;50,"Low Profit",IF(M7&lt;200,"Medium Profit","High Profit")))</f>
        <v>Low Profit</v>
      </c>
      <c r="O7" s="16" t="str">
        <f aca="false">IF(J7&gt;=500,"High Value","Standard")</f>
        <v>Standard</v>
      </c>
      <c r="P7" s="16" t="str">
        <f aca="false">H7&amp;" &gt; "&amp;I7&amp;" ("&amp;K7&amp;" units)"</f>
        <v>Furniture &gt; Furnishings (7 units)</v>
      </c>
      <c r="Q7" s="16" t="str">
        <f aca="false">VLOOKUP(G7,Region_Manager_Table,2,FALSE())</f>
        <v>Sana Sheikh</v>
      </c>
      <c r="R7" s="16" t="n">
        <f aca="false">INDEX(SLA_Days_Col,MATCH(A7,ShipMode_Col,0))</f>
        <v>6</v>
      </c>
    </row>
    <row r="8" customFormat="false" ht="15" hidden="false" customHeight="false" outlineLevel="0" collapsed="false">
      <c r="A8" s="10" t="s">
        <v>64</v>
      </c>
      <c r="B8" s="10" t="s">
        <v>50</v>
      </c>
      <c r="C8" s="10" t="s">
        <v>51</v>
      </c>
      <c r="D8" s="10" t="s">
        <v>59</v>
      </c>
      <c r="E8" s="10" t="s">
        <v>60</v>
      </c>
      <c r="F8" s="10" t="n">
        <v>90032</v>
      </c>
      <c r="G8" s="10" t="s">
        <v>61</v>
      </c>
      <c r="H8" s="10" t="s">
        <v>62</v>
      </c>
      <c r="I8" s="10" t="s">
        <v>70</v>
      </c>
      <c r="J8" s="13" t="n">
        <v>7.28</v>
      </c>
      <c r="K8" s="10" t="n">
        <v>4</v>
      </c>
      <c r="L8" s="14" t="n">
        <v>0</v>
      </c>
      <c r="M8" s="15" t="n">
        <v>1.9656</v>
      </c>
      <c r="N8" s="10" t="str">
        <f aca="false">IF(M8&lt;0,"Loss",IF(M8&lt;50,"Low Profit",IF(M8&lt;200,"Medium Profit","High Profit")))</f>
        <v>Low Profit</v>
      </c>
      <c r="O8" s="10" t="str">
        <f aca="false">IF(J8&gt;=500,"High Value","Standard")</f>
        <v>Standard</v>
      </c>
      <c r="P8" s="10" t="str">
        <f aca="false">H8&amp;" &gt; "&amp;I8&amp;" ("&amp;K8&amp;" units)"</f>
        <v>Office Supplies &gt; Art (4 units)</v>
      </c>
      <c r="Q8" s="10" t="str">
        <f aca="false">VLOOKUP(G8,Region_Manager_Table,2,FALSE())</f>
        <v>Sana Sheikh</v>
      </c>
      <c r="R8" s="10" t="n">
        <f aca="false">INDEX(SLA_Days_Col,MATCH(A8,ShipMode_Col,0))</f>
        <v>6</v>
      </c>
    </row>
    <row r="9" customFormat="false" ht="15" hidden="false" customHeight="false" outlineLevel="0" collapsed="false">
      <c r="A9" s="16" t="s">
        <v>64</v>
      </c>
      <c r="B9" s="16" t="s">
        <v>50</v>
      </c>
      <c r="C9" s="16" t="s">
        <v>51</v>
      </c>
      <c r="D9" s="16" t="s">
        <v>59</v>
      </c>
      <c r="E9" s="16" t="s">
        <v>60</v>
      </c>
      <c r="F9" s="16" t="n">
        <v>90032</v>
      </c>
      <c r="G9" s="16" t="s">
        <v>61</v>
      </c>
      <c r="H9" s="16" t="s">
        <v>71</v>
      </c>
      <c r="I9" s="16" t="s">
        <v>72</v>
      </c>
      <c r="J9" s="17" t="n">
        <v>907.152</v>
      </c>
      <c r="K9" s="16" t="n">
        <v>6</v>
      </c>
      <c r="L9" s="18" t="n">
        <v>0.2</v>
      </c>
      <c r="M9" s="19" t="n">
        <v>90.7152</v>
      </c>
      <c r="N9" s="16" t="str">
        <f aca="false">IF(M9&lt;0,"Loss",IF(M9&lt;50,"Low Profit",IF(M9&lt;200,"Medium Profit","High Profit")))</f>
        <v>Medium Profit</v>
      </c>
      <c r="O9" s="16" t="str">
        <f aca="false">IF(J9&gt;=500,"High Value","Standard")</f>
        <v>High Value</v>
      </c>
      <c r="P9" s="16" t="str">
        <f aca="false">H9&amp;" &gt; "&amp;I9&amp;" ("&amp;K9&amp;" units)"</f>
        <v>Technology &gt; Phones (6 units)</v>
      </c>
      <c r="Q9" s="16" t="str">
        <f aca="false">VLOOKUP(G9,Region_Manager_Table,2,FALSE())</f>
        <v>Sana Sheikh</v>
      </c>
      <c r="R9" s="16" t="n">
        <f aca="false">INDEX(SLA_Days_Col,MATCH(A9,ShipMode_Col,0))</f>
        <v>6</v>
      </c>
    </row>
    <row r="10" customFormat="false" ht="15" hidden="false" customHeight="false" outlineLevel="0" collapsed="false">
      <c r="A10" s="10" t="s">
        <v>64</v>
      </c>
      <c r="B10" s="10" t="s">
        <v>50</v>
      </c>
      <c r="C10" s="10" t="s">
        <v>51</v>
      </c>
      <c r="D10" s="10" t="s">
        <v>59</v>
      </c>
      <c r="E10" s="10" t="s">
        <v>60</v>
      </c>
      <c r="F10" s="10" t="n">
        <v>90032</v>
      </c>
      <c r="G10" s="10" t="s">
        <v>61</v>
      </c>
      <c r="H10" s="10" t="s">
        <v>62</v>
      </c>
      <c r="I10" s="10" t="s">
        <v>73</v>
      </c>
      <c r="J10" s="13" t="n">
        <v>18.504</v>
      </c>
      <c r="K10" s="10" t="n">
        <v>3</v>
      </c>
      <c r="L10" s="14" t="n">
        <v>0.2</v>
      </c>
      <c r="M10" s="15" t="n">
        <v>5.7825</v>
      </c>
      <c r="N10" s="10" t="str">
        <f aca="false">IF(M10&lt;0,"Loss",IF(M10&lt;50,"Low Profit",IF(M10&lt;200,"Medium Profit","High Profit")))</f>
        <v>Low Profit</v>
      </c>
      <c r="O10" s="10" t="str">
        <f aca="false">IF(J10&gt;=500,"High Value","Standard")</f>
        <v>Standard</v>
      </c>
      <c r="P10" s="10" t="str">
        <f aca="false">H10&amp;" &gt; "&amp;I10&amp;" ("&amp;K10&amp;" units)"</f>
        <v>Office Supplies &gt; Binders (3 units)</v>
      </c>
      <c r="Q10" s="10" t="str">
        <f aca="false">VLOOKUP(G10,Region_Manager_Table,2,FALSE())</f>
        <v>Sana Sheikh</v>
      </c>
      <c r="R10" s="10" t="n">
        <f aca="false">INDEX(SLA_Days_Col,MATCH(A10,ShipMode_Col,0))</f>
        <v>6</v>
      </c>
    </row>
    <row r="11" customFormat="false" ht="15" hidden="false" customHeight="false" outlineLevel="0" collapsed="false">
      <c r="A11" s="16" t="s">
        <v>64</v>
      </c>
      <c r="B11" s="16" t="s">
        <v>50</v>
      </c>
      <c r="C11" s="16" t="s">
        <v>51</v>
      </c>
      <c r="D11" s="16" t="s">
        <v>59</v>
      </c>
      <c r="E11" s="16" t="s">
        <v>60</v>
      </c>
      <c r="F11" s="16" t="n">
        <v>90032</v>
      </c>
      <c r="G11" s="16" t="s">
        <v>61</v>
      </c>
      <c r="H11" s="16" t="s">
        <v>62</v>
      </c>
      <c r="I11" s="16" t="s">
        <v>74</v>
      </c>
      <c r="J11" s="17" t="n">
        <v>114.9</v>
      </c>
      <c r="K11" s="16" t="n">
        <v>5</v>
      </c>
      <c r="L11" s="18" t="n">
        <v>0</v>
      </c>
      <c r="M11" s="19" t="n">
        <v>34.47</v>
      </c>
      <c r="N11" s="16" t="str">
        <f aca="false">IF(M11&lt;0,"Loss",IF(M11&lt;50,"Low Profit",IF(M11&lt;200,"Medium Profit","High Profit")))</f>
        <v>Low Profit</v>
      </c>
      <c r="O11" s="16" t="str">
        <f aca="false">IF(J11&gt;=500,"High Value","Standard")</f>
        <v>Standard</v>
      </c>
      <c r="P11" s="16" t="str">
        <f aca="false">H11&amp;" &gt; "&amp;I11&amp;" ("&amp;K11&amp;" units)"</f>
        <v>Office Supplies &gt; Appliances (5 units)</v>
      </c>
      <c r="Q11" s="16" t="str">
        <f aca="false">VLOOKUP(G11,Region_Manager_Table,2,FALSE())</f>
        <v>Sana Sheikh</v>
      </c>
      <c r="R11" s="16" t="n">
        <f aca="false">INDEX(SLA_Days_Col,MATCH(A11,ShipMode_Col,0))</f>
        <v>6</v>
      </c>
    </row>
    <row r="12" customFormat="false" ht="15" hidden="false" customHeight="false" outlineLevel="0" collapsed="false">
      <c r="A12" s="10" t="s">
        <v>64</v>
      </c>
      <c r="B12" s="10" t="s">
        <v>50</v>
      </c>
      <c r="C12" s="10" t="s">
        <v>51</v>
      </c>
      <c r="D12" s="10" t="s">
        <v>59</v>
      </c>
      <c r="E12" s="10" t="s">
        <v>60</v>
      </c>
      <c r="F12" s="10" t="n">
        <v>90032</v>
      </c>
      <c r="G12" s="10" t="s">
        <v>61</v>
      </c>
      <c r="H12" s="10" t="s">
        <v>55</v>
      </c>
      <c r="I12" s="10" t="s">
        <v>67</v>
      </c>
      <c r="J12" s="13" t="n">
        <v>1706.184</v>
      </c>
      <c r="K12" s="10" t="n">
        <v>9</v>
      </c>
      <c r="L12" s="14" t="n">
        <v>0.2</v>
      </c>
      <c r="M12" s="15" t="n">
        <v>85.3092</v>
      </c>
      <c r="N12" s="10" t="str">
        <f aca="false">IF(M12&lt;0,"Loss",IF(M12&lt;50,"Low Profit",IF(M12&lt;200,"Medium Profit","High Profit")))</f>
        <v>Medium Profit</v>
      </c>
      <c r="O12" s="10" t="str">
        <f aca="false">IF(J12&gt;=500,"High Value","Standard")</f>
        <v>High Value</v>
      </c>
      <c r="P12" s="10" t="str">
        <f aca="false">H12&amp;" &gt; "&amp;I12&amp;" ("&amp;K12&amp;" units)"</f>
        <v>Furniture &gt; Tables (9 units)</v>
      </c>
      <c r="Q12" s="10" t="str">
        <f aca="false">VLOOKUP(G12,Region_Manager_Table,2,FALSE())</f>
        <v>Sana Sheikh</v>
      </c>
      <c r="R12" s="10" t="n">
        <f aca="false">INDEX(SLA_Days_Col,MATCH(A12,ShipMode_Col,0))</f>
        <v>6</v>
      </c>
    </row>
    <row r="13" customFormat="false" ht="15" hidden="false" customHeight="false" outlineLevel="0" collapsed="false">
      <c r="A13" s="16" t="s">
        <v>64</v>
      </c>
      <c r="B13" s="16" t="s">
        <v>50</v>
      </c>
      <c r="C13" s="16" t="s">
        <v>51</v>
      </c>
      <c r="D13" s="16" t="s">
        <v>59</v>
      </c>
      <c r="E13" s="16" t="s">
        <v>60</v>
      </c>
      <c r="F13" s="16" t="n">
        <v>90032</v>
      </c>
      <c r="G13" s="16" t="s">
        <v>61</v>
      </c>
      <c r="H13" s="16" t="s">
        <v>71</v>
      </c>
      <c r="I13" s="16" t="s">
        <v>72</v>
      </c>
      <c r="J13" s="17" t="n">
        <v>911.424</v>
      </c>
      <c r="K13" s="16" t="n">
        <v>4</v>
      </c>
      <c r="L13" s="18" t="n">
        <v>0.2</v>
      </c>
      <c r="M13" s="19" t="n">
        <v>68.3568</v>
      </c>
      <c r="N13" s="16" t="str">
        <f aca="false">IF(M13&lt;0,"Loss",IF(M13&lt;50,"Low Profit",IF(M13&lt;200,"Medium Profit","High Profit")))</f>
        <v>Medium Profit</v>
      </c>
      <c r="O13" s="16" t="str">
        <f aca="false">IF(J13&gt;=500,"High Value","Standard")</f>
        <v>High Value</v>
      </c>
      <c r="P13" s="16" t="str">
        <f aca="false">H13&amp;" &gt; "&amp;I13&amp;" ("&amp;K13&amp;" units)"</f>
        <v>Technology &gt; Phones (4 units)</v>
      </c>
      <c r="Q13" s="16" t="str">
        <f aca="false">VLOOKUP(G13,Region_Manager_Table,2,FALSE())</f>
        <v>Sana Sheikh</v>
      </c>
      <c r="R13" s="16" t="n">
        <f aca="false">INDEX(SLA_Days_Col,MATCH(A13,ShipMode_Col,0))</f>
        <v>6</v>
      </c>
    </row>
    <row r="14" customFormat="false" ht="15" hidden="false" customHeight="false" outlineLevel="0" collapsed="false">
      <c r="A14" s="10" t="s">
        <v>64</v>
      </c>
      <c r="B14" s="10" t="s">
        <v>50</v>
      </c>
      <c r="C14" s="10" t="s">
        <v>51</v>
      </c>
      <c r="D14" s="10" t="s">
        <v>75</v>
      </c>
      <c r="E14" s="10" t="s">
        <v>76</v>
      </c>
      <c r="F14" s="10" t="n">
        <v>28027</v>
      </c>
      <c r="G14" s="10" t="s">
        <v>54</v>
      </c>
      <c r="H14" s="10" t="s">
        <v>62</v>
      </c>
      <c r="I14" s="10" t="s">
        <v>77</v>
      </c>
      <c r="J14" s="13" t="n">
        <v>15.552</v>
      </c>
      <c r="K14" s="10" t="n">
        <v>3</v>
      </c>
      <c r="L14" s="14" t="n">
        <v>0.2</v>
      </c>
      <c r="M14" s="15" t="n">
        <v>5.4432</v>
      </c>
      <c r="N14" s="10" t="str">
        <f aca="false">IF(M14&lt;0,"Loss",IF(M14&lt;50,"Low Profit",IF(M14&lt;200,"Medium Profit","High Profit")))</f>
        <v>Low Profit</v>
      </c>
      <c r="O14" s="10" t="str">
        <f aca="false">IF(J14&gt;=500,"High Value","Standard")</f>
        <v>Standard</v>
      </c>
      <c r="P14" s="10" t="str">
        <f aca="false">H14&amp;" &gt; "&amp;I14&amp;" ("&amp;K14&amp;" units)"</f>
        <v>Office Supplies &gt; Paper (3 units)</v>
      </c>
      <c r="Q14" s="10" t="str">
        <f aca="false">VLOOKUP(G14,Region_Manager_Table,2,FALSE())</f>
        <v>Karthik Iyer</v>
      </c>
      <c r="R14" s="10" t="n">
        <f aca="false">INDEX(SLA_Days_Col,MATCH(A14,ShipMode_Col,0))</f>
        <v>6</v>
      </c>
    </row>
    <row r="15" customFormat="false" ht="15" hidden="false" customHeight="false" outlineLevel="0" collapsed="false">
      <c r="A15" s="16" t="s">
        <v>64</v>
      </c>
      <c r="B15" s="16" t="s">
        <v>50</v>
      </c>
      <c r="C15" s="16" t="s">
        <v>51</v>
      </c>
      <c r="D15" s="16" t="s">
        <v>78</v>
      </c>
      <c r="E15" s="16" t="s">
        <v>79</v>
      </c>
      <c r="F15" s="16" t="n">
        <v>98103</v>
      </c>
      <c r="G15" s="16" t="s">
        <v>61</v>
      </c>
      <c r="H15" s="16" t="s">
        <v>62</v>
      </c>
      <c r="I15" s="16" t="s">
        <v>73</v>
      </c>
      <c r="J15" s="17" t="n">
        <v>407.976</v>
      </c>
      <c r="K15" s="16" t="n">
        <v>3</v>
      </c>
      <c r="L15" s="18" t="n">
        <v>0.2</v>
      </c>
      <c r="M15" s="19" t="n">
        <v>132.5922</v>
      </c>
      <c r="N15" s="16" t="str">
        <f aca="false">IF(M15&lt;0,"Loss",IF(M15&lt;50,"Low Profit",IF(M15&lt;200,"Medium Profit","High Profit")))</f>
        <v>Medium Profit</v>
      </c>
      <c r="O15" s="16" t="str">
        <f aca="false">IF(J15&gt;=500,"High Value","Standard")</f>
        <v>Standard</v>
      </c>
      <c r="P15" s="16" t="str">
        <f aca="false">H15&amp;" &gt; "&amp;I15&amp;" ("&amp;K15&amp;" units)"</f>
        <v>Office Supplies &gt; Binders (3 units)</v>
      </c>
      <c r="Q15" s="16" t="str">
        <f aca="false">VLOOKUP(G15,Region_Manager_Table,2,FALSE())</f>
        <v>Sana Sheikh</v>
      </c>
      <c r="R15" s="16" t="n">
        <f aca="false">INDEX(SLA_Days_Col,MATCH(A15,ShipMode_Col,0))</f>
        <v>6</v>
      </c>
    </row>
    <row r="16" customFormat="false" ht="15" hidden="false" customHeight="false" outlineLevel="0" collapsed="false">
      <c r="A16" s="10" t="s">
        <v>64</v>
      </c>
      <c r="B16" s="10" t="s">
        <v>80</v>
      </c>
      <c r="C16" s="10" t="s">
        <v>51</v>
      </c>
      <c r="D16" s="10" t="s">
        <v>81</v>
      </c>
      <c r="E16" s="10" t="s">
        <v>82</v>
      </c>
      <c r="F16" s="10" t="n">
        <v>76106</v>
      </c>
      <c r="G16" s="10" t="s">
        <v>83</v>
      </c>
      <c r="H16" s="10" t="s">
        <v>62</v>
      </c>
      <c r="I16" s="10" t="s">
        <v>74</v>
      </c>
      <c r="J16" s="13" t="n">
        <v>68.81</v>
      </c>
      <c r="K16" s="10" t="n">
        <v>5</v>
      </c>
      <c r="L16" s="14" t="n">
        <v>0.8</v>
      </c>
      <c r="M16" s="15" t="n">
        <v>-123.858</v>
      </c>
      <c r="N16" s="10" t="str">
        <f aca="false">IF(M16&lt;0,"Loss",IF(M16&lt;50,"Low Profit",IF(M16&lt;200,"Medium Profit","High Profit")))</f>
        <v>Loss</v>
      </c>
      <c r="O16" s="10" t="str">
        <f aca="false">IF(J16&gt;=500,"High Value","Standard")</f>
        <v>Standard</v>
      </c>
      <c r="P16" s="10" t="str">
        <f aca="false">H16&amp;" &gt; "&amp;I16&amp;" ("&amp;K16&amp;" units)"</f>
        <v>Office Supplies &gt; Appliances (5 units)</v>
      </c>
      <c r="Q16" s="10" t="str">
        <f aca="false">VLOOKUP(G16,Region_Manager_Table,2,FALSE())</f>
        <v>Aditya Rao</v>
      </c>
      <c r="R16" s="10" t="n">
        <f aca="false">INDEX(SLA_Days_Col,MATCH(A16,ShipMode_Col,0))</f>
        <v>6</v>
      </c>
    </row>
    <row r="17" customFormat="false" ht="15" hidden="false" customHeight="false" outlineLevel="0" collapsed="false">
      <c r="A17" s="16" t="s">
        <v>64</v>
      </c>
      <c r="B17" s="16" t="s">
        <v>80</v>
      </c>
      <c r="C17" s="16" t="s">
        <v>51</v>
      </c>
      <c r="D17" s="16" t="s">
        <v>81</v>
      </c>
      <c r="E17" s="16" t="s">
        <v>82</v>
      </c>
      <c r="F17" s="16" t="n">
        <v>76106</v>
      </c>
      <c r="G17" s="16" t="s">
        <v>83</v>
      </c>
      <c r="H17" s="16" t="s">
        <v>62</v>
      </c>
      <c r="I17" s="16" t="s">
        <v>73</v>
      </c>
      <c r="J17" s="17" t="n">
        <v>2.544</v>
      </c>
      <c r="K17" s="16" t="n">
        <v>3</v>
      </c>
      <c r="L17" s="18" t="n">
        <v>0.8</v>
      </c>
      <c r="M17" s="19" t="n">
        <v>-3.816</v>
      </c>
      <c r="N17" s="16" t="str">
        <f aca="false">IF(M17&lt;0,"Loss",IF(M17&lt;50,"Low Profit",IF(M17&lt;200,"Medium Profit","High Profit")))</f>
        <v>Loss</v>
      </c>
      <c r="O17" s="16" t="str">
        <f aca="false">IF(J17&gt;=500,"High Value","Standard")</f>
        <v>Standard</v>
      </c>
      <c r="P17" s="16" t="str">
        <f aca="false">H17&amp;" &gt; "&amp;I17&amp;" ("&amp;K17&amp;" units)"</f>
        <v>Office Supplies &gt; Binders (3 units)</v>
      </c>
      <c r="Q17" s="16" t="str">
        <f aca="false">VLOOKUP(G17,Region_Manager_Table,2,FALSE())</f>
        <v>Aditya Rao</v>
      </c>
      <c r="R17" s="16" t="n">
        <f aca="false">INDEX(SLA_Days_Col,MATCH(A17,ShipMode_Col,0))</f>
        <v>6</v>
      </c>
    </row>
    <row r="18" customFormat="false" ht="15" hidden="false" customHeight="false" outlineLevel="0" collapsed="false">
      <c r="A18" s="10" t="s">
        <v>64</v>
      </c>
      <c r="B18" s="10" t="s">
        <v>50</v>
      </c>
      <c r="C18" s="10" t="s">
        <v>51</v>
      </c>
      <c r="D18" s="10" t="s">
        <v>84</v>
      </c>
      <c r="E18" s="10" t="s">
        <v>85</v>
      </c>
      <c r="F18" s="10" t="n">
        <v>53711</v>
      </c>
      <c r="G18" s="10" t="s">
        <v>83</v>
      </c>
      <c r="H18" s="10" t="s">
        <v>62</v>
      </c>
      <c r="I18" s="10" t="s">
        <v>68</v>
      </c>
      <c r="J18" s="13" t="n">
        <v>665.88</v>
      </c>
      <c r="K18" s="10" t="n">
        <v>6</v>
      </c>
      <c r="L18" s="14" t="n">
        <v>0</v>
      </c>
      <c r="M18" s="15" t="n">
        <v>13.3176</v>
      </c>
      <c r="N18" s="10" t="str">
        <f aca="false">IF(M18&lt;0,"Loss",IF(M18&lt;50,"Low Profit",IF(M18&lt;200,"Medium Profit","High Profit")))</f>
        <v>Low Profit</v>
      </c>
      <c r="O18" s="10" t="str">
        <f aca="false">IF(J18&gt;=500,"High Value","Standard")</f>
        <v>High Value</v>
      </c>
      <c r="P18" s="10" t="str">
        <f aca="false">H18&amp;" &gt; "&amp;I18&amp;" ("&amp;K18&amp;" units)"</f>
        <v>Office Supplies &gt; Storage (6 units)</v>
      </c>
      <c r="Q18" s="10" t="str">
        <f aca="false">VLOOKUP(G18,Region_Manager_Table,2,FALSE())</f>
        <v>Aditya Rao</v>
      </c>
      <c r="R18" s="10" t="n">
        <f aca="false">INDEX(SLA_Days_Col,MATCH(A18,ShipMode_Col,0))</f>
        <v>6</v>
      </c>
    </row>
    <row r="19" customFormat="false" ht="15" hidden="false" customHeight="false" outlineLevel="0" collapsed="false">
      <c r="A19" s="16" t="s">
        <v>49</v>
      </c>
      <c r="B19" s="16" t="s">
        <v>50</v>
      </c>
      <c r="C19" s="16" t="s">
        <v>51</v>
      </c>
      <c r="D19" s="16" t="s">
        <v>86</v>
      </c>
      <c r="E19" s="16" t="s">
        <v>87</v>
      </c>
      <c r="F19" s="16" t="n">
        <v>84084</v>
      </c>
      <c r="G19" s="16" t="s">
        <v>61</v>
      </c>
      <c r="H19" s="16" t="s">
        <v>62</v>
      </c>
      <c r="I19" s="16" t="s">
        <v>68</v>
      </c>
      <c r="J19" s="17" t="n">
        <v>55.5</v>
      </c>
      <c r="K19" s="16" t="n">
        <v>2</v>
      </c>
      <c r="L19" s="18" t="n">
        <v>0</v>
      </c>
      <c r="M19" s="19" t="n">
        <v>9.99</v>
      </c>
      <c r="N19" s="16" t="str">
        <f aca="false">IF(M19&lt;0,"Loss",IF(M19&lt;50,"Low Profit",IF(M19&lt;200,"Medium Profit","High Profit")))</f>
        <v>Low Profit</v>
      </c>
      <c r="O19" s="16" t="str">
        <f aca="false">IF(J19&gt;=500,"High Value","Standard")</f>
        <v>Standard</v>
      </c>
      <c r="P19" s="16" t="str">
        <f aca="false">H19&amp;" &gt; "&amp;I19&amp;" ("&amp;K19&amp;" units)"</f>
        <v>Office Supplies &gt; Storage (2 units)</v>
      </c>
      <c r="Q19" s="16" t="str">
        <f aca="false">VLOOKUP(G19,Region_Manager_Table,2,FALSE())</f>
        <v>Sana Sheikh</v>
      </c>
      <c r="R19" s="16" t="n">
        <f aca="false">INDEX(SLA_Days_Col,MATCH(A19,ShipMode_Col,0))</f>
        <v>4</v>
      </c>
    </row>
    <row r="20" customFormat="false" ht="15" hidden="false" customHeight="false" outlineLevel="0" collapsed="false">
      <c r="A20" s="10" t="s">
        <v>49</v>
      </c>
      <c r="B20" s="10" t="s">
        <v>50</v>
      </c>
      <c r="C20" s="10" t="s">
        <v>51</v>
      </c>
      <c r="D20" s="10" t="s">
        <v>88</v>
      </c>
      <c r="E20" s="10" t="s">
        <v>60</v>
      </c>
      <c r="F20" s="10" t="n">
        <v>94109</v>
      </c>
      <c r="G20" s="10" t="s">
        <v>61</v>
      </c>
      <c r="H20" s="10" t="s">
        <v>62</v>
      </c>
      <c r="I20" s="10" t="s">
        <v>70</v>
      </c>
      <c r="J20" s="13" t="n">
        <v>8.56</v>
      </c>
      <c r="K20" s="10" t="n">
        <v>2</v>
      </c>
      <c r="L20" s="14" t="n">
        <v>0</v>
      </c>
      <c r="M20" s="15" t="n">
        <v>2.4824</v>
      </c>
      <c r="N20" s="10" t="str">
        <f aca="false">IF(M20&lt;0,"Loss",IF(M20&lt;50,"Low Profit",IF(M20&lt;200,"Medium Profit","High Profit")))</f>
        <v>Low Profit</v>
      </c>
      <c r="O20" s="10" t="str">
        <f aca="false">IF(J20&gt;=500,"High Value","Standard")</f>
        <v>Standard</v>
      </c>
      <c r="P20" s="10" t="str">
        <f aca="false">H20&amp;" &gt; "&amp;I20&amp;" ("&amp;K20&amp;" units)"</f>
        <v>Office Supplies &gt; Art (2 units)</v>
      </c>
      <c r="Q20" s="10" t="str">
        <f aca="false">VLOOKUP(G20,Region_Manager_Table,2,FALSE())</f>
        <v>Sana Sheikh</v>
      </c>
      <c r="R20" s="10" t="n">
        <f aca="false">INDEX(SLA_Days_Col,MATCH(A20,ShipMode_Col,0))</f>
        <v>4</v>
      </c>
    </row>
    <row r="21" customFormat="false" ht="15" hidden="false" customHeight="false" outlineLevel="0" collapsed="false">
      <c r="A21" s="16" t="s">
        <v>49</v>
      </c>
      <c r="B21" s="16" t="s">
        <v>50</v>
      </c>
      <c r="C21" s="16" t="s">
        <v>51</v>
      </c>
      <c r="D21" s="16" t="s">
        <v>88</v>
      </c>
      <c r="E21" s="16" t="s">
        <v>60</v>
      </c>
      <c r="F21" s="16" t="n">
        <v>94109</v>
      </c>
      <c r="G21" s="16" t="s">
        <v>61</v>
      </c>
      <c r="H21" s="16" t="s">
        <v>71</v>
      </c>
      <c r="I21" s="16" t="s">
        <v>72</v>
      </c>
      <c r="J21" s="17" t="n">
        <v>213.48</v>
      </c>
      <c r="K21" s="16" t="n">
        <v>3</v>
      </c>
      <c r="L21" s="18" t="n">
        <v>0.2</v>
      </c>
      <c r="M21" s="19" t="n">
        <v>16.011</v>
      </c>
      <c r="N21" s="16" t="str">
        <f aca="false">IF(M21&lt;0,"Loss",IF(M21&lt;50,"Low Profit",IF(M21&lt;200,"Medium Profit","High Profit")))</f>
        <v>Low Profit</v>
      </c>
      <c r="O21" s="16" t="str">
        <f aca="false">IF(J21&gt;=500,"High Value","Standard")</f>
        <v>Standard</v>
      </c>
      <c r="P21" s="16" t="str">
        <f aca="false">H21&amp;" &gt; "&amp;I21&amp;" ("&amp;K21&amp;" units)"</f>
        <v>Technology &gt; Phones (3 units)</v>
      </c>
      <c r="Q21" s="16" t="str">
        <f aca="false">VLOOKUP(G21,Region_Manager_Table,2,FALSE())</f>
        <v>Sana Sheikh</v>
      </c>
      <c r="R21" s="16" t="n">
        <f aca="false">INDEX(SLA_Days_Col,MATCH(A21,ShipMode_Col,0))</f>
        <v>4</v>
      </c>
    </row>
    <row r="22" customFormat="false" ht="15" hidden="false" customHeight="false" outlineLevel="0" collapsed="false">
      <c r="A22" s="10" t="s">
        <v>49</v>
      </c>
      <c r="B22" s="10" t="s">
        <v>50</v>
      </c>
      <c r="C22" s="10" t="s">
        <v>51</v>
      </c>
      <c r="D22" s="10" t="s">
        <v>88</v>
      </c>
      <c r="E22" s="10" t="s">
        <v>60</v>
      </c>
      <c r="F22" s="10" t="n">
        <v>94109</v>
      </c>
      <c r="G22" s="10" t="s">
        <v>61</v>
      </c>
      <c r="H22" s="10" t="s">
        <v>62</v>
      </c>
      <c r="I22" s="10" t="s">
        <v>73</v>
      </c>
      <c r="J22" s="13" t="n">
        <v>22.72</v>
      </c>
      <c r="K22" s="10" t="n">
        <v>4</v>
      </c>
      <c r="L22" s="14" t="n">
        <v>0.2</v>
      </c>
      <c r="M22" s="15" t="n">
        <v>7.384</v>
      </c>
      <c r="N22" s="10" t="str">
        <f aca="false">IF(M22&lt;0,"Loss",IF(M22&lt;50,"Low Profit",IF(M22&lt;200,"Medium Profit","High Profit")))</f>
        <v>Low Profit</v>
      </c>
      <c r="O22" s="10" t="str">
        <f aca="false">IF(J22&gt;=500,"High Value","Standard")</f>
        <v>Standard</v>
      </c>
      <c r="P22" s="10" t="str">
        <f aca="false">H22&amp;" &gt; "&amp;I22&amp;" ("&amp;K22&amp;" units)"</f>
        <v>Office Supplies &gt; Binders (4 units)</v>
      </c>
      <c r="Q22" s="10" t="str">
        <f aca="false">VLOOKUP(G22,Region_Manager_Table,2,FALSE())</f>
        <v>Sana Sheikh</v>
      </c>
      <c r="R22" s="10" t="n">
        <f aca="false">INDEX(SLA_Days_Col,MATCH(A22,ShipMode_Col,0))</f>
        <v>4</v>
      </c>
    </row>
    <row r="23" customFormat="false" ht="15" hidden="false" customHeight="false" outlineLevel="0" collapsed="false">
      <c r="A23" s="16" t="s">
        <v>64</v>
      </c>
      <c r="B23" s="16" t="s">
        <v>58</v>
      </c>
      <c r="C23" s="16" t="s">
        <v>51</v>
      </c>
      <c r="D23" s="16" t="s">
        <v>89</v>
      </c>
      <c r="E23" s="16" t="s">
        <v>90</v>
      </c>
      <c r="F23" s="16" t="n">
        <v>68025</v>
      </c>
      <c r="G23" s="16" t="s">
        <v>83</v>
      </c>
      <c r="H23" s="16" t="s">
        <v>62</v>
      </c>
      <c r="I23" s="16" t="s">
        <v>70</v>
      </c>
      <c r="J23" s="17" t="n">
        <v>19.46</v>
      </c>
      <c r="K23" s="16" t="n">
        <v>7</v>
      </c>
      <c r="L23" s="18" t="n">
        <v>0</v>
      </c>
      <c r="M23" s="19" t="n">
        <v>5.0596</v>
      </c>
      <c r="N23" s="16" t="str">
        <f aca="false">IF(M23&lt;0,"Loss",IF(M23&lt;50,"Low Profit",IF(M23&lt;200,"Medium Profit","High Profit")))</f>
        <v>Low Profit</v>
      </c>
      <c r="O23" s="16" t="str">
        <f aca="false">IF(J23&gt;=500,"High Value","Standard")</f>
        <v>Standard</v>
      </c>
      <c r="P23" s="16" t="str">
        <f aca="false">H23&amp;" &gt; "&amp;I23&amp;" ("&amp;K23&amp;" units)"</f>
        <v>Office Supplies &gt; Art (7 units)</v>
      </c>
      <c r="Q23" s="16" t="str">
        <f aca="false">VLOOKUP(G23,Region_Manager_Table,2,FALSE())</f>
        <v>Aditya Rao</v>
      </c>
      <c r="R23" s="16" t="n">
        <f aca="false">INDEX(SLA_Days_Col,MATCH(A23,ShipMode_Col,0))</f>
        <v>6</v>
      </c>
    </row>
    <row r="24" customFormat="false" ht="15" hidden="false" customHeight="false" outlineLevel="0" collapsed="false">
      <c r="A24" s="10" t="s">
        <v>64</v>
      </c>
      <c r="B24" s="10" t="s">
        <v>58</v>
      </c>
      <c r="C24" s="10" t="s">
        <v>51</v>
      </c>
      <c r="D24" s="10" t="s">
        <v>89</v>
      </c>
      <c r="E24" s="10" t="s">
        <v>90</v>
      </c>
      <c r="F24" s="10" t="n">
        <v>68025</v>
      </c>
      <c r="G24" s="10" t="s">
        <v>83</v>
      </c>
      <c r="H24" s="10" t="s">
        <v>62</v>
      </c>
      <c r="I24" s="10" t="s">
        <v>74</v>
      </c>
      <c r="J24" s="13" t="n">
        <v>60.34</v>
      </c>
      <c r="K24" s="10" t="n">
        <v>7</v>
      </c>
      <c r="L24" s="14" t="n">
        <v>0</v>
      </c>
      <c r="M24" s="15" t="n">
        <v>15.6884</v>
      </c>
      <c r="N24" s="10" t="str">
        <f aca="false">IF(M24&lt;0,"Loss",IF(M24&lt;50,"Low Profit",IF(M24&lt;200,"Medium Profit","High Profit")))</f>
        <v>Low Profit</v>
      </c>
      <c r="O24" s="10" t="str">
        <f aca="false">IF(J24&gt;=500,"High Value","Standard")</f>
        <v>Standard</v>
      </c>
      <c r="P24" s="10" t="str">
        <f aca="false">H24&amp;" &gt; "&amp;I24&amp;" ("&amp;K24&amp;" units)"</f>
        <v>Office Supplies &gt; Appliances (7 units)</v>
      </c>
      <c r="Q24" s="10" t="str">
        <f aca="false">VLOOKUP(G24,Region_Manager_Table,2,FALSE())</f>
        <v>Aditya Rao</v>
      </c>
      <c r="R24" s="10" t="n">
        <f aca="false">INDEX(SLA_Days_Col,MATCH(A24,ShipMode_Col,0))</f>
        <v>6</v>
      </c>
    </row>
    <row r="25" customFormat="false" ht="15" hidden="false" customHeight="false" outlineLevel="0" collapsed="false">
      <c r="A25" s="16" t="s">
        <v>49</v>
      </c>
      <c r="B25" s="16" t="s">
        <v>50</v>
      </c>
      <c r="C25" s="16" t="s">
        <v>51</v>
      </c>
      <c r="D25" s="16" t="s">
        <v>91</v>
      </c>
      <c r="E25" s="16" t="s">
        <v>92</v>
      </c>
      <c r="F25" s="16" t="n">
        <v>19140</v>
      </c>
      <c r="G25" s="16" t="s">
        <v>93</v>
      </c>
      <c r="H25" s="16" t="s">
        <v>55</v>
      </c>
      <c r="I25" s="16" t="s">
        <v>57</v>
      </c>
      <c r="J25" s="17" t="n">
        <v>71.372</v>
      </c>
      <c r="K25" s="16" t="n">
        <v>2</v>
      </c>
      <c r="L25" s="18" t="n">
        <v>0.3</v>
      </c>
      <c r="M25" s="19" t="n">
        <v>-1.0196</v>
      </c>
      <c r="N25" s="16" t="str">
        <f aca="false">IF(M25&lt;0,"Loss",IF(M25&lt;50,"Low Profit",IF(M25&lt;200,"Medium Profit","High Profit")))</f>
        <v>Loss</v>
      </c>
      <c r="O25" s="16" t="str">
        <f aca="false">IF(J25&gt;=500,"High Value","Standard")</f>
        <v>Standard</v>
      </c>
      <c r="P25" s="16" t="str">
        <f aca="false">H25&amp;" &gt; "&amp;I25&amp;" ("&amp;K25&amp;" units)"</f>
        <v>Furniture &gt; Chairs (2 units)</v>
      </c>
      <c r="Q25" s="16" t="str">
        <f aca="false">VLOOKUP(G25,Region_Manager_Table,2,FALSE())</f>
        <v>Priya Menon</v>
      </c>
      <c r="R25" s="16" t="n">
        <f aca="false">INDEX(SLA_Days_Col,MATCH(A25,ShipMode_Col,0))</f>
        <v>4</v>
      </c>
    </row>
    <row r="26" customFormat="false" ht="15" hidden="false" customHeight="false" outlineLevel="0" collapsed="false">
      <c r="A26" s="10" t="s">
        <v>64</v>
      </c>
      <c r="B26" s="10" t="s">
        <v>50</v>
      </c>
      <c r="C26" s="10" t="s">
        <v>51</v>
      </c>
      <c r="D26" s="10" t="s">
        <v>94</v>
      </c>
      <c r="E26" s="10" t="s">
        <v>87</v>
      </c>
      <c r="F26" s="10" t="n">
        <v>84057</v>
      </c>
      <c r="G26" s="10" t="s">
        <v>61</v>
      </c>
      <c r="H26" s="10" t="s">
        <v>55</v>
      </c>
      <c r="I26" s="10" t="s">
        <v>67</v>
      </c>
      <c r="J26" s="13" t="n">
        <v>1044.63</v>
      </c>
      <c r="K26" s="10" t="n">
        <v>3</v>
      </c>
      <c r="L26" s="14" t="n">
        <v>0</v>
      </c>
      <c r="M26" s="15" t="n">
        <v>240.2649</v>
      </c>
      <c r="N26" s="10" t="str">
        <f aca="false">IF(M26&lt;0,"Loss",IF(M26&lt;50,"Low Profit",IF(M26&lt;200,"Medium Profit","High Profit")))</f>
        <v>High Profit</v>
      </c>
      <c r="O26" s="10" t="str">
        <f aca="false">IF(J26&gt;=500,"High Value","Standard")</f>
        <v>High Value</v>
      </c>
      <c r="P26" s="10" t="str">
        <f aca="false">H26&amp;" &gt; "&amp;I26&amp;" ("&amp;K26&amp;" units)"</f>
        <v>Furniture &gt; Tables (3 units)</v>
      </c>
      <c r="Q26" s="10" t="str">
        <f aca="false">VLOOKUP(G26,Region_Manager_Table,2,FALSE())</f>
        <v>Sana Sheikh</v>
      </c>
      <c r="R26" s="10" t="n">
        <f aca="false">INDEX(SLA_Days_Col,MATCH(A26,ShipMode_Col,0))</f>
        <v>6</v>
      </c>
    </row>
    <row r="27" customFormat="false" ht="15" hidden="false" customHeight="false" outlineLevel="0" collapsed="false">
      <c r="A27" s="16" t="s">
        <v>49</v>
      </c>
      <c r="B27" s="16" t="s">
        <v>50</v>
      </c>
      <c r="C27" s="16" t="s">
        <v>51</v>
      </c>
      <c r="D27" s="16" t="s">
        <v>59</v>
      </c>
      <c r="E27" s="16" t="s">
        <v>60</v>
      </c>
      <c r="F27" s="16" t="n">
        <v>90049</v>
      </c>
      <c r="G27" s="16" t="s">
        <v>61</v>
      </c>
      <c r="H27" s="16" t="s">
        <v>62</v>
      </c>
      <c r="I27" s="16" t="s">
        <v>73</v>
      </c>
      <c r="J27" s="17" t="n">
        <v>11.648</v>
      </c>
      <c r="K27" s="16" t="n">
        <v>2</v>
      </c>
      <c r="L27" s="18" t="n">
        <v>0.2</v>
      </c>
      <c r="M27" s="19" t="n">
        <v>4.2224</v>
      </c>
      <c r="N27" s="16" t="str">
        <f aca="false">IF(M27&lt;0,"Loss",IF(M27&lt;50,"Low Profit",IF(M27&lt;200,"Medium Profit","High Profit")))</f>
        <v>Low Profit</v>
      </c>
      <c r="O27" s="16" t="str">
        <f aca="false">IF(J27&gt;=500,"High Value","Standard")</f>
        <v>Standard</v>
      </c>
      <c r="P27" s="16" t="str">
        <f aca="false">H27&amp;" &gt; "&amp;I27&amp;" ("&amp;K27&amp;" units)"</f>
        <v>Office Supplies &gt; Binders (2 units)</v>
      </c>
      <c r="Q27" s="16" t="str">
        <f aca="false">VLOOKUP(G27,Region_Manager_Table,2,FALSE())</f>
        <v>Sana Sheikh</v>
      </c>
      <c r="R27" s="16" t="n">
        <f aca="false">INDEX(SLA_Days_Col,MATCH(A27,ShipMode_Col,0))</f>
        <v>4</v>
      </c>
    </row>
    <row r="28" customFormat="false" ht="15" hidden="false" customHeight="false" outlineLevel="0" collapsed="false">
      <c r="A28" s="10" t="s">
        <v>49</v>
      </c>
      <c r="B28" s="10" t="s">
        <v>50</v>
      </c>
      <c r="C28" s="10" t="s">
        <v>51</v>
      </c>
      <c r="D28" s="10" t="s">
        <v>59</v>
      </c>
      <c r="E28" s="10" t="s">
        <v>60</v>
      </c>
      <c r="F28" s="10" t="n">
        <v>90049</v>
      </c>
      <c r="G28" s="10" t="s">
        <v>61</v>
      </c>
      <c r="H28" s="10" t="s">
        <v>71</v>
      </c>
      <c r="I28" s="10" t="s">
        <v>95</v>
      </c>
      <c r="J28" s="13" t="n">
        <v>90.57</v>
      </c>
      <c r="K28" s="10" t="n">
        <v>3</v>
      </c>
      <c r="L28" s="14" t="n">
        <v>0</v>
      </c>
      <c r="M28" s="15" t="n">
        <v>11.7741</v>
      </c>
      <c r="N28" s="10" t="str">
        <f aca="false">IF(M28&lt;0,"Loss",IF(M28&lt;50,"Low Profit",IF(M28&lt;200,"Medium Profit","High Profit")))</f>
        <v>Low Profit</v>
      </c>
      <c r="O28" s="10" t="str">
        <f aca="false">IF(J28&gt;=500,"High Value","Standard")</f>
        <v>Standard</v>
      </c>
      <c r="P28" s="10" t="str">
        <f aca="false">H28&amp;" &gt; "&amp;I28&amp;" ("&amp;K28&amp;" units)"</f>
        <v>Technology &gt; Accessories (3 units)</v>
      </c>
      <c r="Q28" s="10" t="str">
        <f aca="false">VLOOKUP(G28,Region_Manager_Table,2,FALSE())</f>
        <v>Sana Sheikh</v>
      </c>
      <c r="R28" s="10" t="n">
        <f aca="false">INDEX(SLA_Days_Col,MATCH(A28,ShipMode_Col,0))</f>
        <v>4</v>
      </c>
    </row>
    <row r="29" customFormat="false" ht="15" hidden="false" customHeight="false" outlineLevel="0" collapsed="false">
      <c r="A29" s="16" t="s">
        <v>64</v>
      </c>
      <c r="B29" s="16" t="s">
        <v>50</v>
      </c>
      <c r="C29" s="16" t="s">
        <v>51</v>
      </c>
      <c r="D29" s="16" t="s">
        <v>91</v>
      </c>
      <c r="E29" s="16" t="s">
        <v>92</v>
      </c>
      <c r="F29" s="16" t="n">
        <v>19140</v>
      </c>
      <c r="G29" s="16" t="s">
        <v>93</v>
      </c>
      <c r="H29" s="16" t="s">
        <v>55</v>
      </c>
      <c r="I29" s="16" t="s">
        <v>56</v>
      </c>
      <c r="J29" s="17" t="n">
        <v>3083.43</v>
      </c>
      <c r="K29" s="16" t="n">
        <v>7</v>
      </c>
      <c r="L29" s="18" t="n">
        <v>0.5</v>
      </c>
      <c r="M29" s="19" t="n">
        <v>-1665.0522</v>
      </c>
      <c r="N29" s="16" t="str">
        <f aca="false">IF(M29&lt;0,"Loss",IF(M29&lt;50,"Low Profit",IF(M29&lt;200,"Medium Profit","High Profit")))</f>
        <v>Loss</v>
      </c>
      <c r="O29" s="16" t="str">
        <f aca="false">IF(J29&gt;=500,"High Value","Standard")</f>
        <v>High Value</v>
      </c>
      <c r="P29" s="16" t="str">
        <f aca="false">H29&amp;" &gt; "&amp;I29&amp;" ("&amp;K29&amp;" units)"</f>
        <v>Furniture &gt; Bookcases (7 units)</v>
      </c>
      <c r="Q29" s="16" t="str">
        <f aca="false">VLOOKUP(G29,Region_Manager_Table,2,FALSE())</f>
        <v>Priya Menon</v>
      </c>
      <c r="R29" s="16" t="n">
        <f aca="false">INDEX(SLA_Days_Col,MATCH(A29,ShipMode_Col,0))</f>
        <v>6</v>
      </c>
    </row>
    <row r="30" customFormat="false" ht="15" hidden="false" customHeight="false" outlineLevel="0" collapsed="false">
      <c r="A30" s="10" t="s">
        <v>64</v>
      </c>
      <c r="B30" s="10" t="s">
        <v>50</v>
      </c>
      <c r="C30" s="10" t="s">
        <v>51</v>
      </c>
      <c r="D30" s="10" t="s">
        <v>91</v>
      </c>
      <c r="E30" s="10" t="s">
        <v>92</v>
      </c>
      <c r="F30" s="10" t="n">
        <v>19140</v>
      </c>
      <c r="G30" s="10" t="s">
        <v>93</v>
      </c>
      <c r="H30" s="10" t="s">
        <v>62</v>
      </c>
      <c r="I30" s="10" t="s">
        <v>73</v>
      </c>
      <c r="J30" s="13" t="n">
        <v>9.618</v>
      </c>
      <c r="K30" s="10" t="n">
        <v>2</v>
      </c>
      <c r="L30" s="14" t="n">
        <v>0.7</v>
      </c>
      <c r="M30" s="15" t="n">
        <v>-7.0532</v>
      </c>
      <c r="N30" s="10" t="str">
        <f aca="false">IF(M30&lt;0,"Loss",IF(M30&lt;50,"Low Profit",IF(M30&lt;200,"Medium Profit","High Profit")))</f>
        <v>Loss</v>
      </c>
      <c r="O30" s="10" t="str">
        <f aca="false">IF(J30&gt;=500,"High Value","Standard")</f>
        <v>Standard</v>
      </c>
      <c r="P30" s="10" t="str">
        <f aca="false">H30&amp;" &gt; "&amp;I30&amp;" ("&amp;K30&amp;" units)"</f>
        <v>Office Supplies &gt; Binders (2 units)</v>
      </c>
      <c r="Q30" s="10" t="str">
        <f aca="false">VLOOKUP(G30,Region_Manager_Table,2,FALSE())</f>
        <v>Priya Menon</v>
      </c>
      <c r="R30" s="10" t="n">
        <f aca="false">INDEX(SLA_Days_Col,MATCH(A30,ShipMode_Col,0))</f>
        <v>6</v>
      </c>
    </row>
    <row r="31" customFormat="false" ht="15" hidden="false" customHeight="false" outlineLevel="0" collapsed="false">
      <c r="A31" s="16" t="s">
        <v>64</v>
      </c>
      <c r="B31" s="16" t="s">
        <v>50</v>
      </c>
      <c r="C31" s="16" t="s">
        <v>51</v>
      </c>
      <c r="D31" s="16" t="s">
        <v>91</v>
      </c>
      <c r="E31" s="16" t="s">
        <v>92</v>
      </c>
      <c r="F31" s="16" t="n">
        <v>19140</v>
      </c>
      <c r="G31" s="16" t="s">
        <v>93</v>
      </c>
      <c r="H31" s="16" t="s">
        <v>55</v>
      </c>
      <c r="I31" s="16" t="s">
        <v>69</v>
      </c>
      <c r="J31" s="17" t="n">
        <v>124.2</v>
      </c>
      <c r="K31" s="16" t="n">
        <v>3</v>
      </c>
      <c r="L31" s="18" t="n">
        <v>0.2</v>
      </c>
      <c r="M31" s="19" t="n">
        <v>15.525</v>
      </c>
      <c r="N31" s="16" t="str">
        <f aca="false">IF(M31&lt;0,"Loss",IF(M31&lt;50,"Low Profit",IF(M31&lt;200,"Medium Profit","High Profit")))</f>
        <v>Low Profit</v>
      </c>
      <c r="O31" s="16" t="str">
        <f aca="false">IF(J31&gt;=500,"High Value","Standard")</f>
        <v>Standard</v>
      </c>
      <c r="P31" s="16" t="str">
        <f aca="false">H31&amp;" &gt; "&amp;I31&amp;" ("&amp;K31&amp;" units)"</f>
        <v>Furniture &gt; Furnishings (3 units)</v>
      </c>
      <c r="Q31" s="16" t="str">
        <f aca="false">VLOOKUP(G31,Region_Manager_Table,2,FALSE())</f>
        <v>Priya Menon</v>
      </c>
      <c r="R31" s="16" t="n">
        <f aca="false">INDEX(SLA_Days_Col,MATCH(A31,ShipMode_Col,0))</f>
        <v>6</v>
      </c>
    </row>
    <row r="32" customFormat="false" ht="15" hidden="false" customHeight="false" outlineLevel="0" collapsed="false">
      <c r="A32" s="10" t="s">
        <v>64</v>
      </c>
      <c r="B32" s="10" t="s">
        <v>50</v>
      </c>
      <c r="C32" s="10" t="s">
        <v>51</v>
      </c>
      <c r="D32" s="10" t="s">
        <v>91</v>
      </c>
      <c r="E32" s="10" t="s">
        <v>92</v>
      </c>
      <c r="F32" s="10" t="n">
        <v>19140</v>
      </c>
      <c r="G32" s="10" t="s">
        <v>93</v>
      </c>
      <c r="H32" s="10" t="s">
        <v>62</v>
      </c>
      <c r="I32" s="10" t="s">
        <v>96</v>
      </c>
      <c r="J32" s="13" t="n">
        <v>3.264</v>
      </c>
      <c r="K32" s="10" t="n">
        <v>2</v>
      </c>
      <c r="L32" s="14" t="n">
        <v>0.2</v>
      </c>
      <c r="M32" s="15" t="n">
        <v>1.1016</v>
      </c>
      <c r="N32" s="10" t="str">
        <f aca="false">IF(M32&lt;0,"Loss",IF(M32&lt;50,"Low Profit",IF(M32&lt;200,"Medium Profit","High Profit")))</f>
        <v>Low Profit</v>
      </c>
      <c r="O32" s="10" t="str">
        <f aca="false">IF(J32&gt;=500,"High Value","Standard")</f>
        <v>Standard</v>
      </c>
      <c r="P32" s="10" t="str">
        <f aca="false">H32&amp;" &gt; "&amp;I32&amp;" ("&amp;K32&amp;" units)"</f>
        <v>Office Supplies &gt; Envelopes (2 units)</v>
      </c>
      <c r="Q32" s="10" t="str">
        <f aca="false">VLOOKUP(G32,Region_Manager_Table,2,FALSE())</f>
        <v>Priya Menon</v>
      </c>
      <c r="R32" s="10" t="n">
        <f aca="false">INDEX(SLA_Days_Col,MATCH(A32,ShipMode_Col,0))</f>
        <v>6</v>
      </c>
    </row>
    <row r="33" customFormat="false" ht="15" hidden="false" customHeight="false" outlineLevel="0" collapsed="false">
      <c r="A33" s="16" t="s">
        <v>64</v>
      </c>
      <c r="B33" s="16" t="s">
        <v>50</v>
      </c>
      <c r="C33" s="16" t="s">
        <v>51</v>
      </c>
      <c r="D33" s="16" t="s">
        <v>91</v>
      </c>
      <c r="E33" s="16" t="s">
        <v>92</v>
      </c>
      <c r="F33" s="16" t="n">
        <v>19140</v>
      </c>
      <c r="G33" s="16" t="s">
        <v>93</v>
      </c>
      <c r="H33" s="16" t="s">
        <v>62</v>
      </c>
      <c r="I33" s="16" t="s">
        <v>70</v>
      </c>
      <c r="J33" s="17" t="n">
        <v>86.304</v>
      </c>
      <c r="K33" s="16" t="n">
        <v>6</v>
      </c>
      <c r="L33" s="18" t="n">
        <v>0.2</v>
      </c>
      <c r="M33" s="19" t="n">
        <v>9.7092</v>
      </c>
      <c r="N33" s="16" t="str">
        <f aca="false">IF(M33&lt;0,"Loss",IF(M33&lt;50,"Low Profit",IF(M33&lt;200,"Medium Profit","High Profit")))</f>
        <v>Low Profit</v>
      </c>
      <c r="O33" s="16" t="str">
        <f aca="false">IF(J33&gt;=500,"High Value","Standard")</f>
        <v>Standard</v>
      </c>
      <c r="P33" s="16" t="str">
        <f aca="false">H33&amp;" &gt; "&amp;I33&amp;" ("&amp;K33&amp;" units)"</f>
        <v>Office Supplies &gt; Art (6 units)</v>
      </c>
      <c r="Q33" s="16" t="str">
        <f aca="false">VLOOKUP(G33,Region_Manager_Table,2,FALSE())</f>
        <v>Priya Menon</v>
      </c>
      <c r="R33" s="16" t="n">
        <f aca="false">INDEX(SLA_Days_Col,MATCH(A33,ShipMode_Col,0))</f>
        <v>6</v>
      </c>
    </row>
    <row r="34" customFormat="false" ht="15" hidden="false" customHeight="false" outlineLevel="0" collapsed="false">
      <c r="A34" s="10" t="s">
        <v>64</v>
      </c>
      <c r="B34" s="10" t="s">
        <v>50</v>
      </c>
      <c r="C34" s="10" t="s">
        <v>51</v>
      </c>
      <c r="D34" s="10" t="s">
        <v>91</v>
      </c>
      <c r="E34" s="10" t="s">
        <v>92</v>
      </c>
      <c r="F34" s="10" t="n">
        <v>19140</v>
      </c>
      <c r="G34" s="10" t="s">
        <v>93</v>
      </c>
      <c r="H34" s="10" t="s">
        <v>62</v>
      </c>
      <c r="I34" s="10" t="s">
        <v>73</v>
      </c>
      <c r="J34" s="13" t="n">
        <v>6.858</v>
      </c>
      <c r="K34" s="10" t="n">
        <v>6</v>
      </c>
      <c r="L34" s="14" t="n">
        <v>0.7</v>
      </c>
      <c r="M34" s="15" t="n">
        <v>-5.715</v>
      </c>
      <c r="N34" s="10" t="str">
        <f aca="false">IF(M34&lt;0,"Loss",IF(M34&lt;50,"Low Profit",IF(M34&lt;200,"Medium Profit","High Profit")))</f>
        <v>Loss</v>
      </c>
      <c r="O34" s="10" t="str">
        <f aca="false">IF(J34&gt;=500,"High Value","Standard")</f>
        <v>Standard</v>
      </c>
      <c r="P34" s="10" t="str">
        <f aca="false">H34&amp;" &gt; "&amp;I34&amp;" ("&amp;K34&amp;" units)"</f>
        <v>Office Supplies &gt; Binders (6 units)</v>
      </c>
      <c r="Q34" s="10" t="str">
        <f aca="false">VLOOKUP(G34,Region_Manager_Table,2,FALSE())</f>
        <v>Priya Menon</v>
      </c>
      <c r="R34" s="10" t="n">
        <f aca="false">INDEX(SLA_Days_Col,MATCH(A34,ShipMode_Col,0))</f>
        <v>6</v>
      </c>
    </row>
    <row r="35" customFormat="false" ht="15" hidden="false" customHeight="false" outlineLevel="0" collapsed="false">
      <c r="A35" s="16" t="s">
        <v>64</v>
      </c>
      <c r="B35" s="16" t="s">
        <v>50</v>
      </c>
      <c r="C35" s="16" t="s">
        <v>51</v>
      </c>
      <c r="D35" s="16" t="s">
        <v>91</v>
      </c>
      <c r="E35" s="16" t="s">
        <v>92</v>
      </c>
      <c r="F35" s="16" t="n">
        <v>19140</v>
      </c>
      <c r="G35" s="16" t="s">
        <v>93</v>
      </c>
      <c r="H35" s="16" t="s">
        <v>62</v>
      </c>
      <c r="I35" s="16" t="s">
        <v>70</v>
      </c>
      <c r="J35" s="17" t="n">
        <v>15.76</v>
      </c>
      <c r="K35" s="16" t="n">
        <v>2</v>
      </c>
      <c r="L35" s="18" t="n">
        <v>0.2</v>
      </c>
      <c r="M35" s="19" t="n">
        <v>3.546</v>
      </c>
      <c r="N35" s="16" t="str">
        <f aca="false">IF(M35&lt;0,"Loss",IF(M35&lt;50,"Low Profit",IF(M35&lt;200,"Medium Profit","High Profit")))</f>
        <v>Low Profit</v>
      </c>
      <c r="O35" s="16" t="str">
        <f aca="false">IF(J35&gt;=500,"High Value","Standard")</f>
        <v>Standard</v>
      </c>
      <c r="P35" s="16" t="str">
        <f aca="false">H35&amp;" &gt; "&amp;I35&amp;" ("&amp;K35&amp;" units)"</f>
        <v>Office Supplies &gt; Art (2 units)</v>
      </c>
      <c r="Q35" s="16" t="str">
        <f aca="false">VLOOKUP(G35,Region_Manager_Table,2,FALSE())</f>
        <v>Priya Menon</v>
      </c>
      <c r="R35" s="16" t="n">
        <f aca="false">INDEX(SLA_Days_Col,MATCH(A35,ShipMode_Col,0))</f>
        <v>6</v>
      </c>
    </row>
    <row r="36" customFormat="false" ht="15" hidden="false" customHeight="false" outlineLevel="0" collapsed="false">
      <c r="A36" s="10" t="s">
        <v>49</v>
      </c>
      <c r="B36" s="10" t="s">
        <v>80</v>
      </c>
      <c r="C36" s="10" t="s">
        <v>51</v>
      </c>
      <c r="D36" s="10" t="s">
        <v>97</v>
      </c>
      <c r="E36" s="10" t="s">
        <v>82</v>
      </c>
      <c r="F36" s="10" t="n">
        <v>77095</v>
      </c>
      <c r="G36" s="10" t="s">
        <v>83</v>
      </c>
      <c r="H36" s="10" t="s">
        <v>62</v>
      </c>
      <c r="I36" s="10" t="s">
        <v>77</v>
      </c>
      <c r="J36" s="13" t="n">
        <v>29.472</v>
      </c>
      <c r="K36" s="10" t="n">
        <v>3</v>
      </c>
      <c r="L36" s="14" t="n">
        <v>0.2</v>
      </c>
      <c r="M36" s="15" t="n">
        <v>9.9468</v>
      </c>
      <c r="N36" s="10" t="str">
        <f aca="false">IF(M36&lt;0,"Loss",IF(M36&lt;50,"Low Profit",IF(M36&lt;200,"Medium Profit","High Profit")))</f>
        <v>Low Profit</v>
      </c>
      <c r="O36" s="10" t="str">
        <f aca="false">IF(J36&gt;=500,"High Value","Standard")</f>
        <v>Standard</v>
      </c>
      <c r="P36" s="10" t="str">
        <f aca="false">H36&amp;" &gt; "&amp;I36&amp;" ("&amp;K36&amp;" units)"</f>
        <v>Office Supplies &gt; Paper (3 units)</v>
      </c>
      <c r="Q36" s="10" t="str">
        <f aca="false">VLOOKUP(G36,Region_Manager_Table,2,FALSE())</f>
        <v>Aditya Rao</v>
      </c>
      <c r="R36" s="10" t="n">
        <f aca="false">INDEX(SLA_Days_Col,MATCH(A36,ShipMode_Col,0))</f>
        <v>4</v>
      </c>
    </row>
    <row r="37" customFormat="false" ht="15" hidden="false" customHeight="false" outlineLevel="0" collapsed="false">
      <c r="A37" s="16" t="s">
        <v>98</v>
      </c>
      <c r="B37" s="16" t="s">
        <v>58</v>
      </c>
      <c r="C37" s="16" t="s">
        <v>51</v>
      </c>
      <c r="D37" s="16" t="s">
        <v>99</v>
      </c>
      <c r="E37" s="16" t="s">
        <v>82</v>
      </c>
      <c r="F37" s="16" t="n">
        <v>75080</v>
      </c>
      <c r="G37" s="16" t="s">
        <v>83</v>
      </c>
      <c r="H37" s="16" t="s">
        <v>71</v>
      </c>
      <c r="I37" s="16" t="s">
        <v>72</v>
      </c>
      <c r="J37" s="17" t="n">
        <v>1097.544</v>
      </c>
      <c r="K37" s="16" t="n">
        <v>7</v>
      </c>
      <c r="L37" s="18" t="n">
        <v>0.2</v>
      </c>
      <c r="M37" s="19" t="n">
        <v>123.4737</v>
      </c>
      <c r="N37" s="16" t="str">
        <f aca="false">IF(M37&lt;0,"Loss",IF(M37&lt;50,"Low Profit",IF(M37&lt;200,"Medium Profit","High Profit")))</f>
        <v>Medium Profit</v>
      </c>
      <c r="O37" s="16" t="str">
        <f aca="false">IF(J37&gt;=500,"High Value","Standard")</f>
        <v>High Value</v>
      </c>
      <c r="P37" s="16" t="str">
        <f aca="false">H37&amp;" &gt; "&amp;I37&amp;" ("&amp;K37&amp;" units)"</f>
        <v>Technology &gt; Phones (7 units)</v>
      </c>
      <c r="Q37" s="16" t="str">
        <f aca="false">VLOOKUP(G37,Region_Manager_Table,2,FALSE())</f>
        <v>Aditya Rao</v>
      </c>
      <c r="R37" s="16" t="n">
        <f aca="false">INDEX(SLA_Days_Col,MATCH(A37,ShipMode_Col,0))</f>
        <v>2</v>
      </c>
    </row>
    <row r="38" customFormat="false" ht="15" hidden="false" customHeight="false" outlineLevel="0" collapsed="false">
      <c r="A38" s="10" t="s">
        <v>98</v>
      </c>
      <c r="B38" s="10" t="s">
        <v>58</v>
      </c>
      <c r="C38" s="10" t="s">
        <v>51</v>
      </c>
      <c r="D38" s="10" t="s">
        <v>99</v>
      </c>
      <c r="E38" s="10" t="s">
        <v>82</v>
      </c>
      <c r="F38" s="10" t="n">
        <v>75080</v>
      </c>
      <c r="G38" s="10" t="s">
        <v>83</v>
      </c>
      <c r="H38" s="10" t="s">
        <v>55</v>
      </c>
      <c r="I38" s="10" t="s">
        <v>69</v>
      </c>
      <c r="J38" s="13" t="n">
        <v>190.92</v>
      </c>
      <c r="K38" s="10" t="n">
        <v>5</v>
      </c>
      <c r="L38" s="14" t="n">
        <v>0.6</v>
      </c>
      <c r="M38" s="15" t="n">
        <v>-147.963</v>
      </c>
      <c r="N38" s="10" t="str">
        <f aca="false">IF(M38&lt;0,"Loss",IF(M38&lt;50,"Low Profit",IF(M38&lt;200,"Medium Profit","High Profit")))</f>
        <v>Loss</v>
      </c>
      <c r="O38" s="10" t="str">
        <f aca="false">IF(J38&gt;=500,"High Value","Standard")</f>
        <v>Standard</v>
      </c>
      <c r="P38" s="10" t="str">
        <f aca="false">H38&amp;" &gt; "&amp;I38&amp;" ("&amp;K38&amp;" units)"</f>
        <v>Furniture &gt; Furnishings (5 units)</v>
      </c>
      <c r="Q38" s="10" t="str">
        <f aca="false">VLOOKUP(G38,Region_Manager_Table,2,FALSE())</f>
        <v>Aditya Rao</v>
      </c>
      <c r="R38" s="10" t="n">
        <f aca="false">INDEX(SLA_Days_Col,MATCH(A38,ShipMode_Col,0))</f>
        <v>2</v>
      </c>
    </row>
    <row r="39" customFormat="false" ht="15" hidden="false" customHeight="false" outlineLevel="0" collapsed="false">
      <c r="A39" s="16" t="s">
        <v>64</v>
      </c>
      <c r="B39" s="16" t="s">
        <v>80</v>
      </c>
      <c r="C39" s="16" t="s">
        <v>51</v>
      </c>
      <c r="D39" s="16" t="s">
        <v>97</v>
      </c>
      <c r="E39" s="16" t="s">
        <v>82</v>
      </c>
      <c r="F39" s="16" t="n">
        <v>77041</v>
      </c>
      <c r="G39" s="16" t="s">
        <v>83</v>
      </c>
      <c r="H39" s="16" t="s">
        <v>62</v>
      </c>
      <c r="I39" s="16" t="s">
        <v>96</v>
      </c>
      <c r="J39" s="17" t="n">
        <v>113.328</v>
      </c>
      <c r="K39" s="16" t="n">
        <v>9</v>
      </c>
      <c r="L39" s="18" t="n">
        <v>0.2</v>
      </c>
      <c r="M39" s="19" t="n">
        <v>35.415</v>
      </c>
      <c r="N39" s="16" t="str">
        <f aca="false">IF(M39&lt;0,"Loss",IF(M39&lt;50,"Low Profit",IF(M39&lt;200,"Medium Profit","High Profit")))</f>
        <v>Low Profit</v>
      </c>
      <c r="O39" s="16" t="str">
        <f aca="false">IF(J39&gt;=500,"High Value","Standard")</f>
        <v>Standard</v>
      </c>
      <c r="P39" s="16" t="str">
        <f aca="false">H39&amp;" &gt; "&amp;I39&amp;" ("&amp;K39&amp;" units)"</f>
        <v>Office Supplies &gt; Envelopes (9 units)</v>
      </c>
      <c r="Q39" s="16" t="str">
        <f aca="false">VLOOKUP(G39,Region_Manager_Table,2,FALSE())</f>
        <v>Aditya Rao</v>
      </c>
      <c r="R39" s="16" t="n">
        <f aca="false">INDEX(SLA_Days_Col,MATCH(A39,ShipMode_Col,0))</f>
        <v>6</v>
      </c>
    </row>
    <row r="40" customFormat="false" ht="15" hidden="false" customHeight="false" outlineLevel="0" collapsed="false">
      <c r="A40" s="10" t="s">
        <v>64</v>
      </c>
      <c r="B40" s="10" t="s">
        <v>80</v>
      </c>
      <c r="C40" s="10" t="s">
        <v>51</v>
      </c>
      <c r="D40" s="10" t="s">
        <v>97</v>
      </c>
      <c r="E40" s="10" t="s">
        <v>82</v>
      </c>
      <c r="F40" s="10" t="n">
        <v>77041</v>
      </c>
      <c r="G40" s="10" t="s">
        <v>83</v>
      </c>
      <c r="H40" s="10" t="s">
        <v>55</v>
      </c>
      <c r="I40" s="10" t="s">
        <v>56</v>
      </c>
      <c r="J40" s="13" t="n">
        <v>532.3992</v>
      </c>
      <c r="K40" s="10" t="n">
        <v>3</v>
      </c>
      <c r="L40" s="14" t="n">
        <v>0.32</v>
      </c>
      <c r="M40" s="15" t="n">
        <v>-46.9764</v>
      </c>
      <c r="N40" s="10" t="str">
        <f aca="false">IF(M40&lt;0,"Loss",IF(M40&lt;50,"Low Profit",IF(M40&lt;200,"Medium Profit","High Profit")))</f>
        <v>Loss</v>
      </c>
      <c r="O40" s="10" t="str">
        <f aca="false">IF(J40&gt;=500,"High Value","Standard")</f>
        <v>High Value</v>
      </c>
      <c r="P40" s="10" t="str">
        <f aca="false">H40&amp;" &gt; "&amp;I40&amp;" ("&amp;K40&amp;" units)"</f>
        <v>Furniture &gt; Bookcases (3 units)</v>
      </c>
      <c r="Q40" s="10" t="str">
        <f aca="false">VLOOKUP(G40,Region_Manager_Table,2,FALSE())</f>
        <v>Aditya Rao</v>
      </c>
      <c r="R40" s="10" t="n">
        <f aca="false">INDEX(SLA_Days_Col,MATCH(A40,ShipMode_Col,0))</f>
        <v>6</v>
      </c>
    </row>
    <row r="41" customFormat="false" ht="15" hidden="false" customHeight="false" outlineLevel="0" collapsed="false">
      <c r="A41" s="16" t="s">
        <v>64</v>
      </c>
      <c r="B41" s="16" t="s">
        <v>80</v>
      </c>
      <c r="C41" s="16" t="s">
        <v>51</v>
      </c>
      <c r="D41" s="16" t="s">
        <v>97</v>
      </c>
      <c r="E41" s="16" t="s">
        <v>82</v>
      </c>
      <c r="F41" s="16" t="n">
        <v>77041</v>
      </c>
      <c r="G41" s="16" t="s">
        <v>83</v>
      </c>
      <c r="H41" s="16" t="s">
        <v>55</v>
      </c>
      <c r="I41" s="16" t="s">
        <v>57</v>
      </c>
      <c r="J41" s="17" t="n">
        <v>212.058</v>
      </c>
      <c r="K41" s="16" t="n">
        <v>3</v>
      </c>
      <c r="L41" s="18" t="n">
        <v>0.3</v>
      </c>
      <c r="M41" s="19" t="n">
        <v>-15.147</v>
      </c>
      <c r="N41" s="16" t="str">
        <f aca="false">IF(M41&lt;0,"Loss",IF(M41&lt;50,"Low Profit",IF(M41&lt;200,"Medium Profit","High Profit")))</f>
        <v>Loss</v>
      </c>
      <c r="O41" s="16" t="str">
        <f aca="false">IF(J41&gt;=500,"High Value","Standard")</f>
        <v>Standard</v>
      </c>
      <c r="P41" s="16" t="str">
        <f aca="false">H41&amp;" &gt; "&amp;I41&amp;" ("&amp;K41&amp;" units)"</f>
        <v>Furniture &gt; Chairs (3 units)</v>
      </c>
      <c r="Q41" s="16" t="str">
        <f aca="false">VLOOKUP(G41,Region_Manager_Table,2,FALSE())</f>
        <v>Aditya Rao</v>
      </c>
      <c r="R41" s="16" t="n">
        <f aca="false">INDEX(SLA_Days_Col,MATCH(A41,ShipMode_Col,0))</f>
        <v>6</v>
      </c>
    </row>
    <row r="42" customFormat="false" ht="15" hidden="false" customHeight="false" outlineLevel="0" collapsed="false">
      <c r="A42" s="10" t="s">
        <v>64</v>
      </c>
      <c r="B42" s="10" t="s">
        <v>80</v>
      </c>
      <c r="C42" s="10" t="s">
        <v>51</v>
      </c>
      <c r="D42" s="10" t="s">
        <v>97</v>
      </c>
      <c r="E42" s="10" t="s">
        <v>82</v>
      </c>
      <c r="F42" s="10" t="n">
        <v>77041</v>
      </c>
      <c r="G42" s="10" t="s">
        <v>83</v>
      </c>
      <c r="H42" s="10" t="s">
        <v>71</v>
      </c>
      <c r="I42" s="10" t="s">
        <v>72</v>
      </c>
      <c r="J42" s="13" t="n">
        <v>371.168</v>
      </c>
      <c r="K42" s="10" t="n">
        <v>4</v>
      </c>
      <c r="L42" s="14" t="n">
        <v>0.2</v>
      </c>
      <c r="M42" s="15" t="n">
        <v>41.7564</v>
      </c>
      <c r="N42" s="10" t="str">
        <f aca="false">IF(M42&lt;0,"Loss",IF(M42&lt;50,"Low Profit",IF(M42&lt;200,"Medium Profit","High Profit")))</f>
        <v>Low Profit</v>
      </c>
      <c r="O42" s="10" t="str">
        <f aca="false">IF(J42&gt;=500,"High Value","Standard")</f>
        <v>Standard</v>
      </c>
      <c r="P42" s="10" t="str">
        <f aca="false">H42&amp;" &gt; "&amp;I42&amp;" ("&amp;K42&amp;" units)"</f>
        <v>Technology &gt; Phones (4 units)</v>
      </c>
      <c r="Q42" s="10" t="str">
        <f aca="false">VLOOKUP(G42,Region_Manager_Table,2,FALSE())</f>
        <v>Aditya Rao</v>
      </c>
      <c r="R42" s="10" t="n">
        <f aca="false">INDEX(SLA_Days_Col,MATCH(A42,ShipMode_Col,0))</f>
        <v>6</v>
      </c>
    </row>
    <row r="43" customFormat="false" ht="15" hidden="false" customHeight="false" outlineLevel="0" collapsed="false">
      <c r="A43" s="16" t="s">
        <v>64</v>
      </c>
      <c r="B43" s="16" t="s">
        <v>58</v>
      </c>
      <c r="C43" s="16" t="s">
        <v>51</v>
      </c>
      <c r="D43" s="16" t="s">
        <v>100</v>
      </c>
      <c r="E43" s="16" t="s">
        <v>101</v>
      </c>
      <c r="F43" s="16" t="n">
        <v>60540</v>
      </c>
      <c r="G43" s="16" t="s">
        <v>83</v>
      </c>
      <c r="H43" s="16" t="s">
        <v>71</v>
      </c>
      <c r="I43" s="16" t="s">
        <v>72</v>
      </c>
      <c r="J43" s="17" t="n">
        <v>147.168</v>
      </c>
      <c r="K43" s="16" t="n">
        <v>4</v>
      </c>
      <c r="L43" s="18" t="n">
        <v>0.2</v>
      </c>
      <c r="M43" s="19" t="n">
        <v>16.5564</v>
      </c>
      <c r="N43" s="16" t="str">
        <f aca="false">IF(M43&lt;0,"Loss",IF(M43&lt;50,"Low Profit",IF(M43&lt;200,"Medium Profit","High Profit")))</f>
        <v>Low Profit</v>
      </c>
      <c r="O43" s="16" t="str">
        <f aca="false">IF(J43&gt;=500,"High Value","Standard")</f>
        <v>Standard</v>
      </c>
      <c r="P43" s="16" t="str">
        <f aca="false">H43&amp;" &gt; "&amp;I43&amp;" ("&amp;K43&amp;" units)"</f>
        <v>Technology &gt; Phones (4 units)</v>
      </c>
      <c r="Q43" s="16" t="str">
        <f aca="false">VLOOKUP(G43,Region_Manager_Table,2,FALSE())</f>
        <v>Aditya Rao</v>
      </c>
      <c r="R43" s="16" t="n">
        <f aca="false">INDEX(SLA_Days_Col,MATCH(A43,ShipMode_Col,0))</f>
        <v>6</v>
      </c>
    </row>
    <row r="44" customFormat="false" ht="15" hidden="false" customHeight="false" outlineLevel="0" collapsed="false">
      <c r="A44" s="10" t="s">
        <v>64</v>
      </c>
      <c r="B44" s="10" t="s">
        <v>58</v>
      </c>
      <c r="C44" s="10" t="s">
        <v>51</v>
      </c>
      <c r="D44" s="10" t="s">
        <v>59</v>
      </c>
      <c r="E44" s="10" t="s">
        <v>60</v>
      </c>
      <c r="F44" s="10" t="n">
        <v>90049</v>
      </c>
      <c r="G44" s="10" t="s">
        <v>61</v>
      </c>
      <c r="H44" s="10" t="s">
        <v>62</v>
      </c>
      <c r="I44" s="10" t="s">
        <v>68</v>
      </c>
      <c r="J44" s="13" t="n">
        <v>77.88</v>
      </c>
      <c r="K44" s="10" t="n">
        <v>2</v>
      </c>
      <c r="L44" s="14" t="n">
        <v>0</v>
      </c>
      <c r="M44" s="15" t="n">
        <v>3.894</v>
      </c>
      <c r="N44" s="10" t="str">
        <f aca="false">IF(M44&lt;0,"Loss",IF(M44&lt;50,"Low Profit",IF(M44&lt;200,"Medium Profit","High Profit")))</f>
        <v>Low Profit</v>
      </c>
      <c r="O44" s="10" t="str">
        <f aca="false">IF(J44&gt;=500,"High Value","Standard")</f>
        <v>Standard</v>
      </c>
      <c r="P44" s="10" t="str">
        <f aca="false">H44&amp;" &gt; "&amp;I44&amp;" ("&amp;K44&amp;" units)"</f>
        <v>Office Supplies &gt; Storage (2 units)</v>
      </c>
      <c r="Q44" s="10" t="str">
        <f aca="false">VLOOKUP(G44,Region_Manager_Table,2,FALSE())</f>
        <v>Sana Sheikh</v>
      </c>
      <c r="R44" s="10" t="n">
        <f aca="false">INDEX(SLA_Days_Col,MATCH(A44,ShipMode_Col,0))</f>
        <v>6</v>
      </c>
    </row>
    <row r="45" customFormat="false" ht="15" hidden="false" customHeight="false" outlineLevel="0" collapsed="false">
      <c r="A45" s="16" t="s">
        <v>64</v>
      </c>
      <c r="B45" s="16" t="s">
        <v>58</v>
      </c>
      <c r="C45" s="16" t="s">
        <v>51</v>
      </c>
      <c r="D45" s="16" t="s">
        <v>102</v>
      </c>
      <c r="E45" s="16" t="s">
        <v>66</v>
      </c>
      <c r="F45" s="16" t="n">
        <v>32935</v>
      </c>
      <c r="G45" s="16" t="s">
        <v>54</v>
      </c>
      <c r="H45" s="16" t="s">
        <v>62</v>
      </c>
      <c r="I45" s="16" t="s">
        <v>68</v>
      </c>
      <c r="J45" s="17" t="n">
        <v>95.616</v>
      </c>
      <c r="K45" s="16" t="n">
        <v>2</v>
      </c>
      <c r="L45" s="18" t="n">
        <v>0.2</v>
      </c>
      <c r="M45" s="19" t="n">
        <v>9.5616</v>
      </c>
      <c r="N45" s="16" t="str">
        <f aca="false">IF(M45&lt;0,"Loss",IF(M45&lt;50,"Low Profit",IF(M45&lt;200,"Medium Profit","High Profit")))</f>
        <v>Low Profit</v>
      </c>
      <c r="O45" s="16" t="str">
        <f aca="false">IF(J45&gt;=500,"High Value","Standard")</f>
        <v>Standard</v>
      </c>
      <c r="P45" s="16" t="str">
        <f aca="false">H45&amp;" &gt; "&amp;I45&amp;" ("&amp;K45&amp;" units)"</f>
        <v>Office Supplies &gt; Storage (2 units)</v>
      </c>
      <c r="Q45" s="16" t="str">
        <f aca="false">VLOOKUP(G45,Region_Manager_Table,2,FALSE())</f>
        <v>Karthik Iyer</v>
      </c>
      <c r="R45" s="16" t="n">
        <f aca="false">INDEX(SLA_Days_Col,MATCH(A45,ShipMode_Col,0))</f>
        <v>6</v>
      </c>
    </row>
    <row r="46" customFormat="false" ht="15" hidden="false" customHeight="false" outlineLevel="0" collapsed="false">
      <c r="A46" s="10" t="s">
        <v>98</v>
      </c>
      <c r="B46" s="10" t="s">
        <v>58</v>
      </c>
      <c r="C46" s="10" t="s">
        <v>51</v>
      </c>
      <c r="D46" s="10" t="s">
        <v>103</v>
      </c>
      <c r="E46" s="10" t="s">
        <v>104</v>
      </c>
      <c r="F46" s="10" t="n">
        <v>55122</v>
      </c>
      <c r="G46" s="10" t="s">
        <v>83</v>
      </c>
      <c r="H46" s="10" t="s">
        <v>71</v>
      </c>
      <c r="I46" s="10" t="s">
        <v>95</v>
      </c>
      <c r="J46" s="13" t="n">
        <v>45.98</v>
      </c>
      <c r="K46" s="10" t="n">
        <v>2</v>
      </c>
      <c r="L46" s="14" t="n">
        <v>0</v>
      </c>
      <c r="M46" s="15" t="n">
        <v>19.7714</v>
      </c>
      <c r="N46" s="10" t="str">
        <f aca="false">IF(M46&lt;0,"Loss",IF(M46&lt;50,"Low Profit",IF(M46&lt;200,"Medium Profit","High Profit")))</f>
        <v>Low Profit</v>
      </c>
      <c r="O46" s="10" t="str">
        <f aca="false">IF(J46&gt;=500,"High Value","Standard")</f>
        <v>Standard</v>
      </c>
      <c r="P46" s="10" t="str">
        <f aca="false">H46&amp;" &gt; "&amp;I46&amp;" ("&amp;K46&amp;" units)"</f>
        <v>Technology &gt; Accessories (2 units)</v>
      </c>
      <c r="Q46" s="10" t="str">
        <f aca="false">VLOOKUP(G46,Region_Manager_Table,2,FALSE())</f>
        <v>Aditya Rao</v>
      </c>
      <c r="R46" s="10" t="n">
        <f aca="false">INDEX(SLA_Days_Col,MATCH(A46,ShipMode_Col,0))</f>
        <v>2</v>
      </c>
    </row>
    <row r="47" customFormat="false" ht="15" hidden="false" customHeight="false" outlineLevel="0" collapsed="false">
      <c r="A47" s="16" t="s">
        <v>98</v>
      </c>
      <c r="B47" s="16" t="s">
        <v>58</v>
      </c>
      <c r="C47" s="16" t="s">
        <v>51</v>
      </c>
      <c r="D47" s="16" t="s">
        <v>103</v>
      </c>
      <c r="E47" s="16" t="s">
        <v>104</v>
      </c>
      <c r="F47" s="16" t="n">
        <v>55122</v>
      </c>
      <c r="G47" s="16" t="s">
        <v>83</v>
      </c>
      <c r="H47" s="16" t="s">
        <v>62</v>
      </c>
      <c r="I47" s="16" t="s">
        <v>73</v>
      </c>
      <c r="J47" s="17" t="n">
        <v>17.46</v>
      </c>
      <c r="K47" s="16" t="n">
        <v>2</v>
      </c>
      <c r="L47" s="18" t="n">
        <v>0</v>
      </c>
      <c r="M47" s="19" t="n">
        <v>8.2062</v>
      </c>
      <c r="N47" s="16" t="str">
        <f aca="false">IF(M47&lt;0,"Loss",IF(M47&lt;50,"Low Profit",IF(M47&lt;200,"Medium Profit","High Profit")))</f>
        <v>Low Profit</v>
      </c>
      <c r="O47" s="16" t="str">
        <f aca="false">IF(J47&gt;=500,"High Value","Standard")</f>
        <v>Standard</v>
      </c>
      <c r="P47" s="16" t="str">
        <f aca="false">H47&amp;" &gt; "&amp;I47&amp;" ("&amp;K47&amp;" units)"</f>
        <v>Office Supplies &gt; Binders (2 units)</v>
      </c>
      <c r="Q47" s="16" t="str">
        <f aca="false">VLOOKUP(G47,Region_Manager_Table,2,FALSE())</f>
        <v>Aditya Rao</v>
      </c>
      <c r="R47" s="16" t="n">
        <f aca="false">INDEX(SLA_Days_Col,MATCH(A47,ShipMode_Col,0))</f>
        <v>2</v>
      </c>
    </row>
    <row r="48" customFormat="false" ht="15" hidden="false" customHeight="false" outlineLevel="0" collapsed="false">
      <c r="A48" s="10" t="s">
        <v>49</v>
      </c>
      <c r="B48" s="10" t="s">
        <v>50</v>
      </c>
      <c r="C48" s="10" t="s">
        <v>51</v>
      </c>
      <c r="D48" s="10" t="s">
        <v>105</v>
      </c>
      <c r="E48" s="10" t="s">
        <v>106</v>
      </c>
      <c r="F48" s="10" t="n">
        <v>48185</v>
      </c>
      <c r="G48" s="10" t="s">
        <v>83</v>
      </c>
      <c r="H48" s="10" t="s">
        <v>62</v>
      </c>
      <c r="I48" s="10" t="s">
        <v>68</v>
      </c>
      <c r="J48" s="13" t="n">
        <v>211.96</v>
      </c>
      <c r="K48" s="10" t="n">
        <v>4</v>
      </c>
      <c r="L48" s="14" t="n">
        <v>0</v>
      </c>
      <c r="M48" s="15" t="n">
        <v>8.4784</v>
      </c>
      <c r="N48" s="10" t="str">
        <f aca="false">IF(M48&lt;0,"Loss",IF(M48&lt;50,"Low Profit",IF(M48&lt;200,"Medium Profit","High Profit")))</f>
        <v>Low Profit</v>
      </c>
      <c r="O48" s="10" t="str">
        <f aca="false">IF(J48&gt;=500,"High Value","Standard")</f>
        <v>Standard</v>
      </c>
      <c r="P48" s="10" t="str">
        <f aca="false">H48&amp;" &gt; "&amp;I48&amp;" ("&amp;K48&amp;" units)"</f>
        <v>Office Supplies &gt; Storage (4 units)</v>
      </c>
      <c r="Q48" s="10" t="str">
        <f aca="false">VLOOKUP(G48,Region_Manager_Table,2,FALSE())</f>
        <v>Aditya Rao</v>
      </c>
      <c r="R48" s="10" t="n">
        <f aca="false">INDEX(SLA_Days_Col,MATCH(A48,ShipMode_Col,0))</f>
        <v>4</v>
      </c>
    </row>
    <row r="49" customFormat="false" ht="15" hidden="false" customHeight="false" outlineLevel="0" collapsed="false">
      <c r="A49" s="16" t="s">
        <v>64</v>
      </c>
      <c r="B49" s="16" t="s">
        <v>50</v>
      </c>
      <c r="C49" s="16" t="s">
        <v>51</v>
      </c>
      <c r="D49" s="16" t="s">
        <v>107</v>
      </c>
      <c r="E49" s="16" t="s">
        <v>108</v>
      </c>
      <c r="F49" s="16" t="n">
        <v>19901</v>
      </c>
      <c r="G49" s="16" t="s">
        <v>93</v>
      </c>
      <c r="H49" s="16" t="s">
        <v>71</v>
      </c>
      <c r="I49" s="16" t="s">
        <v>95</v>
      </c>
      <c r="J49" s="17" t="n">
        <v>45</v>
      </c>
      <c r="K49" s="16" t="n">
        <v>3</v>
      </c>
      <c r="L49" s="18" t="n">
        <v>0</v>
      </c>
      <c r="M49" s="19" t="n">
        <v>4.95</v>
      </c>
      <c r="N49" s="16" t="str">
        <f aca="false">IF(M49&lt;0,"Loss",IF(M49&lt;50,"Low Profit",IF(M49&lt;200,"Medium Profit","High Profit")))</f>
        <v>Low Profit</v>
      </c>
      <c r="O49" s="16" t="str">
        <f aca="false">IF(J49&gt;=500,"High Value","Standard")</f>
        <v>Standard</v>
      </c>
      <c r="P49" s="16" t="str">
        <f aca="false">H49&amp;" &gt; "&amp;I49&amp;" ("&amp;K49&amp;" units)"</f>
        <v>Technology &gt; Accessories (3 units)</v>
      </c>
      <c r="Q49" s="16" t="str">
        <f aca="false">VLOOKUP(G49,Region_Manager_Table,2,FALSE())</f>
        <v>Priya Menon</v>
      </c>
      <c r="R49" s="16" t="n">
        <f aca="false">INDEX(SLA_Days_Col,MATCH(A49,ShipMode_Col,0))</f>
        <v>6</v>
      </c>
    </row>
    <row r="50" customFormat="false" ht="15" hidden="false" customHeight="false" outlineLevel="0" collapsed="false">
      <c r="A50" s="10" t="s">
        <v>64</v>
      </c>
      <c r="B50" s="10" t="s">
        <v>50</v>
      </c>
      <c r="C50" s="10" t="s">
        <v>51</v>
      </c>
      <c r="D50" s="10" t="s">
        <v>107</v>
      </c>
      <c r="E50" s="10" t="s">
        <v>108</v>
      </c>
      <c r="F50" s="10" t="n">
        <v>19901</v>
      </c>
      <c r="G50" s="10" t="s">
        <v>93</v>
      </c>
      <c r="H50" s="10" t="s">
        <v>71</v>
      </c>
      <c r="I50" s="10" t="s">
        <v>72</v>
      </c>
      <c r="J50" s="13" t="n">
        <v>21.8</v>
      </c>
      <c r="K50" s="10" t="n">
        <v>2</v>
      </c>
      <c r="L50" s="14" t="n">
        <v>0</v>
      </c>
      <c r="M50" s="15" t="n">
        <v>6.104</v>
      </c>
      <c r="N50" s="10" t="str">
        <f aca="false">IF(M50&lt;0,"Loss",IF(M50&lt;50,"Low Profit",IF(M50&lt;200,"Medium Profit","High Profit")))</f>
        <v>Low Profit</v>
      </c>
      <c r="O50" s="10" t="str">
        <f aca="false">IF(J50&gt;=500,"High Value","Standard")</f>
        <v>Standard</v>
      </c>
      <c r="P50" s="10" t="str">
        <f aca="false">H50&amp;" &gt; "&amp;I50&amp;" ("&amp;K50&amp;" units)"</f>
        <v>Technology &gt; Phones (2 units)</v>
      </c>
      <c r="Q50" s="10" t="str">
        <f aca="false">VLOOKUP(G50,Region_Manager_Table,2,FALSE())</f>
        <v>Priya Menon</v>
      </c>
      <c r="R50" s="10" t="n">
        <f aca="false">INDEX(SLA_Days_Col,MATCH(A50,ShipMode_Col,0))</f>
        <v>6</v>
      </c>
    </row>
    <row r="51" customFormat="false" ht="15" hidden="false" customHeight="false" outlineLevel="0" collapsed="false">
      <c r="A51" s="16" t="s">
        <v>64</v>
      </c>
      <c r="B51" s="16" t="s">
        <v>50</v>
      </c>
      <c r="C51" s="16" t="s">
        <v>51</v>
      </c>
      <c r="D51" s="16" t="s">
        <v>109</v>
      </c>
      <c r="E51" s="16" t="s">
        <v>110</v>
      </c>
      <c r="F51" s="16" t="n">
        <v>47150</v>
      </c>
      <c r="G51" s="16" t="s">
        <v>83</v>
      </c>
      <c r="H51" s="16" t="s">
        <v>62</v>
      </c>
      <c r="I51" s="16" t="s">
        <v>73</v>
      </c>
      <c r="J51" s="17" t="n">
        <v>38.22</v>
      </c>
      <c r="K51" s="16" t="n">
        <v>6</v>
      </c>
      <c r="L51" s="18" t="n">
        <v>0</v>
      </c>
      <c r="M51" s="19" t="n">
        <v>17.9634</v>
      </c>
      <c r="N51" s="16" t="str">
        <f aca="false">IF(M51&lt;0,"Loss",IF(M51&lt;50,"Low Profit",IF(M51&lt;200,"Medium Profit","High Profit")))</f>
        <v>Low Profit</v>
      </c>
      <c r="O51" s="16" t="str">
        <f aca="false">IF(J51&gt;=500,"High Value","Standard")</f>
        <v>Standard</v>
      </c>
      <c r="P51" s="16" t="str">
        <f aca="false">H51&amp;" &gt; "&amp;I51&amp;" ("&amp;K51&amp;" units)"</f>
        <v>Office Supplies &gt; Binders (6 units)</v>
      </c>
      <c r="Q51" s="16" t="str">
        <f aca="false">VLOOKUP(G51,Region_Manager_Table,2,FALSE())</f>
        <v>Aditya Rao</v>
      </c>
      <c r="R51" s="16" t="n">
        <f aca="false">INDEX(SLA_Days_Col,MATCH(A51,ShipMode_Col,0))</f>
        <v>6</v>
      </c>
    </row>
    <row r="52" customFormat="false" ht="15" hidden="false" customHeight="false" outlineLevel="0" collapsed="false">
      <c r="A52" s="10" t="s">
        <v>64</v>
      </c>
      <c r="B52" s="10" t="s">
        <v>50</v>
      </c>
      <c r="C52" s="10" t="s">
        <v>51</v>
      </c>
      <c r="D52" s="10" t="s">
        <v>109</v>
      </c>
      <c r="E52" s="10" t="s">
        <v>110</v>
      </c>
      <c r="F52" s="10" t="n">
        <v>47150</v>
      </c>
      <c r="G52" s="10" t="s">
        <v>83</v>
      </c>
      <c r="H52" s="10" t="s">
        <v>62</v>
      </c>
      <c r="I52" s="10" t="s">
        <v>63</v>
      </c>
      <c r="J52" s="13" t="n">
        <v>75.18</v>
      </c>
      <c r="K52" s="10" t="n">
        <v>6</v>
      </c>
      <c r="L52" s="14" t="n">
        <v>0</v>
      </c>
      <c r="M52" s="15" t="n">
        <v>35.3346</v>
      </c>
      <c r="N52" s="10" t="str">
        <f aca="false">IF(M52&lt;0,"Loss",IF(M52&lt;50,"Low Profit",IF(M52&lt;200,"Medium Profit","High Profit")))</f>
        <v>Low Profit</v>
      </c>
      <c r="O52" s="10" t="str">
        <f aca="false">IF(J52&gt;=500,"High Value","Standard")</f>
        <v>Standard</v>
      </c>
      <c r="P52" s="10" t="str">
        <f aca="false">H52&amp;" &gt; "&amp;I52&amp;" ("&amp;K52&amp;" units)"</f>
        <v>Office Supplies &gt; Labels (6 units)</v>
      </c>
      <c r="Q52" s="10" t="str">
        <f aca="false">VLOOKUP(G52,Region_Manager_Table,2,FALSE())</f>
        <v>Aditya Rao</v>
      </c>
      <c r="R52" s="10" t="n">
        <f aca="false">INDEX(SLA_Days_Col,MATCH(A52,ShipMode_Col,0))</f>
        <v>6</v>
      </c>
    </row>
    <row r="53" customFormat="false" ht="15" hidden="false" customHeight="false" outlineLevel="0" collapsed="false">
      <c r="A53" s="16" t="s">
        <v>64</v>
      </c>
      <c r="B53" s="16" t="s">
        <v>50</v>
      </c>
      <c r="C53" s="16" t="s">
        <v>51</v>
      </c>
      <c r="D53" s="16" t="s">
        <v>109</v>
      </c>
      <c r="E53" s="16" t="s">
        <v>110</v>
      </c>
      <c r="F53" s="16" t="n">
        <v>47150</v>
      </c>
      <c r="G53" s="16" t="s">
        <v>83</v>
      </c>
      <c r="H53" s="16" t="s">
        <v>55</v>
      </c>
      <c r="I53" s="16" t="s">
        <v>69</v>
      </c>
      <c r="J53" s="17" t="n">
        <v>6.16</v>
      </c>
      <c r="K53" s="16" t="n">
        <v>2</v>
      </c>
      <c r="L53" s="18" t="n">
        <v>0</v>
      </c>
      <c r="M53" s="19" t="n">
        <v>2.9568</v>
      </c>
      <c r="N53" s="16" t="str">
        <f aca="false">IF(M53&lt;0,"Loss",IF(M53&lt;50,"Low Profit",IF(M53&lt;200,"Medium Profit","High Profit")))</f>
        <v>Low Profit</v>
      </c>
      <c r="O53" s="16" t="str">
        <f aca="false">IF(J53&gt;=500,"High Value","Standard")</f>
        <v>Standard</v>
      </c>
      <c r="P53" s="16" t="str">
        <f aca="false">H53&amp;" &gt; "&amp;I53&amp;" ("&amp;K53&amp;" units)"</f>
        <v>Furniture &gt; Furnishings (2 units)</v>
      </c>
      <c r="Q53" s="16" t="str">
        <f aca="false">VLOOKUP(G53,Region_Manager_Table,2,FALSE())</f>
        <v>Aditya Rao</v>
      </c>
      <c r="R53" s="16" t="n">
        <f aca="false">INDEX(SLA_Days_Col,MATCH(A53,ShipMode_Col,0))</f>
        <v>6</v>
      </c>
    </row>
    <row r="54" customFormat="false" ht="15" hidden="false" customHeight="false" outlineLevel="0" collapsed="false">
      <c r="A54" s="10" t="s">
        <v>64</v>
      </c>
      <c r="B54" s="10" t="s">
        <v>50</v>
      </c>
      <c r="C54" s="10" t="s">
        <v>51</v>
      </c>
      <c r="D54" s="10" t="s">
        <v>109</v>
      </c>
      <c r="E54" s="10" t="s">
        <v>110</v>
      </c>
      <c r="F54" s="10" t="n">
        <v>47150</v>
      </c>
      <c r="G54" s="10" t="s">
        <v>83</v>
      </c>
      <c r="H54" s="10" t="s">
        <v>55</v>
      </c>
      <c r="I54" s="10" t="s">
        <v>57</v>
      </c>
      <c r="J54" s="13" t="n">
        <v>89.99</v>
      </c>
      <c r="K54" s="10" t="n">
        <v>1</v>
      </c>
      <c r="L54" s="14" t="n">
        <v>0</v>
      </c>
      <c r="M54" s="15" t="n">
        <v>17.0981</v>
      </c>
      <c r="N54" s="10" t="str">
        <f aca="false">IF(M54&lt;0,"Loss",IF(M54&lt;50,"Low Profit",IF(M54&lt;200,"Medium Profit","High Profit")))</f>
        <v>Low Profit</v>
      </c>
      <c r="O54" s="10" t="str">
        <f aca="false">IF(J54&gt;=500,"High Value","Standard")</f>
        <v>Standard</v>
      </c>
      <c r="P54" s="10" t="str">
        <f aca="false">H54&amp;" &gt; "&amp;I54&amp;" ("&amp;K54&amp;" units)"</f>
        <v>Furniture &gt; Chairs (1 units)</v>
      </c>
      <c r="Q54" s="10" t="str">
        <f aca="false">VLOOKUP(G54,Region_Manager_Table,2,FALSE())</f>
        <v>Aditya Rao</v>
      </c>
      <c r="R54" s="10" t="n">
        <f aca="false">INDEX(SLA_Days_Col,MATCH(A54,ShipMode_Col,0))</f>
        <v>6</v>
      </c>
    </row>
    <row r="55" customFormat="false" ht="15" hidden="false" customHeight="false" outlineLevel="0" collapsed="false">
      <c r="A55" s="16" t="s">
        <v>64</v>
      </c>
      <c r="B55" s="16" t="s">
        <v>58</v>
      </c>
      <c r="C55" s="16" t="s">
        <v>51</v>
      </c>
      <c r="D55" s="16" t="s">
        <v>111</v>
      </c>
      <c r="E55" s="16" t="s">
        <v>112</v>
      </c>
      <c r="F55" s="16" t="n">
        <v>10024</v>
      </c>
      <c r="G55" s="16" t="s">
        <v>93</v>
      </c>
      <c r="H55" s="16" t="s">
        <v>62</v>
      </c>
      <c r="I55" s="16" t="s">
        <v>113</v>
      </c>
      <c r="J55" s="17" t="n">
        <v>15.26</v>
      </c>
      <c r="K55" s="16" t="n">
        <v>7</v>
      </c>
      <c r="L55" s="18" t="n">
        <v>0</v>
      </c>
      <c r="M55" s="19" t="n">
        <v>6.2566</v>
      </c>
      <c r="N55" s="16" t="str">
        <f aca="false">IF(M55&lt;0,"Loss",IF(M55&lt;50,"Low Profit",IF(M55&lt;200,"Medium Profit","High Profit")))</f>
        <v>Low Profit</v>
      </c>
      <c r="O55" s="16" t="str">
        <f aca="false">IF(J55&gt;=500,"High Value","Standard")</f>
        <v>Standard</v>
      </c>
      <c r="P55" s="16" t="str">
        <f aca="false">H55&amp;" &gt; "&amp;I55&amp;" ("&amp;K55&amp;" units)"</f>
        <v>Office Supplies &gt; Fasteners (7 units)</v>
      </c>
      <c r="Q55" s="16" t="str">
        <f aca="false">VLOOKUP(G55,Region_Manager_Table,2,FALSE())</f>
        <v>Priya Menon</v>
      </c>
      <c r="R55" s="16" t="n">
        <f aca="false">INDEX(SLA_Days_Col,MATCH(A55,ShipMode_Col,0))</f>
        <v>6</v>
      </c>
    </row>
    <row r="56" customFormat="false" ht="15" hidden="false" customHeight="false" outlineLevel="0" collapsed="false">
      <c r="A56" s="10" t="s">
        <v>64</v>
      </c>
      <c r="B56" s="10" t="s">
        <v>58</v>
      </c>
      <c r="C56" s="10" t="s">
        <v>51</v>
      </c>
      <c r="D56" s="10" t="s">
        <v>111</v>
      </c>
      <c r="E56" s="10" t="s">
        <v>112</v>
      </c>
      <c r="F56" s="10" t="n">
        <v>10024</v>
      </c>
      <c r="G56" s="10" t="s">
        <v>93</v>
      </c>
      <c r="H56" s="10" t="s">
        <v>71</v>
      </c>
      <c r="I56" s="10" t="s">
        <v>72</v>
      </c>
      <c r="J56" s="13" t="n">
        <v>1029.95</v>
      </c>
      <c r="K56" s="10" t="n">
        <v>5</v>
      </c>
      <c r="L56" s="14" t="n">
        <v>0</v>
      </c>
      <c r="M56" s="15" t="n">
        <v>298.6855</v>
      </c>
      <c r="N56" s="10" t="str">
        <f aca="false">IF(M56&lt;0,"Loss",IF(M56&lt;50,"Low Profit",IF(M56&lt;200,"Medium Profit","High Profit")))</f>
        <v>High Profit</v>
      </c>
      <c r="O56" s="10" t="str">
        <f aca="false">IF(J56&gt;=500,"High Value","Standard")</f>
        <v>High Value</v>
      </c>
      <c r="P56" s="10" t="str">
        <f aca="false">H56&amp;" &gt; "&amp;I56&amp;" ("&amp;K56&amp;" units)"</f>
        <v>Technology &gt; Phones (5 units)</v>
      </c>
      <c r="Q56" s="10" t="str">
        <f aca="false">VLOOKUP(G56,Region_Manager_Table,2,FALSE())</f>
        <v>Priya Menon</v>
      </c>
      <c r="R56" s="10" t="n">
        <f aca="false">INDEX(SLA_Days_Col,MATCH(A56,ShipMode_Col,0))</f>
        <v>6</v>
      </c>
    </row>
    <row r="57" customFormat="false" ht="15" hidden="false" customHeight="false" outlineLevel="0" collapsed="false">
      <c r="A57" s="16" t="s">
        <v>98</v>
      </c>
      <c r="B57" s="16" t="s">
        <v>50</v>
      </c>
      <c r="C57" s="16" t="s">
        <v>51</v>
      </c>
      <c r="D57" s="16" t="s">
        <v>114</v>
      </c>
      <c r="E57" s="16" t="s">
        <v>112</v>
      </c>
      <c r="F57" s="16" t="n">
        <v>12180</v>
      </c>
      <c r="G57" s="16" t="s">
        <v>93</v>
      </c>
      <c r="H57" s="16" t="s">
        <v>62</v>
      </c>
      <c r="I57" s="16" t="s">
        <v>68</v>
      </c>
      <c r="J57" s="17" t="n">
        <v>208.56</v>
      </c>
      <c r="K57" s="16" t="n">
        <v>6</v>
      </c>
      <c r="L57" s="18" t="n">
        <v>0</v>
      </c>
      <c r="M57" s="19" t="n">
        <v>52.14</v>
      </c>
      <c r="N57" s="16" t="str">
        <f aca="false">IF(M57&lt;0,"Loss",IF(M57&lt;50,"Low Profit",IF(M57&lt;200,"Medium Profit","High Profit")))</f>
        <v>Medium Profit</v>
      </c>
      <c r="O57" s="16" t="str">
        <f aca="false">IF(J57&gt;=500,"High Value","Standard")</f>
        <v>Standard</v>
      </c>
      <c r="P57" s="16" t="str">
        <f aca="false">H57&amp;" &gt; "&amp;I57&amp;" ("&amp;K57&amp;" units)"</f>
        <v>Office Supplies &gt; Storage (6 units)</v>
      </c>
      <c r="Q57" s="16" t="str">
        <f aca="false">VLOOKUP(G57,Region_Manager_Table,2,FALSE())</f>
        <v>Priya Menon</v>
      </c>
      <c r="R57" s="16" t="n">
        <f aca="false">INDEX(SLA_Days_Col,MATCH(A57,ShipMode_Col,0))</f>
        <v>2</v>
      </c>
    </row>
    <row r="58" customFormat="false" ht="15" hidden="false" customHeight="false" outlineLevel="0" collapsed="false">
      <c r="A58" s="10" t="s">
        <v>98</v>
      </c>
      <c r="B58" s="10" t="s">
        <v>50</v>
      </c>
      <c r="C58" s="10" t="s">
        <v>51</v>
      </c>
      <c r="D58" s="10" t="s">
        <v>114</v>
      </c>
      <c r="E58" s="10" t="s">
        <v>112</v>
      </c>
      <c r="F58" s="10" t="n">
        <v>12180</v>
      </c>
      <c r="G58" s="10" t="s">
        <v>93</v>
      </c>
      <c r="H58" s="10" t="s">
        <v>62</v>
      </c>
      <c r="I58" s="10" t="s">
        <v>77</v>
      </c>
      <c r="J58" s="13" t="n">
        <v>32.4</v>
      </c>
      <c r="K58" s="10" t="n">
        <v>5</v>
      </c>
      <c r="L58" s="14" t="n">
        <v>0</v>
      </c>
      <c r="M58" s="15" t="n">
        <v>15.552</v>
      </c>
      <c r="N58" s="10" t="str">
        <f aca="false">IF(M58&lt;0,"Loss",IF(M58&lt;50,"Low Profit",IF(M58&lt;200,"Medium Profit","High Profit")))</f>
        <v>Low Profit</v>
      </c>
      <c r="O58" s="10" t="str">
        <f aca="false">IF(J58&gt;=500,"High Value","Standard")</f>
        <v>Standard</v>
      </c>
      <c r="P58" s="10" t="str">
        <f aca="false">H58&amp;" &gt; "&amp;I58&amp;" ("&amp;K58&amp;" units)"</f>
        <v>Office Supplies &gt; Paper (5 units)</v>
      </c>
      <c r="Q58" s="10" t="str">
        <f aca="false">VLOOKUP(G58,Region_Manager_Table,2,FALSE())</f>
        <v>Priya Menon</v>
      </c>
      <c r="R58" s="10" t="n">
        <f aca="false">INDEX(SLA_Days_Col,MATCH(A58,ShipMode_Col,0))</f>
        <v>2</v>
      </c>
    </row>
    <row r="59" customFormat="false" ht="15" hidden="false" customHeight="false" outlineLevel="0" collapsed="false">
      <c r="A59" s="16" t="s">
        <v>98</v>
      </c>
      <c r="B59" s="16" t="s">
        <v>50</v>
      </c>
      <c r="C59" s="16" t="s">
        <v>51</v>
      </c>
      <c r="D59" s="16" t="s">
        <v>114</v>
      </c>
      <c r="E59" s="16" t="s">
        <v>112</v>
      </c>
      <c r="F59" s="16" t="n">
        <v>12180</v>
      </c>
      <c r="G59" s="16" t="s">
        <v>93</v>
      </c>
      <c r="H59" s="16" t="s">
        <v>55</v>
      </c>
      <c r="I59" s="16" t="s">
        <v>57</v>
      </c>
      <c r="J59" s="17" t="n">
        <v>319.41</v>
      </c>
      <c r="K59" s="16" t="n">
        <v>5</v>
      </c>
      <c r="L59" s="18" t="n">
        <v>0.1</v>
      </c>
      <c r="M59" s="19" t="n">
        <v>7.098</v>
      </c>
      <c r="N59" s="16" t="str">
        <f aca="false">IF(M59&lt;0,"Loss",IF(M59&lt;50,"Low Profit",IF(M59&lt;200,"Medium Profit","High Profit")))</f>
        <v>Low Profit</v>
      </c>
      <c r="O59" s="16" t="str">
        <f aca="false">IF(J59&gt;=500,"High Value","Standard")</f>
        <v>Standard</v>
      </c>
      <c r="P59" s="16" t="str">
        <f aca="false">H59&amp;" &gt; "&amp;I59&amp;" ("&amp;K59&amp;" units)"</f>
        <v>Furniture &gt; Chairs (5 units)</v>
      </c>
      <c r="Q59" s="16" t="str">
        <f aca="false">VLOOKUP(G59,Region_Manager_Table,2,FALSE())</f>
        <v>Priya Menon</v>
      </c>
      <c r="R59" s="16" t="n">
        <f aca="false">INDEX(SLA_Days_Col,MATCH(A59,ShipMode_Col,0))</f>
        <v>2</v>
      </c>
    </row>
    <row r="60" customFormat="false" ht="15" hidden="false" customHeight="false" outlineLevel="0" collapsed="false">
      <c r="A60" s="10" t="s">
        <v>98</v>
      </c>
      <c r="B60" s="10" t="s">
        <v>50</v>
      </c>
      <c r="C60" s="10" t="s">
        <v>51</v>
      </c>
      <c r="D60" s="10" t="s">
        <v>114</v>
      </c>
      <c r="E60" s="10" t="s">
        <v>112</v>
      </c>
      <c r="F60" s="10" t="n">
        <v>12180</v>
      </c>
      <c r="G60" s="10" t="s">
        <v>93</v>
      </c>
      <c r="H60" s="10" t="s">
        <v>62</v>
      </c>
      <c r="I60" s="10" t="s">
        <v>77</v>
      </c>
      <c r="J60" s="13" t="n">
        <v>14.56</v>
      </c>
      <c r="K60" s="10" t="n">
        <v>2</v>
      </c>
      <c r="L60" s="14" t="n">
        <v>0</v>
      </c>
      <c r="M60" s="15" t="n">
        <v>6.9888</v>
      </c>
      <c r="N60" s="10" t="str">
        <f aca="false">IF(M60&lt;0,"Loss",IF(M60&lt;50,"Low Profit",IF(M60&lt;200,"Medium Profit","High Profit")))</f>
        <v>Low Profit</v>
      </c>
      <c r="O60" s="10" t="str">
        <f aca="false">IF(J60&gt;=500,"High Value","Standard")</f>
        <v>Standard</v>
      </c>
      <c r="P60" s="10" t="str">
        <f aca="false">H60&amp;" &gt; "&amp;I60&amp;" ("&amp;K60&amp;" units)"</f>
        <v>Office Supplies &gt; Paper (2 units)</v>
      </c>
      <c r="Q60" s="10" t="str">
        <f aca="false">VLOOKUP(G60,Region_Manager_Table,2,FALSE())</f>
        <v>Priya Menon</v>
      </c>
      <c r="R60" s="10" t="n">
        <f aca="false">INDEX(SLA_Days_Col,MATCH(A60,ShipMode_Col,0))</f>
        <v>2</v>
      </c>
    </row>
    <row r="61" customFormat="false" ht="15" hidden="false" customHeight="false" outlineLevel="0" collapsed="false">
      <c r="A61" s="16" t="s">
        <v>98</v>
      </c>
      <c r="B61" s="16" t="s">
        <v>50</v>
      </c>
      <c r="C61" s="16" t="s">
        <v>51</v>
      </c>
      <c r="D61" s="16" t="s">
        <v>114</v>
      </c>
      <c r="E61" s="16" t="s">
        <v>112</v>
      </c>
      <c r="F61" s="16" t="n">
        <v>12180</v>
      </c>
      <c r="G61" s="16" t="s">
        <v>93</v>
      </c>
      <c r="H61" s="16" t="s">
        <v>71</v>
      </c>
      <c r="I61" s="16" t="s">
        <v>95</v>
      </c>
      <c r="J61" s="17" t="n">
        <v>30</v>
      </c>
      <c r="K61" s="16" t="n">
        <v>2</v>
      </c>
      <c r="L61" s="18" t="n">
        <v>0</v>
      </c>
      <c r="M61" s="19" t="n">
        <v>3.3</v>
      </c>
      <c r="N61" s="16" t="str">
        <f aca="false">IF(M61&lt;0,"Loss",IF(M61&lt;50,"Low Profit",IF(M61&lt;200,"Medium Profit","High Profit")))</f>
        <v>Low Profit</v>
      </c>
      <c r="O61" s="16" t="str">
        <f aca="false">IF(J61&gt;=500,"High Value","Standard")</f>
        <v>Standard</v>
      </c>
      <c r="P61" s="16" t="str">
        <f aca="false">H61&amp;" &gt; "&amp;I61&amp;" ("&amp;K61&amp;" units)"</f>
        <v>Technology &gt; Accessories (2 units)</v>
      </c>
      <c r="Q61" s="16" t="str">
        <f aca="false">VLOOKUP(G61,Region_Manager_Table,2,FALSE())</f>
        <v>Priya Menon</v>
      </c>
      <c r="R61" s="16" t="n">
        <f aca="false">INDEX(SLA_Days_Col,MATCH(A61,ShipMode_Col,0))</f>
        <v>2</v>
      </c>
    </row>
    <row r="62" customFormat="false" ht="15" hidden="false" customHeight="false" outlineLevel="0" collapsed="false">
      <c r="A62" s="10" t="s">
        <v>98</v>
      </c>
      <c r="B62" s="10" t="s">
        <v>50</v>
      </c>
      <c r="C62" s="10" t="s">
        <v>51</v>
      </c>
      <c r="D62" s="10" t="s">
        <v>114</v>
      </c>
      <c r="E62" s="10" t="s">
        <v>112</v>
      </c>
      <c r="F62" s="10" t="n">
        <v>12180</v>
      </c>
      <c r="G62" s="10" t="s">
        <v>93</v>
      </c>
      <c r="H62" s="10" t="s">
        <v>62</v>
      </c>
      <c r="I62" s="10" t="s">
        <v>73</v>
      </c>
      <c r="J62" s="13" t="n">
        <v>48.48</v>
      </c>
      <c r="K62" s="10" t="n">
        <v>4</v>
      </c>
      <c r="L62" s="14" t="n">
        <v>0.2</v>
      </c>
      <c r="M62" s="15" t="n">
        <v>16.362</v>
      </c>
      <c r="N62" s="10" t="str">
        <f aca="false">IF(M62&lt;0,"Loss",IF(M62&lt;50,"Low Profit",IF(M62&lt;200,"Medium Profit","High Profit")))</f>
        <v>Low Profit</v>
      </c>
      <c r="O62" s="10" t="str">
        <f aca="false">IF(J62&gt;=500,"High Value","Standard")</f>
        <v>Standard</v>
      </c>
      <c r="P62" s="10" t="str">
        <f aca="false">H62&amp;" &gt; "&amp;I62&amp;" ("&amp;K62&amp;" units)"</f>
        <v>Office Supplies &gt; Binders (4 units)</v>
      </c>
      <c r="Q62" s="10" t="str">
        <f aca="false">VLOOKUP(G62,Region_Manager_Table,2,FALSE())</f>
        <v>Priya Menon</v>
      </c>
      <c r="R62" s="10" t="n">
        <f aca="false">INDEX(SLA_Days_Col,MATCH(A62,ShipMode_Col,0))</f>
        <v>2</v>
      </c>
    </row>
    <row r="63" customFormat="false" ht="15" hidden="false" customHeight="false" outlineLevel="0" collapsed="false">
      <c r="A63" s="16" t="s">
        <v>98</v>
      </c>
      <c r="B63" s="16" t="s">
        <v>50</v>
      </c>
      <c r="C63" s="16" t="s">
        <v>51</v>
      </c>
      <c r="D63" s="16" t="s">
        <v>114</v>
      </c>
      <c r="E63" s="16" t="s">
        <v>112</v>
      </c>
      <c r="F63" s="16" t="n">
        <v>12180</v>
      </c>
      <c r="G63" s="16" t="s">
        <v>93</v>
      </c>
      <c r="H63" s="16" t="s">
        <v>62</v>
      </c>
      <c r="I63" s="16" t="s">
        <v>70</v>
      </c>
      <c r="J63" s="17" t="n">
        <v>1.68</v>
      </c>
      <c r="K63" s="16" t="n">
        <v>1</v>
      </c>
      <c r="L63" s="18" t="n">
        <v>0</v>
      </c>
      <c r="M63" s="19" t="n">
        <v>0.84</v>
      </c>
      <c r="N63" s="16" t="str">
        <f aca="false">IF(M63&lt;0,"Loss",IF(M63&lt;50,"Low Profit",IF(M63&lt;200,"Medium Profit","High Profit")))</f>
        <v>Low Profit</v>
      </c>
      <c r="O63" s="16" t="str">
        <f aca="false">IF(J63&gt;=500,"High Value","Standard")</f>
        <v>Standard</v>
      </c>
      <c r="P63" s="16" t="str">
        <f aca="false">H63&amp;" &gt; "&amp;I63&amp;" ("&amp;K63&amp;" units)"</f>
        <v>Office Supplies &gt; Art (1 units)</v>
      </c>
      <c r="Q63" s="16" t="str">
        <f aca="false">VLOOKUP(G63,Region_Manager_Table,2,FALSE())</f>
        <v>Priya Menon</v>
      </c>
      <c r="R63" s="16" t="n">
        <f aca="false">INDEX(SLA_Days_Col,MATCH(A63,ShipMode_Col,0))</f>
        <v>2</v>
      </c>
    </row>
    <row r="64" customFormat="false" ht="15" hidden="false" customHeight="false" outlineLevel="0" collapsed="false">
      <c r="A64" s="10" t="s">
        <v>64</v>
      </c>
      <c r="B64" s="10" t="s">
        <v>50</v>
      </c>
      <c r="C64" s="10" t="s">
        <v>51</v>
      </c>
      <c r="D64" s="10" t="s">
        <v>59</v>
      </c>
      <c r="E64" s="10" t="s">
        <v>60</v>
      </c>
      <c r="F64" s="10" t="n">
        <v>90004</v>
      </c>
      <c r="G64" s="10" t="s">
        <v>61</v>
      </c>
      <c r="H64" s="10" t="s">
        <v>71</v>
      </c>
      <c r="I64" s="10" t="s">
        <v>95</v>
      </c>
      <c r="J64" s="13" t="n">
        <v>13.98</v>
      </c>
      <c r="K64" s="10" t="n">
        <v>2</v>
      </c>
      <c r="L64" s="14" t="n">
        <v>0</v>
      </c>
      <c r="M64" s="15" t="n">
        <v>6.1512</v>
      </c>
      <c r="N64" s="10" t="str">
        <f aca="false">IF(M64&lt;0,"Loss",IF(M64&lt;50,"Low Profit",IF(M64&lt;200,"Medium Profit","High Profit")))</f>
        <v>Low Profit</v>
      </c>
      <c r="O64" s="10" t="str">
        <f aca="false">IF(J64&gt;=500,"High Value","Standard")</f>
        <v>Standard</v>
      </c>
      <c r="P64" s="10" t="str">
        <f aca="false">H64&amp;" &gt; "&amp;I64&amp;" ("&amp;K64&amp;" units)"</f>
        <v>Technology &gt; Accessories (2 units)</v>
      </c>
      <c r="Q64" s="10" t="str">
        <f aca="false">VLOOKUP(G64,Region_Manager_Table,2,FALSE())</f>
        <v>Sana Sheikh</v>
      </c>
      <c r="R64" s="10" t="n">
        <f aca="false">INDEX(SLA_Days_Col,MATCH(A64,ShipMode_Col,0))</f>
        <v>6</v>
      </c>
    </row>
    <row r="65" customFormat="false" ht="15" hidden="false" customHeight="false" outlineLevel="0" collapsed="false">
      <c r="A65" s="16" t="s">
        <v>64</v>
      </c>
      <c r="B65" s="16" t="s">
        <v>50</v>
      </c>
      <c r="C65" s="16" t="s">
        <v>51</v>
      </c>
      <c r="D65" s="16" t="s">
        <v>59</v>
      </c>
      <c r="E65" s="16" t="s">
        <v>60</v>
      </c>
      <c r="F65" s="16" t="n">
        <v>90004</v>
      </c>
      <c r="G65" s="16" t="s">
        <v>61</v>
      </c>
      <c r="H65" s="16" t="s">
        <v>62</v>
      </c>
      <c r="I65" s="16" t="s">
        <v>73</v>
      </c>
      <c r="J65" s="17" t="n">
        <v>25.824</v>
      </c>
      <c r="K65" s="16" t="n">
        <v>6</v>
      </c>
      <c r="L65" s="18" t="n">
        <v>0.2</v>
      </c>
      <c r="M65" s="19" t="n">
        <v>9.3612</v>
      </c>
      <c r="N65" s="16" t="str">
        <f aca="false">IF(M65&lt;0,"Loss",IF(M65&lt;50,"Low Profit",IF(M65&lt;200,"Medium Profit","High Profit")))</f>
        <v>Low Profit</v>
      </c>
      <c r="O65" s="16" t="str">
        <f aca="false">IF(J65&gt;=500,"High Value","Standard")</f>
        <v>Standard</v>
      </c>
      <c r="P65" s="16" t="str">
        <f aca="false">H65&amp;" &gt; "&amp;I65&amp;" ("&amp;K65&amp;" units)"</f>
        <v>Office Supplies &gt; Binders (6 units)</v>
      </c>
      <c r="Q65" s="16" t="str">
        <f aca="false">VLOOKUP(G65,Region_Manager_Table,2,FALSE())</f>
        <v>Sana Sheikh</v>
      </c>
      <c r="R65" s="16" t="n">
        <f aca="false">INDEX(SLA_Days_Col,MATCH(A65,ShipMode_Col,0))</f>
        <v>6</v>
      </c>
    </row>
    <row r="66" customFormat="false" ht="15" hidden="false" customHeight="false" outlineLevel="0" collapsed="false">
      <c r="A66" s="10" t="s">
        <v>64</v>
      </c>
      <c r="B66" s="10" t="s">
        <v>50</v>
      </c>
      <c r="C66" s="10" t="s">
        <v>51</v>
      </c>
      <c r="D66" s="10" t="s">
        <v>59</v>
      </c>
      <c r="E66" s="10" t="s">
        <v>60</v>
      </c>
      <c r="F66" s="10" t="n">
        <v>90004</v>
      </c>
      <c r="G66" s="10" t="s">
        <v>61</v>
      </c>
      <c r="H66" s="10" t="s">
        <v>62</v>
      </c>
      <c r="I66" s="10" t="s">
        <v>77</v>
      </c>
      <c r="J66" s="13" t="n">
        <v>146.73</v>
      </c>
      <c r="K66" s="10" t="n">
        <v>3</v>
      </c>
      <c r="L66" s="14" t="n">
        <v>0</v>
      </c>
      <c r="M66" s="15" t="n">
        <v>68.9631</v>
      </c>
      <c r="N66" s="10" t="str">
        <f aca="false">IF(M66&lt;0,"Loss",IF(M66&lt;50,"Low Profit",IF(M66&lt;200,"Medium Profit","High Profit")))</f>
        <v>Medium Profit</v>
      </c>
      <c r="O66" s="10" t="str">
        <f aca="false">IF(J66&gt;=500,"High Value","Standard")</f>
        <v>Standard</v>
      </c>
      <c r="P66" s="10" t="str">
        <f aca="false">H66&amp;" &gt; "&amp;I66&amp;" ("&amp;K66&amp;" units)"</f>
        <v>Office Supplies &gt; Paper (3 units)</v>
      </c>
      <c r="Q66" s="10" t="str">
        <f aca="false">VLOOKUP(G66,Region_Manager_Table,2,FALSE())</f>
        <v>Sana Sheikh</v>
      </c>
      <c r="R66" s="10" t="n">
        <f aca="false">INDEX(SLA_Days_Col,MATCH(A66,ShipMode_Col,0))</f>
        <v>6</v>
      </c>
    </row>
    <row r="67" customFormat="false" ht="15" hidden="false" customHeight="false" outlineLevel="0" collapsed="false">
      <c r="A67" s="16" t="s">
        <v>64</v>
      </c>
      <c r="B67" s="16" t="s">
        <v>50</v>
      </c>
      <c r="C67" s="16" t="s">
        <v>51</v>
      </c>
      <c r="D67" s="16" t="s">
        <v>59</v>
      </c>
      <c r="E67" s="16" t="s">
        <v>60</v>
      </c>
      <c r="F67" s="16" t="n">
        <v>90004</v>
      </c>
      <c r="G67" s="16" t="s">
        <v>61</v>
      </c>
      <c r="H67" s="16" t="s">
        <v>55</v>
      </c>
      <c r="I67" s="16" t="s">
        <v>69</v>
      </c>
      <c r="J67" s="17" t="n">
        <v>79.76</v>
      </c>
      <c r="K67" s="16" t="n">
        <v>4</v>
      </c>
      <c r="L67" s="18" t="n">
        <v>0</v>
      </c>
      <c r="M67" s="19" t="n">
        <v>22.3328</v>
      </c>
      <c r="N67" s="16" t="str">
        <f aca="false">IF(M67&lt;0,"Loss",IF(M67&lt;50,"Low Profit",IF(M67&lt;200,"Medium Profit","High Profit")))</f>
        <v>Low Profit</v>
      </c>
      <c r="O67" s="16" t="str">
        <f aca="false">IF(J67&gt;=500,"High Value","Standard")</f>
        <v>Standard</v>
      </c>
      <c r="P67" s="16" t="str">
        <f aca="false">H67&amp;" &gt; "&amp;I67&amp;" ("&amp;K67&amp;" units)"</f>
        <v>Furniture &gt; Furnishings (4 units)</v>
      </c>
      <c r="Q67" s="16" t="str">
        <f aca="false">VLOOKUP(G67,Region_Manager_Table,2,FALSE())</f>
        <v>Sana Sheikh</v>
      </c>
      <c r="R67" s="16" t="n">
        <f aca="false">INDEX(SLA_Days_Col,MATCH(A67,ShipMode_Col,0))</f>
        <v>6</v>
      </c>
    </row>
    <row r="68" customFormat="false" ht="15" hidden="false" customHeight="false" outlineLevel="0" collapsed="false">
      <c r="A68" s="10" t="s">
        <v>64</v>
      </c>
      <c r="B68" s="10" t="s">
        <v>80</v>
      </c>
      <c r="C68" s="10" t="s">
        <v>51</v>
      </c>
      <c r="D68" s="10" t="s">
        <v>115</v>
      </c>
      <c r="E68" s="10" t="s">
        <v>101</v>
      </c>
      <c r="F68" s="10" t="n">
        <v>60610</v>
      </c>
      <c r="G68" s="10" t="s">
        <v>83</v>
      </c>
      <c r="H68" s="10" t="s">
        <v>55</v>
      </c>
      <c r="I68" s="10" t="s">
        <v>57</v>
      </c>
      <c r="J68" s="13" t="n">
        <v>213.115</v>
      </c>
      <c r="K68" s="10" t="n">
        <v>5</v>
      </c>
      <c r="L68" s="14" t="n">
        <v>0.3</v>
      </c>
      <c r="M68" s="15" t="n">
        <v>-15.2225</v>
      </c>
      <c r="N68" s="10" t="str">
        <f aca="false">IF(M68&lt;0,"Loss",IF(M68&lt;50,"Low Profit",IF(M68&lt;200,"Medium Profit","High Profit")))</f>
        <v>Loss</v>
      </c>
      <c r="O68" s="10" t="str">
        <f aca="false">IF(J68&gt;=500,"High Value","Standard")</f>
        <v>Standard</v>
      </c>
      <c r="P68" s="10" t="str">
        <f aca="false">H68&amp;" &gt; "&amp;I68&amp;" ("&amp;K68&amp;" units)"</f>
        <v>Furniture &gt; Chairs (5 units)</v>
      </c>
      <c r="Q68" s="10" t="str">
        <f aca="false">VLOOKUP(G68,Region_Manager_Table,2,FALSE())</f>
        <v>Aditya Rao</v>
      </c>
      <c r="R68" s="10" t="n">
        <f aca="false">INDEX(SLA_Days_Col,MATCH(A68,ShipMode_Col,0))</f>
        <v>6</v>
      </c>
    </row>
    <row r="69" customFormat="false" ht="15" hidden="false" customHeight="false" outlineLevel="0" collapsed="false">
      <c r="A69" s="16" t="s">
        <v>64</v>
      </c>
      <c r="B69" s="16" t="s">
        <v>58</v>
      </c>
      <c r="C69" s="16" t="s">
        <v>51</v>
      </c>
      <c r="D69" s="16" t="s">
        <v>116</v>
      </c>
      <c r="E69" s="16" t="s">
        <v>117</v>
      </c>
      <c r="F69" s="16" t="n">
        <v>85234</v>
      </c>
      <c r="G69" s="16" t="s">
        <v>61</v>
      </c>
      <c r="H69" s="16" t="s">
        <v>62</v>
      </c>
      <c r="I69" s="16" t="s">
        <v>70</v>
      </c>
      <c r="J69" s="17" t="n">
        <v>1113.024</v>
      </c>
      <c r="K69" s="16" t="n">
        <v>8</v>
      </c>
      <c r="L69" s="18" t="n">
        <v>0.2</v>
      </c>
      <c r="M69" s="19" t="n">
        <v>111.3024</v>
      </c>
      <c r="N69" s="16" t="str">
        <f aca="false">IF(M69&lt;0,"Loss",IF(M69&lt;50,"Low Profit",IF(M69&lt;200,"Medium Profit","High Profit")))</f>
        <v>Medium Profit</v>
      </c>
      <c r="O69" s="16" t="str">
        <f aca="false">IF(J69&gt;=500,"High Value","Standard")</f>
        <v>High Value</v>
      </c>
      <c r="P69" s="16" t="str">
        <f aca="false">H69&amp;" &gt; "&amp;I69&amp;" ("&amp;K69&amp;" units)"</f>
        <v>Office Supplies &gt; Art (8 units)</v>
      </c>
      <c r="Q69" s="16" t="str">
        <f aca="false">VLOOKUP(G69,Region_Manager_Table,2,FALSE())</f>
        <v>Sana Sheikh</v>
      </c>
      <c r="R69" s="16" t="n">
        <f aca="false">INDEX(SLA_Days_Col,MATCH(A69,ShipMode_Col,0))</f>
        <v>6</v>
      </c>
    </row>
    <row r="70" customFormat="false" ht="15" hidden="false" customHeight="false" outlineLevel="0" collapsed="false">
      <c r="A70" s="10" t="s">
        <v>64</v>
      </c>
      <c r="B70" s="10" t="s">
        <v>58</v>
      </c>
      <c r="C70" s="10" t="s">
        <v>51</v>
      </c>
      <c r="D70" s="10" t="s">
        <v>116</v>
      </c>
      <c r="E70" s="10" t="s">
        <v>117</v>
      </c>
      <c r="F70" s="10" t="n">
        <v>85234</v>
      </c>
      <c r="G70" s="10" t="s">
        <v>61</v>
      </c>
      <c r="H70" s="10" t="s">
        <v>71</v>
      </c>
      <c r="I70" s="10" t="s">
        <v>72</v>
      </c>
      <c r="J70" s="13" t="n">
        <v>167.968</v>
      </c>
      <c r="K70" s="10" t="n">
        <v>4</v>
      </c>
      <c r="L70" s="14" t="n">
        <v>0.2</v>
      </c>
      <c r="M70" s="15" t="n">
        <v>62.988</v>
      </c>
      <c r="N70" s="10" t="str">
        <f aca="false">IF(M70&lt;0,"Loss",IF(M70&lt;50,"Low Profit",IF(M70&lt;200,"Medium Profit","High Profit")))</f>
        <v>Medium Profit</v>
      </c>
      <c r="O70" s="10" t="str">
        <f aca="false">IF(J70&gt;=500,"High Value","Standard")</f>
        <v>Standard</v>
      </c>
      <c r="P70" s="10" t="str">
        <f aca="false">H70&amp;" &gt; "&amp;I70&amp;" ("&amp;K70&amp;" units)"</f>
        <v>Technology &gt; Phones (4 units)</v>
      </c>
      <c r="Q70" s="10" t="str">
        <f aca="false">VLOOKUP(G70,Region_Manager_Table,2,FALSE())</f>
        <v>Sana Sheikh</v>
      </c>
      <c r="R70" s="10" t="n">
        <f aca="false">INDEX(SLA_Days_Col,MATCH(A70,ShipMode_Col,0))</f>
        <v>6</v>
      </c>
    </row>
    <row r="71" customFormat="false" ht="15" hidden="false" customHeight="false" outlineLevel="0" collapsed="false">
      <c r="A71" s="16" t="s">
        <v>98</v>
      </c>
      <c r="B71" s="16" t="s">
        <v>50</v>
      </c>
      <c r="C71" s="16" t="s">
        <v>51</v>
      </c>
      <c r="D71" s="16" t="s">
        <v>118</v>
      </c>
      <c r="E71" s="16" t="s">
        <v>119</v>
      </c>
      <c r="F71" s="16" t="n">
        <v>22153</v>
      </c>
      <c r="G71" s="16" t="s">
        <v>54</v>
      </c>
      <c r="H71" s="16" t="s">
        <v>62</v>
      </c>
      <c r="I71" s="16" t="s">
        <v>77</v>
      </c>
      <c r="J71" s="17" t="n">
        <v>75.88</v>
      </c>
      <c r="K71" s="16" t="n">
        <v>2</v>
      </c>
      <c r="L71" s="18" t="n">
        <v>0</v>
      </c>
      <c r="M71" s="19" t="n">
        <v>35.6636</v>
      </c>
      <c r="N71" s="16" t="str">
        <f aca="false">IF(M71&lt;0,"Loss",IF(M71&lt;50,"Low Profit",IF(M71&lt;200,"Medium Profit","High Profit")))</f>
        <v>Low Profit</v>
      </c>
      <c r="O71" s="16" t="str">
        <f aca="false">IF(J71&gt;=500,"High Value","Standard")</f>
        <v>Standard</v>
      </c>
      <c r="P71" s="16" t="str">
        <f aca="false">H71&amp;" &gt; "&amp;I71&amp;" ("&amp;K71&amp;" units)"</f>
        <v>Office Supplies &gt; Paper (2 units)</v>
      </c>
      <c r="Q71" s="16" t="str">
        <f aca="false">VLOOKUP(G71,Region_Manager_Table,2,FALSE())</f>
        <v>Karthik Iyer</v>
      </c>
      <c r="R71" s="16" t="n">
        <f aca="false">INDEX(SLA_Days_Col,MATCH(A71,ShipMode_Col,0))</f>
        <v>2</v>
      </c>
    </row>
    <row r="72" customFormat="false" ht="15" hidden="false" customHeight="false" outlineLevel="0" collapsed="false">
      <c r="A72" s="10" t="s">
        <v>64</v>
      </c>
      <c r="B72" s="10" t="s">
        <v>50</v>
      </c>
      <c r="C72" s="10" t="s">
        <v>51</v>
      </c>
      <c r="D72" s="10" t="s">
        <v>111</v>
      </c>
      <c r="E72" s="10" t="s">
        <v>112</v>
      </c>
      <c r="F72" s="10" t="n">
        <v>10009</v>
      </c>
      <c r="G72" s="10" t="s">
        <v>93</v>
      </c>
      <c r="H72" s="10" t="s">
        <v>62</v>
      </c>
      <c r="I72" s="10" t="s">
        <v>73</v>
      </c>
      <c r="J72" s="13" t="n">
        <v>4.616</v>
      </c>
      <c r="K72" s="10" t="n">
        <v>1</v>
      </c>
      <c r="L72" s="14" t="n">
        <v>0.2</v>
      </c>
      <c r="M72" s="15" t="n">
        <v>1.731</v>
      </c>
      <c r="N72" s="10" t="str">
        <f aca="false">IF(M72&lt;0,"Loss",IF(M72&lt;50,"Low Profit",IF(M72&lt;200,"Medium Profit","High Profit")))</f>
        <v>Low Profit</v>
      </c>
      <c r="O72" s="10" t="str">
        <f aca="false">IF(J72&gt;=500,"High Value","Standard")</f>
        <v>Standard</v>
      </c>
      <c r="P72" s="10" t="str">
        <f aca="false">H72&amp;" &gt; "&amp;I72&amp;" ("&amp;K72&amp;" units)"</f>
        <v>Office Supplies &gt; Binders (1 units)</v>
      </c>
      <c r="Q72" s="10" t="str">
        <f aca="false">VLOOKUP(G72,Region_Manager_Table,2,FALSE())</f>
        <v>Priya Menon</v>
      </c>
      <c r="R72" s="10" t="n">
        <f aca="false">INDEX(SLA_Days_Col,MATCH(A72,ShipMode_Col,0))</f>
        <v>6</v>
      </c>
    </row>
    <row r="73" customFormat="false" ht="15" hidden="false" customHeight="false" outlineLevel="0" collapsed="false">
      <c r="A73" s="16" t="s">
        <v>49</v>
      </c>
      <c r="B73" s="16" t="s">
        <v>50</v>
      </c>
      <c r="C73" s="16" t="s">
        <v>51</v>
      </c>
      <c r="D73" s="16" t="s">
        <v>120</v>
      </c>
      <c r="E73" s="16" t="s">
        <v>106</v>
      </c>
      <c r="F73" s="16" t="n">
        <v>49201</v>
      </c>
      <c r="G73" s="16" t="s">
        <v>83</v>
      </c>
      <c r="H73" s="16" t="s">
        <v>62</v>
      </c>
      <c r="I73" s="16" t="s">
        <v>77</v>
      </c>
      <c r="J73" s="17" t="n">
        <v>19.05</v>
      </c>
      <c r="K73" s="16" t="n">
        <v>3</v>
      </c>
      <c r="L73" s="18" t="n">
        <v>0</v>
      </c>
      <c r="M73" s="19" t="n">
        <v>8.763</v>
      </c>
      <c r="N73" s="16" t="str">
        <f aca="false">IF(M73&lt;0,"Loss",IF(M73&lt;50,"Low Profit",IF(M73&lt;200,"Medium Profit","High Profit")))</f>
        <v>Low Profit</v>
      </c>
      <c r="O73" s="16" t="str">
        <f aca="false">IF(J73&gt;=500,"High Value","Standard")</f>
        <v>Standard</v>
      </c>
      <c r="P73" s="16" t="str">
        <f aca="false">H73&amp;" &gt; "&amp;I73&amp;" ("&amp;K73&amp;" units)"</f>
        <v>Office Supplies &gt; Paper (3 units)</v>
      </c>
      <c r="Q73" s="16" t="str">
        <f aca="false">VLOOKUP(G73,Region_Manager_Table,2,FALSE())</f>
        <v>Aditya Rao</v>
      </c>
      <c r="R73" s="16" t="n">
        <f aca="false">INDEX(SLA_Days_Col,MATCH(A73,ShipMode_Col,0))</f>
        <v>4</v>
      </c>
    </row>
    <row r="74" customFormat="false" ht="15" hidden="false" customHeight="false" outlineLevel="0" collapsed="false">
      <c r="A74" s="10" t="s">
        <v>64</v>
      </c>
      <c r="B74" s="10" t="s">
        <v>50</v>
      </c>
      <c r="C74" s="10" t="s">
        <v>51</v>
      </c>
      <c r="D74" s="10" t="s">
        <v>121</v>
      </c>
      <c r="E74" s="10" t="s">
        <v>122</v>
      </c>
      <c r="F74" s="10" t="n">
        <v>38109</v>
      </c>
      <c r="G74" s="10" t="s">
        <v>54</v>
      </c>
      <c r="H74" s="10" t="s">
        <v>55</v>
      </c>
      <c r="I74" s="10" t="s">
        <v>57</v>
      </c>
      <c r="J74" s="13" t="n">
        <v>831.936</v>
      </c>
      <c r="K74" s="10" t="n">
        <v>8</v>
      </c>
      <c r="L74" s="14" t="n">
        <v>0.2</v>
      </c>
      <c r="M74" s="15" t="n">
        <v>-114.3912</v>
      </c>
      <c r="N74" s="10" t="str">
        <f aca="false">IF(M74&lt;0,"Loss",IF(M74&lt;50,"Low Profit",IF(M74&lt;200,"Medium Profit","High Profit")))</f>
        <v>Loss</v>
      </c>
      <c r="O74" s="10" t="str">
        <f aca="false">IF(J74&gt;=500,"High Value","Standard")</f>
        <v>High Value</v>
      </c>
      <c r="P74" s="10" t="str">
        <f aca="false">H74&amp;" &gt; "&amp;I74&amp;" ("&amp;K74&amp;" units)"</f>
        <v>Furniture &gt; Chairs (8 units)</v>
      </c>
      <c r="Q74" s="10" t="str">
        <f aca="false">VLOOKUP(G74,Region_Manager_Table,2,FALSE())</f>
        <v>Karthik Iyer</v>
      </c>
      <c r="R74" s="10" t="n">
        <f aca="false">INDEX(SLA_Days_Col,MATCH(A74,ShipMode_Col,0))</f>
        <v>6</v>
      </c>
    </row>
    <row r="75" customFormat="false" ht="15" hidden="false" customHeight="false" outlineLevel="0" collapsed="false">
      <c r="A75" s="16" t="s">
        <v>64</v>
      </c>
      <c r="B75" s="16" t="s">
        <v>50</v>
      </c>
      <c r="C75" s="16" t="s">
        <v>51</v>
      </c>
      <c r="D75" s="16" t="s">
        <v>121</v>
      </c>
      <c r="E75" s="16" t="s">
        <v>122</v>
      </c>
      <c r="F75" s="16" t="n">
        <v>38109</v>
      </c>
      <c r="G75" s="16" t="s">
        <v>54</v>
      </c>
      <c r="H75" s="16" t="s">
        <v>55</v>
      </c>
      <c r="I75" s="16" t="s">
        <v>69</v>
      </c>
      <c r="J75" s="17" t="n">
        <v>97.04</v>
      </c>
      <c r="K75" s="16" t="n">
        <v>2</v>
      </c>
      <c r="L75" s="18" t="n">
        <v>0.2</v>
      </c>
      <c r="M75" s="19" t="n">
        <v>1.213</v>
      </c>
      <c r="N75" s="16" t="str">
        <f aca="false">IF(M75&lt;0,"Loss",IF(M75&lt;50,"Low Profit",IF(M75&lt;200,"Medium Profit","High Profit")))</f>
        <v>Low Profit</v>
      </c>
      <c r="O75" s="16" t="str">
        <f aca="false">IF(J75&gt;=500,"High Value","Standard")</f>
        <v>Standard</v>
      </c>
      <c r="P75" s="16" t="str">
        <f aca="false">H75&amp;" &gt; "&amp;I75&amp;" ("&amp;K75&amp;" units)"</f>
        <v>Furniture &gt; Furnishings (2 units)</v>
      </c>
      <c r="Q75" s="16" t="str">
        <f aca="false">VLOOKUP(G75,Region_Manager_Table,2,FALSE())</f>
        <v>Karthik Iyer</v>
      </c>
      <c r="R75" s="16" t="n">
        <f aca="false">INDEX(SLA_Days_Col,MATCH(A75,ShipMode_Col,0))</f>
        <v>6</v>
      </c>
    </row>
    <row r="76" customFormat="false" ht="15" hidden="false" customHeight="false" outlineLevel="0" collapsed="false">
      <c r="A76" s="10" t="s">
        <v>64</v>
      </c>
      <c r="B76" s="10" t="s">
        <v>50</v>
      </c>
      <c r="C76" s="10" t="s">
        <v>51</v>
      </c>
      <c r="D76" s="10" t="s">
        <v>121</v>
      </c>
      <c r="E76" s="10" t="s">
        <v>122</v>
      </c>
      <c r="F76" s="10" t="n">
        <v>38109</v>
      </c>
      <c r="G76" s="10" t="s">
        <v>54</v>
      </c>
      <c r="H76" s="10" t="s">
        <v>62</v>
      </c>
      <c r="I76" s="10" t="s">
        <v>68</v>
      </c>
      <c r="J76" s="13" t="n">
        <v>72.784</v>
      </c>
      <c r="K76" s="10" t="n">
        <v>1</v>
      </c>
      <c r="L76" s="14" t="n">
        <v>0.2</v>
      </c>
      <c r="M76" s="15" t="n">
        <v>-18.196</v>
      </c>
      <c r="N76" s="10" t="str">
        <f aca="false">IF(M76&lt;0,"Loss",IF(M76&lt;50,"Low Profit",IF(M76&lt;200,"Medium Profit","High Profit")))</f>
        <v>Loss</v>
      </c>
      <c r="O76" s="10" t="str">
        <f aca="false">IF(J76&gt;=500,"High Value","Standard")</f>
        <v>Standard</v>
      </c>
      <c r="P76" s="10" t="str">
        <f aca="false">H76&amp;" &gt; "&amp;I76&amp;" ("&amp;K76&amp;" units)"</f>
        <v>Office Supplies &gt; Storage (1 units)</v>
      </c>
      <c r="Q76" s="10" t="str">
        <f aca="false">VLOOKUP(G76,Region_Manager_Table,2,FALSE())</f>
        <v>Karthik Iyer</v>
      </c>
      <c r="R76" s="10" t="n">
        <f aca="false">INDEX(SLA_Days_Col,MATCH(A76,ShipMode_Col,0))</f>
        <v>6</v>
      </c>
    </row>
    <row r="77" customFormat="false" ht="15" hidden="false" customHeight="false" outlineLevel="0" collapsed="false">
      <c r="A77" s="16" t="s">
        <v>98</v>
      </c>
      <c r="B77" s="16" t="s">
        <v>58</v>
      </c>
      <c r="C77" s="16" t="s">
        <v>51</v>
      </c>
      <c r="D77" s="16" t="s">
        <v>97</v>
      </c>
      <c r="E77" s="16" t="s">
        <v>82</v>
      </c>
      <c r="F77" s="16" t="n">
        <v>77041</v>
      </c>
      <c r="G77" s="16" t="s">
        <v>83</v>
      </c>
      <c r="H77" s="16" t="s">
        <v>62</v>
      </c>
      <c r="I77" s="16" t="s">
        <v>73</v>
      </c>
      <c r="J77" s="17" t="n">
        <v>1.248</v>
      </c>
      <c r="K77" s="16" t="n">
        <v>3</v>
      </c>
      <c r="L77" s="18" t="n">
        <v>0.8</v>
      </c>
      <c r="M77" s="19" t="n">
        <v>-1.9344</v>
      </c>
      <c r="N77" s="16" t="str">
        <f aca="false">IF(M77&lt;0,"Loss",IF(M77&lt;50,"Low Profit",IF(M77&lt;200,"Medium Profit","High Profit")))</f>
        <v>Loss</v>
      </c>
      <c r="O77" s="16" t="str">
        <f aca="false">IF(J77&gt;=500,"High Value","Standard")</f>
        <v>Standard</v>
      </c>
      <c r="P77" s="16" t="str">
        <f aca="false">H77&amp;" &gt; "&amp;I77&amp;" ("&amp;K77&amp;" units)"</f>
        <v>Office Supplies &gt; Binders (3 units)</v>
      </c>
      <c r="Q77" s="16" t="str">
        <f aca="false">VLOOKUP(G77,Region_Manager_Table,2,FALSE())</f>
        <v>Aditya Rao</v>
      </c>
      <c r="R77" s="16" t="n">
        <f aca="false">INDEX(SLA_Days_Col,MATCH(A77,ShipMode_Col,0))</f>
        <v>2</v>
      </c>
    </row>
    <row r="78" customFormat="false" ht="15" hidden="false" customHeight="false" outlineLevel="0" collapsed="false">
      <c r="A78" s="10" t="s">
        <v>98</v>
      </c>
      <c r="B78" s="10" t="s">
        <v>58</v>
      </c>
      <c r="C78" s="10" t="s">
        <v>51</v>
      </c>
      <c r="D78" s="10" t="s">
        <v>97</v>
      </c>
      <c r="E78" s="10" t="s">
        <v>82</v>
      </c>
      <c r="F78" s="10" t="n">
        <v>77041</v>
      </c>
      <c r="G78" s="10" t="s">
        <v>83</v>
      </c>
      <c r="H78" s="10" t="s">
        <v>55</v>
      </c>
      <c r="I78" s="10" t="s">
        <v>69</v>
      </c>
      <c r="J78" s="13" t="n">
        <v>9.708</v>
      </c>
      <c r="K78" s="10" t="n">
        <v>3</v>
      </c>
      <c r="L78" s="14" t="n">
        <v>0.6</v>
      </c>
      <c r="M78" s="15" t="n">
        <v>-5.8248</v>
      </c>
      <c r="N78" s="10" t="str">
        <f aca="false">IF(M78&lt;0,"Loss",IF(M78&lt;50,"Low Profit",IF(M78&lt;200,"Medium Profit","High Profit")))</f>
        <v>Loss</v>
      </c>
      <c r="O78" s="10" t="str">
        <f aca="false">IF(J78&gt;=500,"High Value","Standard")</f>
        <v>Standard</v>
      </c>
      <c r="P78" s="10" t="str">
        <f aca="false">H78&amp;" &gt; "&amp;I78&amp;" ("&amp;K78&amp;" units)"</f>
        <v>Furniture &gt; Furnishings (3 units)</v>
      </c>
      <c r="Q78" s="10" t="str">
        <f aca="false">VLOOKUP(G78,Region_Manager_Table,2,FALSE())</f>
        <v>Aditya Rao</v>
      </c>
      <c r="R78" s="10" t="n">
        <f aca="false">INDEX(SLA_Days_Col,MATCH(A78,ShipMode_Col,0))</f>
        <v>2</v>
      </c>
    </row>
    <row r="79" customFormat="false" ht="15" hidden="false" customHeight="false" outlineLevel="0" collapsed="false">
      <c r="A79" s="16" t="s">
        <v>98</v>
      </c>
      <c r="B79" s="16" t="s">
        <v>58</v>
      </c>
      <c r="C79" s="16" t="s">
        <v>51</v>
      </c>
      <c r="D79" s="16" t="s">
        <v>97</v>
      </c>
      <c r="E79" s="16" t="s">
        <v>82</v>
      </c>
      <c r="F79" s="16" t="n">
        <v>77041</v>
      </c>
      <c r="G79" s="16" t="s">
        <v>83</v>
      </c>
      <c r="H79" s="16" t="s">
        <v>62</v>
      </c>
      <c r="I79" s="16" t="s">
        <v>68</v>
      </c>
      <c r="J79" s="17" t="n">
        <v>27.24</v>
      </c>
      <c r="K79" s="16" t="n">
        <v>3</v>
      </c>
      <c r="L79" s="18" t="n">
        <v>0.2</v>
      </c>
      <c r="M79" s="19" t="n">
        <v>2.724</v>
      </c>
      <c r="N79" s="16" t="str">
        <f aca="false">IF(M79&lt;0,"Loss",IF(M79&lt;50,"Low Profit",IF(M79&lt;200,"Medium Profit","High Profit")))</f>
        <v>Low Profit</v>
      </c>
      <c r="O79" s="16" t="str">
        <f aca="false">IF(J79&gt;=500,"High Value","Standard")</f>
        <v>Standard</v>
      </c>
      <c r="P79" s="16" t="str">
        <f aca="false">H79&amp;" &gt; "&amp;I79&amp;" ("&amp;K79&amp;" units)"</f>
        <v>Office Supplies &gt; Storage (3 units)</v>
      </c>
      <c r="Q79" s="16" t="str">
        <f aca="false">VLOOKUP(G79,Region_Manager_Table,2,FALSE())</f>
        <v>Aditya Rao</v>
      </c>
      <c r="R79" s="16" t="n">
        <f aca="false">INDEX(SLA_Days_Col,MATCH(A79,ShipMode_Col,0))</f>
        <v>2</v>
      </c>
    </row>
    <row r="80" customFormat="false" ht="15" hidden="false" customHeight="false" outlineLevel="0" collapsed="false">
      <c r="A80" s="10" t="s">
        <v>49</v>
      </c>
      <c r="B80" s="10" t="s">
        <v>50</v>
      </c>
      <c r="C80" s="10" t="s">
        <v>51</v>
      </c>
      <c r="D80" s="10" t="s">
        <v>97</v>
      </c>
      <c r="E80" s="10" t="s">
        <v>82</v>
      </c>
      <c r="F80" s="10" t="n">
        <v>77070</v>
      </c>
      <c r="G80" s="10" t="s">
        <v>83</v>
      </c>
      <c r="H80" s="10" t="s">
        <v>55</v>
      </c>
      <c r="I80" s="10" t="s">
        <v>69</v>
      </c>
      <c r="J80" s="13" t="n">
        <v>19.3</v>
      </c>
      <c r="K80" s="10" t="n">
        <v>5</v>
      </c>
      <c r="L80" s="14" t="n">
        <v>0.6</v>
      </c>
      <c r="M80" s="15" t="n">
        <v>-14.475</v>
      </c>
      <c r="N80" s="10" t="str">
        <f aca="false">IF(M80&lt;0,"Loss",IF(M80&lt;50,"Low Profit",IF(M80&lt;200,"Medium Profit","High Profit")))</f>
        <v>Loss</v>
      </c>
      <c r="O80" s="10" t="str">
        <f aca="false">IF(J80&gt;=500,"High Value","Standard")</f>
        <v>Standard</v>
      </c>
      <c r="P80" s="10" t="str">
        <f aca="false">H80&amp;" &gt; "&amp;I80&amp;" ("&amp;K80&amp;" units)"</f>
        <v>Furniture &gt; Furnishings (5 units)</v>
      </c>
      <c r="Q80" s="10" t="str">
        <f aca="false">VLOOKUP(G80,Region_Manager_Table,2,FALSE())</f>
        <v>Aditya Rao</v>
      </c>
      <c r="R80" s="10" t="n">
        <f aca="false">INDEX(SLA_Days_Col,MATCH(A80,ShipMode_Col,0))</f>
        <v>4</v>
      </c>
    </row>
    <row r="81" customFormat="false" ht="15" hidden="false" customHeight="false" outlineLevel="0" collapsed="false">
      <c r="A81" s="16" t="s">
        <v>98</v>
      </c>
      <c r="B81" s="16" t="s">
        <v>58</v>
      </c>
      <c r="C81" s="16" t="s">
        <v>51</v>
      </c>
      <c r="D81" s="16" t="s">
        <v>123</v>
      </c>
      <c r="E81" s="16" t="s">
        <v>124</v>
      </c>
      <c r="F81" s="16" t="n">
        <v>35601</v>
      </c>
      <c r="G81" s="16" t="s">
        <v>54</v>
      </c>
      <c r="H81" s="16" t="s">
        <v>62</v>
      </c>
      <c r="I81" s="16" t="s">
        <v>74</v>
      </c>
      <c r="J81" s="17" t="n">
        <v>208.16</v>
      </c>
      <c r="K81" s="16" t="n">
        <v>1</v>
      </c>
      <c r="L81" s="18" t="n">
        <v>0</v>
      </c>
      <c r="M81" s="19" t="n">
        <v>56.2032</v>
      </c>
      <c r="N81" s="16" t="str">
        <f aca="false">IF(M81&lt;0,"Loss",IF(M81&lt;50,"Low Profit",IF(M81&lt;200,"Medium Profit","High Profit")))</f>
        <v>Medium Profit</v>
      </c>
      <c r="O81" s="16" t="str">
        <f aca="false">IF(J81&gt;=500,"High Value","Standard")</f>
        <v>Standard</v>
      </c>
      <c r="P81" s="16" t="str">
        <f aca="false">H81&amp;" &gt; "&amp;I81&amp;" ("&amp;K81&amp;" units)"</f>
        <v>Office Supplies &gt; Appliances (1 units)</v>
      </c>
      <c r="Q81" s="16" t="str">
        <f aca="false">VLOOKUP(G81,Region_Manager_Table,2,FALSE())</f>
        <v>Karthik Iyer</v>
      </c>
      <c r="R81" s="16" t="n">
        <f aca="false">INDEX(SLA_Days_Col,MATCH(A81,ShipMode_Col,0))</f>
        <v>2</v>
      </c>
    </row>
    <row r="82" customFormat="false" ht="15" hidden="false" customHeight="false" outlineLevel="0" collapsed="false">
      <c r="A82" s="10" t="s">
        <v>98</v>
      </c>
      <c r="B82" s="10" t="s">
        <v>58</v>
      </c>
      <c r="C82" s="10" t="s">
        <v>51</v>
      </c>
      <c r="D82" s="10" t="s">
        <v>123</v>
      </c>
      <c r="E82" s="10" t="s">
        <v>124</v>
      </c>
      <c r="F82" s="10" t="n">
        <v>35601</v>
      </c>
      <c r="G82" s="10" t="s">
        <v>54</v>
      </c>
      <c r="H82" s="10" t="s">
        <v>62</v>
      </c>
      <c r="I82" s="10" t="s">
        <v>73</v>
      </c>
      <c r="J82" s="13" t="n">
        <v>16.74</v>
      </c>
      <c r="K82" s="10" t="n">
        <v>3</v>
      </c>
      <c r="L82" s="14" t="n">
        <v>0</v>
      </c>
      <c r="M82" s="15" t="n">
        <v>8.0352</v>
      </c>
      <c r="N82" s="10" t="str">
        <f aca="false">IF(M82&lt;0,"Loss",IF(M82&lt;50,"Low Profit",IF(M82&lt;200,"Medium Profit","High Profit")))</f>
        <v>Low Profit</v>
      </c>
      <c r="O82" s="10" t="str">
        <f aca="false">IF(J82&gt;=500,"High Value","Standard")</f>
        <v>Standard</v>
      </c>
      <c r="P82" s="10" t="str">
        <f aca="false">H82&amp;" &gt; "&amp;I82&amp;" ("&amp;K82&amp;" units)"</f>
        <v>Office Supplies &gt; Binders (3 units)</v>
      </c>
      <c r="Q82" s="10" t="str">
        <f aca="false">VLOOKUP(G82,Region_Manager_Table,2,FALSE())</f>
        <v>Karthik Iyer</v>
      </c>
      <c r="R82" s="10" t="n">
        <f aca="false">INDEX(SLA_Days_Col,MATCH(A82,ShipMode_Col,0))</f>
        <v>2</v>
      </c>
    </row>
    <row r="83" customFormat="false" ht="15" hidden="false" customHeight="false" outlineLevel="0" collapsed="false">
      <c r="A83" s="16" t="s">
        <v>64</v>
      </c>
      <c r="B83" s="16" t="s">
        <v>50</v>
      </c>
      <c r="C83" s="16" t="s">
        <v>51</v>
      </c>
      <c r="D83" s="16" t="s">
        <v>88</v>
      </c>
      <c r="E83" s="16" t="s">
        <v>60</v>
      </c>
      <c r="F83" s="16" t="n">
        <v>94122</v>
      </c>
      <c r="G83" s="16" t="s">
        <v>61</v>
      </c>
      <c r="H83" s="16" t="s">
        <v>62</v>
      </c>
      <c r="I83" s="16" t="s">
        <v>70</v>
      </c>
      <c r="J83" s="17" t="n">
        <v>14.9</v>
      </c>
      <c r="K83" s="16" t="n">
        <v>5</v>
      </c>
      <c r="L83" s="18" t="n">
        <v>0</v>
      </c>
      <c r="M83" s="19" t="n">
        <v>4.172</v>
      </c>
      <c r="N83" s="16" t="str">
        <f aca="false">IF(M83&lt;0,"Loss",IF(M83&lt;50,"Low Profit",IF(M83&lt;200,"Medium Profit","High Profit")))</f>
        <v>Low Profit</v>
      </c>
      <c r="O83" s="16" t="str">
        <f aca="false">IF(J83&gt;=500,"High Value","Standard")</f>
        <v>Standard</v>
      </c>
      <c r="P83" s="16" t="str">
        <f aca="false">H83&amp;" &gt; "&amp;I83&amp;" ("&amp;K83&amp;" units)"</f>
        <v>Office Supplies &gt; Art (5 units)</v>
      </c>
      <c r="Q83" s="16" t="str">
        <f aca="false">VLOOKUP(G83,Region_Manager_Table,2,FALSE())</f>
        <v>Sana Sheikh</v>
      </c>
      <c r="R83" s="16" t="n">
        <f aca="false">INDEX(SLA_Days_Col,MATCH(A83,ShipMode_Col,0))</f>
        <v>6</v>
      </c>
    </row>
    <row r="84" customFormat="false" ht="15" hidden="false" customHeight="false" outlineLevel="0" collapsed="false">
      <c r="A84" s="10" t="s">
        <v>64</v>
      </c>
      <c r="B84" s="10" t="s">
        <v>50</v>
      </c>
      <c r="C84" s="10" t="s">
        <v>51</v>
      </c>
      <c r="D84" s="10" t="s">
        <v>88</v>
      </c>
      <c r="E84" s="10" t="s">
        <v>60</v>
      </c>
      <c r="F84" s="10" t="n">
        <v>94122</v>
      </c>
      <c r="G84" s="10" t="s">
        <v>61</v>
      </c>
      <c r="H84" s="10" t="s">
        <v>62</v>
      </c>
      <c r="I84" s="10" t="s">
        <v>68</v>
      </c>
      <c r="J84" s="13" t="n">
        <v>21.39</v>
      </c>
      <c r="K84" s="10" t="n">
        <v>1</v>
      </c>
      <c r="L84" s="14" t="n">
        <v>0</v>
      </c>
      <c r="M84" s="15" t="n">
        <v>6.2031</v>
      </c>
      <c r="N84" s="10" t="str">
        <f aca="false">IF(M84&lt;0,"Loss",IF(M84&lt;50,"Low Profit",IF(M84&lt;200,"Medium Profit","High Profit")))</f>
        <v>Low Profit</v>
      </c>
      <c r="O84" s="10" t="str">
        <f aca="false">IF(J84&gt;=500,"High Value","Standard")</f>
        <v>Standard</v>
      </c>
      <c r="P84" s="10" t="str">
        <f aca="false">H84&amp;" &gt; "&amp;I84&amp;" ("&amp;K84&amp;" units)"</f>
        <v>Office Supplies &gt; Storage (1 units)</v>
      </c>
      <c r="Q84" s="10" t="str">
        <f aca="false">VLOOKUP(G84,Region_Manager_Table,2,FALSE())</f>
        <v>Sana Sheikh</v>
      </c>
      <c r="R84" s="10" t="n">
        <f aca="false">INDEX(SLA_Days_Col,MATCH(A84,ShipMode_Col,0))</f>
        <v>6</v>
      </c>
    </row>
    <row r="85" customFormat="false" ht="15" hidden="false" customHeight="false" outlineLevel="0" collapsed="false">
      <c r="A85" s="16" t="s">
        <v>64</v>
      </c>
      <c r="B85" s="16" t="s">
        <v>58</v>
      </c>
      <c r="C85" s="16" t="s">
        <v>51</v>
      </c>
      <c r="D85" s="16" t="s">
        <v>125</v>
      </c>
      <c r="E85" s="16" t="s">
        <v>76</v>
      </c>
      <c r="F85" s="16" t="n">
        <v>27707</v>
      </c>
      <c r="G85" s="16" t="s">
        <v>54</v>
      </c>
      <c r="H85" s="16" t="s">
        <v>62</v>
      </c>
      <c r="I85" s="16" t="s">
        <v>96</v>
      </c>
      <c r="J85" s="17" t="n">
        <v>200.984</v>
      </c>
      <c r="K85" s="16" t="n">
        <v>7</v>
      </c>
      <c r="L85" s="18" t="n">
        <v>0.2</v>
      </c>
      <c r="M85" s="19" t="n">
        <v>62.8075</v>
      </c>
      <c r="N85" s="16" t="str">
        <f aca="false">IF(M85&lt;0,"Loss",IF(M85&lt;50,"Low Profit",IF(M85&lt;200,"Medium Profit","High Profit")))</f>
        <v>Medium Profit</v>
      </c>
      <c r="O85" s="16" t="str">
        <f aca="false">IF(J85&gt;=500,"High Value","Standard")</f>
        <v>Standard</v>
      </c>
      <c r="P85" s="16" t="str">
        <f aca="false">H85&amp;" &gt; "&amp;I85&amp;" ("&amp;K85&amp;" units)"</f>
        <v>Office Supplies &gt; Envelopes (7 units)</v>
      </c>
      <c r="Q85" s="16" t="str">
        <f aca="false">VLOOKUP(G85,Region_Manager_Table,2,FALSE())</f>
        <v>Karthik Iyer</v>
      </c>
      <c r="R85" s="16" t="n">
        <f aca="false">INDEX(SLA_Days_Col,MATCH(A85,ShipMode_Col,0))</f>
        <v>6</v>
      </c>
    </row>
    <row r="86" customFormat="false" ht="15" hidden="false" customHeight="false" outlineLevel="0" collapsed="false">
      <c r="A86" s="10" t="s">
        <v>98</v>
      </c>
      <c r="B86" s="10" t="s">
        <v>80</v>
      </c>
      <c r="C86" s="10" t="s">
        <v>51</v>
      </c>
      <c r="D86" s="10" t="s">
        <v>115</v>
      </c>
      <c r="E86" s="10" t="s">
        <v>101</v>
      </c>
      <c r="F86" s="10" t="n">
        <v>60623</v>
      </c>
      <c r="G86" s="10" t="s">
        <v>83</v>
      </c>
      <c r="H86" s="10" t="s">
        <v>62</v>
      </c>
      <c r="I86" s="10" t="s">
        <v>68</v>
      </c>
      <c r="J86" s="13" t="n">
        <v>230.376</v>
      </c>
      <c r="K86" s="10" t="n">
        <v>3</v>
      </c>
      <c r="L86" s="14" t="n">
        <v>0.2</v>
      </c>
      <c r="M86" s="15" t="n">
        <v>-48.9549</v>
      </c>
      <c r="N86" s="10" t="str">
        <f aca="false">IF(M86&lt;0,"Loss",IF(M86&lt;50,"Low Profit",IF(M86&lt;200,"Medium Profit","High Profit")))</f>
        <v>Loss</v>
      </c>
      <c r="O86" s="10" t="str">
        <f aca="false">IF(J86&gt;=500,"High Value","Standard")</f>
        <v>Standard</v>
      </c>
      <c r="P86" s="10" t="str">
        <f aca="false">H86&amp;" &gt; "&amp;I86&amp;" ("&amp;K86&amp;" units)"</f>
        <v>Office Supplies &gt; Storage (3 units)</v>
      </c>
      <c r="Q86" s="10" t="str">
        <f aca="false">VLOOKUP(G86,Region_Manager_Table,2,FALSE())</f>
        <v>Aditya Rao</v>
      </c>
      <c r="R86" s="10" t="n">
        <f aca="false">INDEX(SLA_Days_Col,MATCH(A86,ShipMode_Col,0))</f>
        <v>2</v>
      </c>
    </row>
    <row r="87" customFormat="false" ht="15" hidden="false" customHeight="false" outlineLevel="0" collapsed="false">
      <c r="A87" s="16" t="s">
        <v>49</v>
      </c>
      <c r="B87" s="16" t="s">
        <v>50</v>
      </c>
      <c r="C87" s="16" t="s">
        <v>51</v>
      </c>
      <c r="D87" s="16" t="s">
        <v>126</v>
      </c>
      <c r="E87" s="16" t="s">
        <v>127</v>
      </c>
      <c r="F87" s="16" t="n">
        <v>29203</v>
      </c>
      <c r="G87" s="16" t="s">
        <v>54</v>
      </c>
      <c r="H87" s="16" t="s">
        <v>55</v>
      </c>
      <c r="I87" s="16" t="s">
        <v>57</v>
      </c>
      <c r="J87" s="17" t="n">
        <v>301.96</v>
      </c>
      <c r="K87" s="16" t="n">
        <v>2</v>
      </c>
      <c r="L87" s="18" t="n">
        <v>0</v>
      </c>
      <c r="M87" s="19" t="n">
        <v>33.2156</v>
      </c>
      <c r="N87" s="16" t="str">
        <f aca="false">IF(M87&lt;0,"Loss",IF(M87&lt;50,"Low Profit",IF(M87&lt;200,"Medium Profit","High Profit")))</f>
        <v>Low Profit</v>
      </c>
      <c r="O87" s="16" t="str">
        <f aca="false">IF(J87&gt;=500,"High Value","Standard")</f>
        <v>Standard</v>
      </c>
      <c r="P87" s="16" t="str">
        <f aca="false">H87&amp;" &gt; "&amp;I87&amp;" ("&amp;K87&amp;" units)"</f>
        <v>Furniture &gt; Chairs (2 units)</v>
      </c>
      <c r="Q87" s="16" t="str">
        <f aca="false">VLOOKUP(G87,Region_Manager_Table,2,FALSE())</f>
        <v>Karthik Iyer</v>
      </c>
      <c r="R87" s="16" t="n">
        <f aca="false">INDEX(SLA_Days_Col,MATCH(A87,ShipMode_Col,0))</f>
        <v>4</v>
      </c>
    </row>
    <row r="88" customFormat="false" ht="15" hidden="false" customHeight="false" outlineLevel="0" collapsed="false">
      <c r="A88" s="10" t="s">
        <v>64</v>
      </c>
      <c r="B88" s="10" t="s">
        <v>50</v>
      </c>
      <c r="C88" s="10" t="s">
        <v>51</v>
      </c>
      <c r="D88" s="10" t="s">
        <v>128</v>
      </c>
      <c r="E88" s="10" t="s">
        <v>104</v>
      </c>
      <c r="F88" s="10" t="n">
        <v>55901</v>
      </c>
      <c r="G88" s="10" t="s">
        <v>83</v>
      </c>
      <c r="H88" s="10" t="s">
        <v>71</v>
      </c>
      <c r="I88" s="10" t="s">
        <v>95</v>
      </c>
      <c r="J88" s="13" t="n">
        <v>19.99</v>
      </c>
      <c r="K88" s="10" t="n">
        <v>1</v>
      </c>
      <c r="L88" s="14" t="n">
        <v>0</v>
      </c>
      <c r="M88" s="15" t="n">
        <v>6.7966</v>
      </c>
      <c r="N88" s="10" t="str">
        <f aca="false">IF(M88&lt;0,"Loss",IF(M88&lt;50,"Low Profit",IF(M88&lt;200,"Medium Profit","High Profit")))</f>
        <v>Low Profit</v>
      </c>
      <c r="O88" s="10" t="str">
        <f aca="false">IF(J88&gt;=500,"High Value","Standard")</f>
        <v>Standard</v>
      </c>
      <c r="P88" s="10" t="str">
        <f aca="false">H88&amp;" &gt; "&amp;I88&amp;" ("&amp;K88&amp;" units)"</f>
        <v>Technology &gt; Accessories (1 units)</v>
      </c>
      <c r="Q88" s="10" t="str">
        <f aca="false">VLOOKUP(G88,Region_Manager_Table,2,FALSE())</f>
        <v>Aditya Rao</v>
      </c>
      <c r="R88" s="10" t="n">
        <f aca="false">INDEX(SLA_Days_Col,MATCH(A88,ShipMode_Col,0))</f>
        <v>6</v>
      </c>
    </row>
    <row r="89" customFormat="false" ht="15" hidden="false" customHeight="false" outlineLevel="0" collapsed="false">
      <c r="A89" s="16" t="s">
        <v>64</v>
      </c>
      <c r="B89" s="16" t="s">
        <v>50</v>
      </c>
      <c r="C89" s="16" t="s">
        <v>51</v>
      </c>
      <c r="D89" s="16" t="s">
        <v>128</v>
      </c>
      <c r="E89" s="16" t="s">
        <v>104</v>
      </c>
      <c r="F89" s="16" t="n">
        <v>55901</v>
      </c>
      <c r="G89" s="16" t="s">
        <v>83</v>
      </c>
      <c r="H89" s="16" t="s">
        <v>62</v>
      </c>
      <c r="I89" s="16" t="s">
        <v>63</v>
      </c>
      <c r="J89" s="17" t="n">
        <v>6.16</v>
      </c>
      <c r="K89" s="16" t="n">
        <v>2</v>
      </c>
      <c r="L89" s="18" t="n">
        <v>0</v>
      </c>
      <c r="M89" s="19" t="n">
        <v>2.9568</v>
      </c>
      <c r="N89" s="16" t="str">
        <f aca="false">IF(M89&lt;0,"Loss",IF(M89&lt;50,"Low Profit",IF(M89&lt;200,"Medium Profit","High Profit")))</f>
        <v>Low Profit</v>
      </c>
      <c r="O89" s="16" t="str">
        <f aca="false">IF(J89&gt;=500,"High Value","Standard")</f>
        <v>Standard</v>
      </c>
      <c r="P89" s="16" t="str">
        <f aca="false">H89&amp;" &gt; "&amp;I89&amp;" ("&amp;K89&amp;" units)"</f>
        <v>Office Supplies &gt; Labels (2 units)</v>
      </c>
      <c r="Q89" s="16" t="str">
        <f aca="false">VLOOKUP(G89,Region_Manager_Table,2,FALSE())</f>
        <v>Aditya Rao</v>
      </c>
      <c r="R89" s="16" t="n">
        <f aca="false">INDEX(SLA_Days_Col,MATCH(A89,ShipMode_Col,0))</f>
        <v>6</v>
      </c>
    </row>
    <row r="90" customFormat="false" ht="15" hidden="false" customHeight="false" outlineLevel="0" collapsed="false">
      <c r="A90" s="10" t="s">
        <v>49</v>
      </c>
      <c r="B90" s="10" t="s">
        <v>80</v>
      </c>
      <c r="C90" s="10" t="s">
        <v>51</v>
      </c>
      <c r="D90" s="10" t="s">
        <v>97</v>
      </c>
      <c r="E90" s="10" t="s">
        <v>82</v>
      </c>
      <c r="F90" s="10" t="n">
        <v>77095</v>
      </c>
      <c r="G90" s="10" t="s">
        <v>83</v>
      </c>
      <c r="H90" s="10" t="s">
        <v>62</v>
      </c>
      <c r="I90" s="10" t="s">
        <v>68</v>
      </c>
      <c r="J90" s="13" t="n">
        <v>158.368</v>
      </c>
      <c r="K90" s="10" t="n">
        <v>7</v>
      </c>
      <c r="L90" s="14" t="n">
        <v>0.2</v>
      </c>
      <c r="M90" s="15" t="n">
        <v>13.8572</v>
      </c>
      <c r="N90" s="10" t="str">
        <f aca="false">IF(M90&lt;0,"Loss",IF(M90&lt;50,"Low Profit",IF(M90&lt;200,"Medium Profit","High Profit")))</f>
        <v>Low Profit</v>
      </c>
      <c r="O90" s="10" t="str">
        <f aca="false">IF(J90&gt;=500,"High Value","Standard")</f>
        <v>Standard</v>
      </c>
      <c r="P90" s="10" t="str">
        <f aca="false">H90&amp;" &gt; "&amp;I90&amp;" ("&amp;K90&amp;" units)"</f>
        <v>Office Supplies &gt; Storage (7 units)</v>
      </c>
      <c r="Q90" s="10" t="str">
        <f aca="false">VLOOKUP(G90,Region_Manager_Table,2,FALSE())</f>
        <v>Aditya Rao</v>
      </c>
      <c r="R90" s="10" t="n">
        <f aca="false">INDEX(SLA_Days_Col,MATCH(A90,ShipMode_Col,0))</f>
        <v>4</v>
      </c>
    </row>
    <row r="91" customFormat="false" ht="15" hidden="false" customHeight="false" outlineLevel="0" collapsed="false">
      <c r="A91" s="16" t="s">
        <v>64</v>
      </c>
      <c r="B91" s="16" t="s">
        <v>58</v>
      </c>
      <c r="C91" s="16" t="s">
        <v>51</v>
      </c>
      <c r="D91" s="16" t="s">
        <v>59</v>
      </c>
      <c r="E91" s="16" t="s">
        <v>60</v>
      </c>
      <c r="F91" s="16" t="n">
        <v>90036</v>
      </c>
      <c r="G91" s="16" t="s">
        <v>61</v>
      </c>
      <c r="H91" s="16" t="s">
        <v>62</v>
      </c>
      <c r="I91" s="16" t="s">
        <v>70</v>
      </c>
      <c r="J91" s="17" t="n">
        <v>20.1</v>
      </c>
      <c r="K91" s="16" t="n">
        <v>3</v>
      </c>
      <c r="L91" s="18" t="n">
        <v>0</v>
      </c>
      <c r="M91" s="19" t="n">
        <v>6.633</v>
      </c>
      <c r="N91" s="16" t="str">
        <f aca="false">IF(M91&lt;0,"Loss",IF(M91&lt;50,"Low Profit",IF(M91&lt;200,"Medium Profit","High Profit")))</f>
        <v>Low Profit</v>
      </c>
      <c r="O91" s="16" t="str">
        <f aca="false">IF(J91&gt;=500,"High Value","Standard")</f>
        <v>Standard</v>
      </c>
      <c r="P91" s="16" t="str">
        <f aca="false">H91&amp;" &gt; "&amp;I91&amp;" ("&amp;K91&amp;" units)"</f>
        <v>Office Supplies &gt; Art (3 units)</v>
      </c>
      <c r="Q91" s="16" t="str">
        <f aca="false">VLOOKUP(G91,Region_Manager_Table,2,FALSE())</f>
        <v>Sana Sheikh</v>
      </c>
      <c r="R91" s="16" t="n">
        <f aca="false">INDEX(SLA_Days_Col,MATCH(A91,ShipMode_Col,0))</f>
        <v>6</v>
      </c>
    </row>
    <row r="92" customFormat="false" ht="15" hidden="false" customHeight="false" outlineLevel="0" collapsed="false">
      <c r="A92" s="10" t="s">
        <v>64</v>
      </c>
      <c r="B92" s="10" t="s">
        <v>58</v>
      </c>
      <c r="C92" s="10" t="s">
        <v>51</v>
      </c>
      <c r="D92" s="10" t="s">
        <v>59</v>
      </c>
      <c r="E92" s="10" t="s">
        <v>60</v>
      </c>
      <c r="F92" s="10" t="n">
        <v>90036</v>
      </c>
      <c r="G92" s="10" t="s">
        <v>61</v>
      </c>
      <c r="H92" s="10" t="s">
        <v>71</v>
      </c>
      <c r="I92" s="10" t="s">
        <v>72</v>
      </c>
      <c r="J92" s="13" t="n">
        <v>73.584</v>
      </c>
      <c r="K92" s="10" t="n">
        <v>2</v>
      </c>
      <c r="L92" s="14" t="n">
        <v>0.2</v>
      </c>
      <c r="M92" s="15" t="n">
        <v>8.2782</v>
      </c>
      <c r="N92" s="10" t="str">
        <f aca="false">IF(M92&lt;0,"Loss",IF(M92&lt;50,"Low Profit",IF(M92&lt;200,"Medium Profit","High Profit")))</f>
        <v>Low Profit</v>
      </c>
      <c r="O92" s="10" t="str">
        <f aca="false">IF(J92&gt;=500,"High Value","Standard")</f>
        <v>Standard</v>
      </c>
      <c r="P92" s="10" t="str">
        <f aca="false">H92&amp;" &gt; "&amp;I92&amp;" ("&amp;K92&amp;" units)"</f>
        <v>Technology &gt; Phones (2 units)</v>
      </c>
      <c r="Q92" s="10" t="str">
        <f aca="false">VLOOKUP(G92,Region_Manager_Table,2,FALSE())</f>
        <v>Sana Sheikh</v>
      </c>
      <c r="R92" s="10" t="n">
        <f aca="false">INDEX(SLA_Days_Col,MATCH(A92,ShipMode_Col,0))</f>
        <v>6</v>
      </c>
    </row>
    <row r="93" customFormat="false" ht="15" hidden="false" customHeight="false" outlineLevel="0" collapsed="false">
      <c r="A93" s="16" t="s">
        <v>64</v>
      </c>
      <c r="B93" s="16" t="s">
        <v>58</v>
      </c>
      <c r="C93" s="16" t="s">
        <v>51</v>
      </c>
      <c r="D93" s="16" t="s">
        <v>59</v>
      </c>
      <c r="E93" s="16" t="s">
        <v>60</v>
      </c>
      <c r="F93" s="16" t="n">
        <v>90036</v>
      </c>
      <c r="G93" s="16" t="s">
        <v>61</v>
      </c>
      <c r="H93" s="16" t="s">
        <v>62</v>
      </c>
      <c r="I93" s="16" t="s">
        <v>77</v>
      </c>
      <c r="J93" s="17" t="n">
        <v>6.48</v>
      </c>
      <c r="K93" s="16" t="n">
        <v>1</v>
      </c>
      <c r="L93" s="18" t="n">
        <v>0</v>
      </c>
      <c r="M93" s="19" t="n">
        <v>3.1104</v>
      </c>
      <c r="N93" s="16" t="str">
        <f aca="false">IF(M93&lt;0,"Loss",IF(M93&lt;50,"Low Profit",IF(M93&lt;200,"Medium Profit","High Profit")))</f>
        <v>Low Profit</v>
      </c>
      <c r="O93" s="16" t="str">
        <f aca="false">IF(J93&gt;=500,"High Value","Standard")</f>
        <v>Standard</v>
      </c>
      <c r="P93" s="16" t="str">
        <f aca="false">H93&amp;" &gt; "&amp;I93&amp;" ("&amp;K93&amp;" units)"</f>
        <v>Office Supplies &gt; Paper (1 units)</v>
      </c>
      <c r="Q93" s="16" t="str">
        <f aca="false">VLOOKUP(G93,Region_Manager_Table,2,FALSE())</f>
        <v>Sana Sheikh</v>
      </c>
      <c r="R93" s="16" t="n">
        <f aca="false">INDEX(SLA_Days_Col,MATCH(A93,ShipMode_Col,0))</f>
        <v>6</v>
      </c>
    </row>
    <row r="94" customFormat="false" ht="15" hidden="false" customHeight="false" outlineLevel="0" collapsed="false">
      <c r="A94" s="10" t="s">
        <v>49</v>
      </c>
      <c r="B94" s="10" t="s">
        <v>50</v>
      </c>
      <c r="C94" s="10" t="s">
        <v>51</v>
      </c>
      <c r="D94" s="10" t="s">
        <v>129</v>
      </c>
      <c r="E94" s="10" t="s">
        <v>104</v>
      </c>
      <c r="F94" s="10" t="n">
        <v>55407</v>
      </c>
      <c r="G94" s="10" t="s">
        <v>83</v>
      </c>
      <c r="H94" s="10" t="s">
        <v>62</v>
      </c>
      <c r="I94" s="10" t="s">
        <v>77</v>
      </c>
      <c r="J94" s="13" t="n">
        <v>12.96</v>
      </c>
      <c r="K94" s="10" t="n">
        <v>2</v>
      </c>
      <c r="L94" s="14" t="n">
        <v>0</v>
      </c>
      <c r="M94" s="15" t="n">
        <v>6.2208</v>
      </c>
      <c r="N94" s="10" t="str">
        <f aca="false">IF(M94&lt;0,"Loss",IF(M94&lt;50,"Low Profit",IF(M94&lt;200,"Medium Profit","High Profit")))</f>
        <v>Low Profit</v>
      </c>
      <c r="O94" s="10" t="str">
        <f aca="false">IF(J94&gt;=500,"High Value","Standard")</f>
        <v>Standard</v>
      </c>
      <c r="P94" s="10" t="str">
        <f aca="false">H94&amp;" &gt; "&amp;I94&amp;" ("&amp;K94&amp;" units)"</f>
        <v>Office Supplies &gt; Paper (2 units)</v>
      </c>
      <c r="Q94" s="10" t="str">
        <f aca="false">VLOOKUP(G94,Region_Manager_Table,2,FALSE())</f>
        <v>Aditya Rao</v>
      </c>
      <c r="R94" s="10" t="n">
        <f aca="false">INDEX(SLA_Days_Col,MATCH(A94,ShipMode_Col,0))</f>
        <v>4</v>
      </c>
    </row>
    <row r="95" customFormat="false" ht="15" hidden="false" customHeight="false" outlineLevel="0" collapsed="false">
      <c r="A95" s="16" t="s">
        <v>49</v>
      </c>
      <c r="B95" s="16" t="s">
        <v>50</v>
      </c>
      <c r="C95" s="16" t="s">
        <v>51</v>
      </c>
      <c r="D95" s="16" t="s">
        <v>129</v>
      </c>
      <c r="E95" s="16" t="s">
        <v>104</v>
      </c>
      <c r="F95" s="16" t="n">
        <v>55407</v>
      </c>
      <c r="G95" s="16" t="s">
        <v>83</v>
      </c>
      <c r="H95" s="16" t="s">
        <v>55</v>
      </c>
      <c r="I95" s="16" t="s">
        <v>69</v>
      </c>
      <c r="J95" s="17" t="n">
        <v>53.34</v>
      </c>
      <c r="K95" s="16" t="n">
        <v>3</v>
      </c>
      <c r="L95" s="18" t="n">
        <v>0</v>
      </c>
      <c r="M95" s="19" t="n">
        <v>16.5354</v>
      </c>
      <c r="N95" s="16" t="str">
        <f aca="false">IF(M95&lt;0,"Loss",IF(M95&lt;50,"Low Profit",IF(M95&lt;200,"Medium Profit","High Profit")))</f>
        <v>Low Profit</v>
      </c>
      <c r="O95" s="16" t="str">
        <f aca="false">IF(J95&gt;=500,"High Value","Standard")</f>
        <v>Standard</v>
      </c>
      <c r="P95" s="16" t="str">
        <f aca="false">H95&amp;" &gt; "&amp;I95&amp;" ("&amp;K95&amp;" units)"</f>
        <v>Furniture &gt; Furnishings (3 units)</v>
      </c>
      <c r="Q95" s="16" t="str">
        <f aca="false">VLOOKUP(G95,Region_Manager_Table,2,FALSE())</f>
        <v>Aditya Rao</v>
      </c>
      <c r="R95" s="16" t="n">
        <f aca="false">INDEX(SLA_Days_Col,MATCH(A95,ShipMode_Col,0))</f>
        <v>4</v>
      </c>
    </row>
    <row r="96" customFormat="false" ht="15" hidden="false" customHeight="false" outlineLevel="0" collapsed="false">
      <c r="A96" s="10" t="s">
        <v>49</v>
      </c>
      <c r="B96" s="10" t="s">
        <v>50</v>
      </c>
      <c r="C96" s="10" t="s">
        <v>51</v>
      </c>
      <c r="D96" s="10" t="s">
        <v>129</v>
      </c>
      <c r="E96" s="10" t="s">
        <v>104</v>
      </c>
      <c r="F96" s="10" t="n">
        <v>55407</v>
      </c>
      <c r="G96" s="10" t="s">
        <v>83</v>
      </c>
      <c r="H96" s="10" t="s">
        <v>62</v>
      </c>
      <c r="I96" s="10" t="s">
        <v>73</v>
      </c>
      <c r="J96" s="13" t="n">
        <v>32.96</v>
      </c>
      <c r="K96" s="10" t="n">
        <v>2</v>
      </c>
      <c r="L96" s="14" t="n">
        <v>0</v>
      </c>
      <c r="M96" s="15" t="n">
        <v>16.1504</v>
      </c>
      <c r="N96" s="10" t="str">
        <f aca="false">IF(M96&lt;0,"Loss",IF(M96&lt;50,"Low Profit",IF(M96&lt;200,"Medium Profit","High Profit")))</f>
        <v>Low Profit</v>
      </c>
      <c r="O96" s="10" t="str">
        <f aca="false">IF(J96&gt;=500,"High Value","Standard")</f>
        <v>Standard</v>
      </c>
      <c r="P96" s="10" t="str">
        <f aca="false">H96&amp;" &gt; "&amp;I96&amp;" ("&amp;K96&amp;" units)"</f>
        <v>Office Supplies &gt; Binders (2 units)</v>
      </c>
      <c r="Q96" s="10" t="str">
        <f aca="false">VLOOKUP(G96,Region_Manager_Table,2,FALSE())</f>
        <v>Aditya Rao</v>
      </c>
      <c r="R96" s="10" t="n">
        <f aca="false">INDEX(SLA_Days_Col,MATCH(A96,ShipMode_Col,0))</f>
        <v>4</v>
      </c>
    </row>
    <row r="97" customFormat="false" ht="15" hidden="false" customHeight="false" outlineLevel="0" collapsed="false">
      <c r="A97" s="16" t="s">
        <v>64</v>
      </c>
      <c r="B97" s="16" t="s">
        <v>80</v>
      </c>
      <c r="C97" s="16" t="s">
        <v>51</v>
      </c>
      <c r="D97" s="16" t="s">
        <v>130</v>
      </c>
      <c r="E97" s="16" t="s">
        <v>131</v>
      </c>
      <c r="F97" s="16" t="n">
        <v>97206</v>
      </c>
      <c r="G97" s="16" t="s">
        <v>61</v>
      </c>
      <c r="H97" s="16" t="s">
        <v>62</v>
      </c>
      <c r="I97" s="16" t="s">
        <v>73</v>
      </c>
      <c r="J97" s="17" t="n">
        <v>5.682</v>
      </c>
      <c r="K97" s="16" t="n">
        <v>1</v>
      </c>
      <c r="L97" s="18" t="n">
        <v>0.7</v>
      </c>
      <c r="M97" s="19" t="n">
        <v>-3.788</v>
      </c>
      <c r="N97" s="16" t="str">
        <f aca="false">IF(M97&lt;0,"Loss",IF(M97&lt;50,"Low Profit",IF(M97&lt;200,"Medium Profit","High Profit")))</f>
        <v>Loss</v>
      </c>
      <c r="O97" s="16" t="str">
        <f aca="false">IF(J97&gt;=500,"High Value","Standard")</f>
        <v>Standard</v>
      </c>
      <c r="P97" s="16" t="str">
        <f aca="false">H97&amp;" &gt; "&amp;I97&amp;" ("&amp;K97&amp;" units)"</f>
        <v>Office Supplies &gt; Binders (1 units)</v>
      </c>
      <c r="Q97" s="16" t="str">
        <f aca="false">VLOOKUP(G97,Region_Manager_Table,2,FALSE())</f>
        <v>Sana Sheikh</v>
      </c>
      <c r="R97" s="16" t="n">
        <f aca="false">INDEX(SLA_Days_Col,MATCH(A97,ShipMode_Col,0))</f>
        <v>6</v>
      </c>
    </row>
    <row r="98" customFormat="false" ht="15" hidden="false" customHeight="false" outlineLevel="0" collapsed="false">
      <c r="A98" s="10" t="s">
        <v>49</v>
      </c>
      <c r="B98" s="10" t="s">
        <v>80</v>
      </c>
      <c r="C98" s="10" t="s">
        <v>51</v>
      </c>
      <c r="D98" s="10" t="s">
        <v>111</v>
      </c>
      <c r="E98" s="10" t="s">
        <v>112</v>
      </c>
      <c r="F98" s="10" t="n">
        <v>10009</v>
      </c>
      <c r="G98" s="10" t="s">
        <v>93</v>
      </c>
      <c r="H98" s="10" t="s">
        <v>55</v>
      </c>
      <c r="I98" s="10" t="s">
        <v>69</v>
      </c>
      <c r="J98" s="13" t="n">
        <v>96.53</v>
      </c>
      <c r="K98" s="10" t="n">
        <v>7</v>
      </c>
      <c r="L98" s="14" t="n">
        <v>0</v>
      </c>
      <c r="M98" s="15" t="n">
        <v>40.5426</v>
      </c>
      <c r="N98" s="10" t="str">
        <f aca="false">IF(M98&lt;0,"Loss",IF(M98&lt;50,"Low Profit",IF(M98&lt;200,"Medium Profit","High Profit")))</f>
        <v>Low Profit</v>
      </c>
      <c r="O98" s="10" t="str">
        <f aca="false">IF(J98&gt;=500,"High Value","Standard")</f>
        <v>Standard</v>
      </c>
      <c r="P98" s="10" t="str">
        <f aca="false">H98&amp;" &gt; "&amp;I98&amp;" ("&amp;K98&amp;" units)"</f>
        <v>Furniture &gt; Furnishings (7 units)</v>
      </c>
      <c r="Q98" s="10" t="str">
        <f aca="false">VLOOKUP(G98,Region_Manager_Table,2,FALSE())</f>
        <v>Priya Menon</v>
      </c>
      <c r="R98" s="10" t="n">
        <f aca="false">INDEX(SLA_Days_Col,MATCH(A98,ShipMode_Col,0))</f>
        <v>4</v>
      </c>
    </row>
    <row r="99" customFormat="false" ht="15" hidden="false" customHeight="false" outlineLevel="0" collapsed="false">
      <c r="A99" s="16" t="s">
        <v>98</v>
      </c>
      <c r="B99" s="16" t="s">
        <v>50</v>
      </c>
      <c r="C99" s="16" t="s">
        <v>51</v>
      </c>
      <c r="D99" s="16" t="s">
        <v>88</v>
      </c>
      <c r="E99" s="16" t="s">
        <v>60</v>
      </c>
      <c r="F99" s="16" t="n">
        <v>94122</v>
      </c>
      <c r="G99" s="16" t="s">
        <v>61</v>
      </c>
      <c r="H99" s="16" t="s">
        <v>62</v>
      </c>
      <c r="I99" s="16" t="s">
        <v>73</v>
      </c>
      <c r="J99" s="17" t="n">
        <v>51.312</v>
      </c>
      <c r="K99" s="16" t="n">
        <v>3</v>
      </c>
      <c r="L99" s="18" t="n">
        <v>0.2</v>
      </c>
      <c r="M99" s="19" t="n">
        <v>17.9592</v>
      </c>
      <c r="N99" s="16" t="str">
        <f aca="false">IF(M99&lt;0,"Loss",IF(M99&lt;50,"Low Profit",IF(M99&lt;200,"Medium Profit","High Profit")))</f>
        <v>Low Profit</v>
      </c>
      <c r="O99" s="16" t="str">
        <f aca="false">IF(J99&gt;=500,"High Value","Standard")</f>
        <v>Standard</v>
      </c>
      <c r="P99" s="16" t="str">
        <f aca="false">H99&amp;" &gt; "&amp;I99&amp;" ("&amp;K99&amp;" units)"</f>
        <v>Office Supplies &gt; Binders (3 units)</v>
      </c>
      <c r="Q99" s="16" t="str">
        <f aca="false">VLOOKUP(G99,Region_Manager_Table,2,FALSE())</f>
        <v>Sana Sheikh</v>
      </c>
      <c r="R99" s="16" t="n">
        <f aca="false">INDEX(SLA_Days_Col,MATCH(A99,ShipMode_Col,0))</f>
        <v>2</v>
      </c>
    </row>
    <row r="100" customFormat="false" ht="15" hidden="false" customHeight="false" outlineLevel="0" collapsed="false">
      <c r="A100" s="10" t="s">
        <v>64</v>
      </c>
      <c r="B100" s="10" t="s">
        <v>58</v>
      </c>
      <c r="C100" s="10" t="s">
        <v>51</v>
      </c>
      <c r="D100" s="10" t="s">
        <v>132</v>
      </c>
      <c r="E100" s="10" t="s">
        <v>104</v>
      </c>
      <c r="F100" s="10" t="n">
        <v>55106</v>
      </c>
      <c r="G100" s="10" t="s">
        <v>83</v>
      </c>
      <c r="H100" s="10" t="s">
        <v>62</v>
      </c>
      <c r="I100" s="10" t="s">
        <v>74</v>
      </c>
      <c r="J100" s="13" t="n">
        <v>77.88</v>
      </c>
      <c r="K100" s="10" t="n">
        <v>6</v>
      </c>
      <c r="L100" s="14" t="n">
        <v>0</v>
      </c>
      <c r="M100" s="15" t="n">
        <v>22.5852</v>
      </c>
      <c r="N100" s="10" t="str">
        <f aca="false">IF(M100&lt;0,"Loss",IF(M100&lt;50,"Low Profit",IF(M100&lt;200,"Medium Profit","High Profit")))</f>
        <v>Low Profit</v>
      </c>
      <c r="O100" s="10" t="str">
        <f aca="false">IF(J100&gt;=500,"High Value","Standard")</f>
        <v>Standard</v>
      </c>
      <c r="P100" s="10" t="str">
        <f aca="false">H100&amp;" &gt; "&amp;I100&amp;" ("&amp;K100&amp;" units)"</f>
        <v>Office Supplies &gt; Appliances (6 units)</v>
      </c>
      <c r="Q100" s="10" t="str">
        <f aca="false">VLOOKUP(G100,Region_Manager_Table,2,FALSE())</f>
        <v>Aditya Rao</v>
      </c>
      <c r="R100" s="10" t="n">
        <f aca="false">INDEX(SLA_Days_Col,MATCH(A100,ShipMode_Col,0))</f>
        <v>6</v>
      </c>
    </row>
    <row r="101" customFormat="false" ht="15" hidden="false" customHeight="false" outlineLevel="0" collapsed="false">
      <c r="A101" s="16" t="s">
        <v>64</v>
      </c>
      <c r="B101" s="16" t="s">
        <v>80</v>
      </c>
      <c r="C101" s="16" t="s">
        <v>51</v>
      </c>
      <c r="D101" s="16" t="s">
        <v>115</v>
      </c>
      <c r="E101" s="16" t="s">
        <v>101</v>
      </c>
      <c r="F101" s="16" t="n">
        <v>60610</v>
      </c>
      <c r="G101" s="16" t="s">
        <v>83</v>
      </c>
      <c r="H101" s="16" t="s">
        <v>62</v>
      </c>
      <c r="I101" s="16" t="s">
        <v>77</v>
      </c>
      <c r="J101" s="17" t="n">
        <v>64.624</v>
      </c>
      <c r="K101" s="16" t="n">
        <v>7</v>
      </c>
      <c r="L101" s="18" t="n">
        <v>0.2</v>
      </c>
      <c r="M101" s="19" t="n">
        <v>22.6184</v>
      </c>
      <c r="N101" s="16" t="str">
        <f aca="false">IF(M101&lt;0,"Loss",IF(M101&lt;50,"Low Profit",IF(M101&lt;200,"Medium Profit","High Profit")))</f>
        <v>Low Profit</v>
      </c>
      <c r="O101" s="16" t="str">
        <f aca="false">IF(J101&gt;=500,"High Value","Standard")</f>
        <v>Standard</v>
      </c>
      <c r="P101" s="16" t="str">
        <f aca="false">H101&amp;" &gt; "&amp;I101&amp;" ("&amp;K101&amp;" units)"</f>
        <v>Office Supplies &gt; Paper (7 units)</v>
      </c>
      <c r="Q101" s="16" t="str">
        <f aca="false">VLOOKUP(G101,Region_Manager_Table,2,FALSE())</f>
        <v>Aditya Rao</v>
      </c>
      <c r="R101" s="16" t="n">
        <f aca="false">INDEX(SLA_Days_Col,MATCH(A101,ShipMode_Col,0))</f>
        <v>6</v>
      </c>
    </row>
    <row r="102" customFormat="false" ht="15" hidden="false" customHeight="false" outlineLevel="0" collapsed="false">
      <c r="A102" s="10" t="s">
        <v>64</v>
      </c>
      <c r="B102" s="10" t="s">
        <v>80</v>
      </c>
      <c r="C102" s="10" t="s">
        <v>51</v>
      </c>
      <c r="D102" s="10" t="s">
        <v>115</v>
      </c>
      <c r="E102" s="10" t="s">
        <v>101</v>
      </c>
      <c r="F102" s="10" t="n">
        <v>60610</v>
      </c>
      <c r="G102" s="10" t="s">
        <v>83</v>
      </c>
      <c r="H102" s="10" t="s">
        <v>71</v>
      </c>
      <c r="I102" s="10" t="s">
        <v>95</v>
      </c>
      <c r="J102" s="13" t="n">
        <v>95.976</v>
      </c>
      <c r="K102" s="10" t="n">
        <v>3</v>
      </c>
      <c r="L102" s="14" t="n">
        <v>0.2</v>
      </c>
      <c r="M102" s="15" t="n">
        <v>-10.7973</v>
      </c>
      <c r="N102" s="10" t="str">
        <f aca="false">IF(M102&lt;0,"Loss",IF(M102&lt;50,"Low Profit",IF(M102&lt;200,"Medium Profit","High Profit")))</f>
        <v>Loss</v>
      </c>
      <c r="O102" s="10" t="str">
        <f aca="false">IF(J102&gt;=500,"High Value","Standard")</f>
        <v>Standard</v>
      </c>
      <c r="P102" s="10" t="str">
        <f aca="false">H102&amp;" &gt; "&amp;I102&amp;" ("&amp;K102&amp;" units)"</f>
        <v>Technology &gt; Accessories (3 units)</v>
      </c>
      <c r="Q102" s="10" t="str">
        <f aca="false">VLOOKUP(G102,Region_Manager_Table,2,FALSE())</f>
        <v>Aditya Rao</v>
      </c>
      <c r="R102" s="10" t="n">
        <f aca="false">INDEX(SLA_Days_Col,MATCH(A102,ShipMode_Col,0))</f>
        <v>6</v>
      </c>
    </row>
    <row r="103" customFormat="false" ht="15" hidden="false" customHeight="false" outlineLevel="0" collapsed="false">
      <c r="A103" s="16" t="s">
        <v>64</v>
      </c>
      <c r="B103" s="16" t="s">
        <v>80</v>
      </c>
      <c r="C103" s="16" t="s">
        <v>51</v>
      </c>
      <c r="D103" s="16" t="s">
        <v>115</v>
      </c>
      <c r="E103" s="16" t="s">
        <v>101</v>
      </c>
      <c r="F103" s="16" t="n">
        <v>60610</v>
      </c>
      <c r="G103" s="16" t="s">
        <v>83</v>
      </c>
      <c r="H103" s="16" t="s">
        <v>62</v>
      </c>
      <c r="I103" s="16" t="s">
        <v>73</v>
      </c>
      <c r="J103" s="17" t="n">
        <v>1.788</v>
      </c>
      <c r="K103" s="16" t="n">
        <v>3</v>
      </c>
      <c r="L103" s="18" t="n">
        <v>0.8</v>
      </c>
      <c r="M103" s="19" t="n">
        <v>-3.0396</v>
      </c>
      <c r="N103" s="16" t="str">
        <f aca="false">IF(M103&lt;0,"Loss",IF(M103&lt;50,"Low Profit",IF(M103&lt;200,"Medium Profit","High Profit")))</f>
        <v>Loss</v>
      </c>
      <c r="O103" s="16" t="str">
        <f aca="false">IF(J103&gt;=500,"High Value","Standard")</f>
        <v>Standard</v>
      </c>
      <c r="P103" s="16" t="str">
        <f aca="false">H103&amp;" &gt; "&amp;I103&amp;" ("&amp;K103&amp;" units)"</f>
        <v>Office Supplies &gt; Binders (3 units)</v>
      </c>
      <c r="Q103" s="16" t="str">
        <f aca="false">VLOOKUP(G103,Region_Manager_Table,2,FALSE())</f>
        <v>Aditya Rao</v>
      </c>
      <c r="R103" s="16" t="n">
        <f aca="false">INDEX(SLA_Days_Col,MATCH(A103,ShipMode_Col,0))</f>
        <v>6</v>
      </c>
    </row>
    <row r="104" customFormat="false" ht="15" hidden="false" customHeight="false" outlineLevel="0" collapsed="false">
      <c r="A104" s="10" t="s">
        <v>49</v>
      </c>
      <c r="B104" s="10" t="s">
        <v>50</v>
      </c>
      <c r="C104" s="10" t="s">
        <v>51</v>
      </c>
      <c r="D104" s="10" t="s">
        <v>128</v>
      </c>
      <c r="E104" s="10" t="s">
        <v>104</v>
      </c>
      <c r="F104" s="10" t="n">
        <v>55901</v>
      </c>
      <c r="G104" s="10" t="s">
        <v>83</v>
      </c>
      <c r="H104" s="10" t="s">
        <v>62</v>
      </c>
      <c r="I104" s="10" t="s">
        <v>77</v>
      </c>
      <c r="J104" s="13" t="n">
        <v>23.92</v>
      </c>
      <c r="K104" s="10" t="n">
        <v>4</v>
      </c>
      <c r="L104" s="14" t="n">
        <v>0</v>
      </c>
      <c r="M104" s="15" t="n">
        <v>11.7208</v>
      </c>
      <c r="N104" s="10" t="str">
        <f aca="false">IF(M104&lt;0,"Loss",IF(M104&lt;50,"Low Profit",IF(M104&lt;200,"Medium Profit","High Profit")))</f>
        <v>Low Profit</v>
      </c>
      <c r="O104" s="10" t="str">
        <f aca="false">IF(J104&gt;=500,"High Value","Standard")</f>
        <v>Standard</v>
      </c>
      <c r="P104" s="10" t="str">
        <f aca="false">H104&amp;" &gt; "&amp;I104&amp;" ("&amp;K104&amp;" units)"</f>
        <v>Office Supplies &gt; Paper (4 units)</v>
      </c>
      <c r="Q104" s="10" t="str">
        <f aca="false">VLOOKUP(G104,Region_Manager_Table,2,FALSE())</f>
        <v>Aditya Rao</v>
      </c>
      <c r="R104" s="10" t="n">
        <f aca="false">INDEX(SLA_Days_Col,MATCH(A104,ShipMode_Col,0))</f>
        <v>4</v>
      </c>
    </row>
    <row r="105" customFormat="false" ht="15" hidden="false" customHeight="false" outlineLevel="0" collapsed="false">
      <c r="A105" s="16" t="s">
        <v>64</v>
      </c>
      <c r="B105" s="16" t="s">
        <v>50</v>
      </c>
      <c r="C105" s="16" t="s">
        <v>51</v>
      </c>
      <c r="D105" s="16" t="s">
        <v>133</v>
      </c>
      <c r="E105" s="16" t="s">
        <v>134</v>
      </c>
      <c r="F105" s="16" t="n">
        <v>80013</v>
      </c>
      <c r="G105" s="16" t="s">
        <v>61</v>
      </c>
      <c r="H105" s="16" t="s">
        <v>71</v>
      </c>
      <c r="I105" s="16" t="s">
        <v>95</v>
      </c>
      <c r="J105" s="17" t="n">
        <v>238.896</v>
      </c>
      <c r="K105" s="16" t="n">
        <v>6</v>
      </c>
      <c r="L105" s="18" t="n">
        <v>0.2</v>
      </c>
      <c r="M105" s="19" t="n">
        <v>-26.8758</v>
      </c>
      <c r="N105" s="16" t="str">
        <f aca="false">IF(M105&lt;0,"Loss",IF(M105&lt;50,"Low Profit",IF(M105&lt;200,"Medium Profit","High Profit")))</f>
        <v>Loss</v>
      </c>
      <c r="O105" s="16" t="str">
        <f aca="false">IF(J105&gt;=500,"High Value","Standard")</f>
        <v>Standard</v>
      </c>
      <c r="P105" s="16" t="str">
        <f aca="false">H105&amp;" &gt; "&amp;I105&amp;" ("&amp;K105&amp;" units)"</f>
        <v>Technology &gt; Accessories (6 units)</v>
      </c>
      <c r="Q105" s="16" t="str">
        <f aca="false">VLOOKUP(G105,Region_Manager_Table,2,FALSE())</f>
        <v>Sana Sheikh</v>
      </c>
      <c r="R105" s="16" t="n">
        <f aca="false">INDEX(SLA_Days_Col,MATCH(A105,ShipMode_Col,0))</f>
        <v>6</v>
      </c>
    </row>
    <row r="106" customFormat="false" ht="15" hidden="false" customHeight="false" outlineLevel="0" collapsed="false">
      <c r="A106" s="10" t="s">
        <v>64</v>
      </c>
      <c r="B106" s="10" t="s">
        <v>50</v>
      </c>
      <c r="C106" s="10" t="s">
        <v>51</v>
      </c>
      <c r="D106" s="10" t="s">
        <v>133</v>
      </c>
      <c r="E106" s="10" t="s">
        <v>134</v>
      </c>
      <c r="F106" s="10" t="n">
        <v>80013</v>
      </c>
      <c r="G106" s="10" t="s">
        <v>61</v>
      </c>
      <c r="H106" s="10" t="s">
        <v>55</v>
      </c>
      <c r="I106" s="10" t="s">
        <v>69</v>
      </c>
      <c r="J106" s="13" t="n">
        <v>102.36</v>
      </c>
      <c r="K106" s="10" t="n">
        <v>3</v>
      </c>
      <c r="L106" s="14" t="n">
        <v>0.2</v>
      </c>
      <c r="M106" s="15" t="n">
        <v>-3.8385</v>
      </c>
      <c r="N106" s="10" t="str">
        <f aca="false">IF(M106&lt;0,"Loss",IF(M106&lt;50,"Low Profit",IF(M106&lt;200,"Medium Profit","High Profit")))</f>
        <v>Loss</v>
      </c>
      <c r="O106" s="10" t="str">
        <f aca="false">IF(J106&gt;=500,"High Value","Standard")</f>
        <v>Standard</v>
      </c>
      <c r="P106" s="10" t="str">
        <f aca="false">H106&amp;" &gt; "&amp;I106&amp;" ("&amp;K106&amp;" units)"</f>
        <v>Furniture &gt; Furnishings (3 units)</v>
      </c>
      <c r="Q106" s="10" t="str">
        <f aca="false">VLOOKUP(G106,Region_Manager_Table,2,FALSE())</f>
        <v>Sana Sheikh</v>
      </c>
      <c r="R106" s="10" t="n">
        <f aca="false">INDEX(SLA_Days_Col,MATCH(A106,ShipMode_Col,0))</f>
        <v>6</v>
      </c>
    </row>
    <row r="107" customFormat="false" ht="15" hidden="false" customHeight="false" outlineLevel="0" collapsed="false">
      <c r="A107" s="16" t="s">
        <v>64</v>
      </c>
      <c r="B107" s="16" t="s">
        <v>50</v>
      </c>
      <c r="C107" s="16" t="s">
        <v>51</v>
      </c>
      <c r="D107" s="16" t="s">
        <v>133</v>
      </c>
      <c r="E107" s="16" t="s">
        <v>134</v>
      </c>
      <c r="F107" s="16" t="n">
        <v>80013</v>
      </c>
      <c r="G107" s="16" t="s">
        <v>61</v>
      </c>
      <c r="H107" s="16" t="s">
        <v>62</v>
      </c>
      <c r="I107" s="16" t="s">
        <v>73</v>
      </c>
      <c r="J107" s="17" t="n">
        <v>36.882</v>
      </c>
      <c r="K107" s="16" t="n">
        <v>3</v>
      </c>
      <c r="L107" s="18" t="n">
        <v>0.7</v>
      </c>
      <c r="M107" s="19" t="n">
        <v>-25.8174</v>
      </c>
      <c r="N107" s="16" t="str">
        <f aca="false">IF(M107&lt;0,"Loss",IF(M107&lt;50,"Low Profit",IF(M107&lt;200,"Medium Profit","High Profit")))</f>
        <v>Loss</v>
      </c>
      <c r="O107" s="16" t="str">
        <f aca="false">IF(J107&gt;=500,"High Value","Standard")</f>
        <v>Standard</v>
      </c>
      <c r="P107" s="16" t="str">
        <f aca="false">H107&amp;" &gt; "&amp;I107&amp;" ("&amp;K107&amp;" units)"</f>
        <v>Office Supplies &gt; Binders (3 units)</v>
      </c>
      <c r="Q107" s="16" t="str">
        <f aca="false">VLOOKUP(G107,Region_Manager_Table,2,FALSE())</f>
        <v>Sana Sheikh</v>
      </c>
      <c r="R107" s="16" t="n">
        <f aca="false">INDEX(SLA_Days_Col,MATCH(A107,ShipMode_Col,0))</f>
        <v>6</v>
      </c>
    </row>
    <row r="108" customFormat="false" ht="15" hidden="false" customHeight="false" outlineLevel="0" collapsed="false">
      <c r="A108" s="10" t="s">
        <v>64</v>
      </c>
      <c r="B108" s="10" t="s">
        <v>50</v>
      </c>
      <c r="C108" s="10" t="s">
        <v>51</v>
      </c>
      <c r="D108" s="10" t="s">
        <v>135</v>
      </c>
      <c r="E108" s="10" t="s">
        <v>76</v>
      </c>
      <c r="F108" s="10" t="n">
        <v>28205</v>
      </c>
      <c r="G108" s="10" t="s">
        <v>54</v>
      </c>
      <c r="H108" s="10" t="s">
        <v>71</v>
      </c>
      <c r="I108" s="10" t="s">
        <v>95</v>
      </c>
      <c r="J108" s="13" t="n">
        <v>74.112</v>
      </c>
      <c r="K108" s="10" t="n">
        <v>8</v>
      </c>
      <c r="L108" s="14" t="n">
        <v>0.2</v>
      </c>
      <c r="M108" s="15" t="n">
        <v>17.6016</v>
      </c>
      <c r="N108" s="10" t="str">
        <f aca="false">IF(M108&lt;0,"Loss",IF(M108&lt;50,"Low Profit",IF(M108&lt;200,"Medium Profit","High Profit")))</f>
        <v>Low Profit</v>
      </c>
      <c r="O108" s="10" t="str">
        <f aca="false">IF(J108&gt;=500,"High Value","Standard")</f>
        <v>Standard</v>
      </c>
      <c r="P108" s="10" t="str">
        <f aca="false">H108&amp;" &gt; "&amp;I108&amp;" ("&amp;K108&amp;" units)"</f>
        <v>Technology &gt; Accessories (8 units)</v>
      </c>
      <c r="Q108" s="10" t="str">
        <f aca="false">VLOOKUP(G108,Region_Manager_Table,2,FALSE())</f>
        <v>Karthik Iyer</v>
      </c>
      <c r="R108" s="10" t="n">
        <f aca="false">INDEX(SLA_Days_Col,MATCH(A108,ShipMode_Col,0))</f>
        <v>6</v>
      </c>
    </row>
    <row r="109" customFormat="false" ht="15" hidden="false" customHeight="false" outlineLevel="0" collapsed="false">
      <c r="A109" s="16" t="s">
        <v>64</v>
      </c>
      <c r="B109" s="16" t="s">
        <v>50</v>
      </c>
      <c r="C109" s="16" t="s">
        <v>51</v>
      </c>
      <c r="D109" s="16" t="s">
        <v>135</v>
      </c>
      <c r="E109" s="16" t="s">
        <v>76</v>
      </c>
      <c r="F109" s="16" t="n">
        <v>28205</v>
      </c>
      <c r="G109" s="16" t="s">
        <v>54</v>
      </c>
      <c r="H109" s="16" t="s">
        <v>71</v>
      </c>
      <c r="I109" s="16" t="s">
        <v>72</v>
      </c>
      <c r="J109" s="17" t="n">
        <v>27.992</v>
      </c>
      <c r="K109" s="16" t="n">
        <v>1</v>
      </c>
      <c r="L109" s="18" t="n">
        <v>0.2</v>
      </c>
      <c r="M109" s="19" t="n">
        <v>2.0994</v>
      </c>
      <c r="N109" s="16" t="str">
        <f aca="false">IF(M109&lt;0,"Loss",IF(M109&lt;50,"Low Profit",IF(M109&lt;200,"Medium Profit","High Profit")))</f>
        <v>Low Profit</v>
      </c>
      <c r="O109" s="16" t="str">
        <f aca="false">IF(J109&gt;=500,"High Value","Standard")</f>
        <v>Standard</v>
      </c>
      <c r="P109" s="16" t="str">
        <f aca="false">H109&amp;" &gt; "&amp;I109&amp;" ("&amp;K109&amp;" units)"</f>
        <v>Technology &gt; Phones (1 units)</v>
      </c>
      <c r="Q109" s="16" t="str">
        <f aca="false">VLOOKUP(G109,Region_Manager_Table,2,FALSE())</f>
        <v>Karthik Iyer</v>
      </c>
      <c r="R109" s="16" t="n">
        <f aca="false">INDEX(SLA_Days_Col,MATCH(A109,ShipMode_Col,0))</f>
        <v>6</v>
      </c>
    </row>
    <row r="110" customFormat="false" ht="15" hidden="false" customHeight="false" outlineLevel="0" collapsed="false">
      <c r="A110" s="10" t="s">
        <v>64</v>
      </c>
      <c r="B110" s="10" t="s">
        <v>50</v>
      </c>
      <c r="C110" s="10" t="s">
        <v>51</v>
      </c>
      <c r="D110" s="10" t="s">
        <v>135</v>
      </c>
      <c r="E110" s="10" t="s">
        <v>76</v>
      </c>
      <c r="F110" s="10" t="n">
        <v>28205</v>
      </c>
      <c r="G110" s="10" t="s">
        <v>54</v>
      </c>
      <c r="H110" s="10" t="s">
        <v>62</v>
      </c>
      <c r="I110" s="10" t="s">
        <v>70</v>
      </c>
      <c r="J110" s="13" t="n">
        <v>3.304</v>
      </c>
      <c r="K110" s="10" t="n">
        <v>1</v>
      </c>
      <c r="L110" s="14" t="n">
        <v>0.2</v>
      </c>
      <c r="M110" s="15" t="n">
        <v>1.0738</v>
      </c>
      <c r="N110" s="10" t="str">
        <f aca="false">IF(M110&lt;0,"Loss",IF(M110&lt;50,"Low Profit",IF(M110&lt;200,"Medium Profit","High Profit")))</f>
        <v>Low Profit</v>
      </c>
      <c r="O110" s="10" t="str">
        <f aca="false">IF(J110&gt;=500,"High Value","Standard")</f>
        <v>Standard</v>
      </c>
      <c r="P110" s="10" t="str">
        <f aca="false">H110&amp;" &gt; "&amp;I110&amp;" ("&amp;K110&amp;" units)"</f>
        <v>Office Supplies &gt; Art (1 units)</v>
      </c>
      <c r="Q110" s="10" t="str">
        <f aca="false">VLOOKUP(G110,Region_Manager_Table,2,FALSE())</f>
        <v>Karthik Iyer</v>
      </c>
      <c r="R110" s="10" t="n">
        <f aca="false">INDEX(SLA_Days_Col,MATCH(A110,ShipMode_Col,0))</f>
        <v>6</v>
      </c>
    </row>
    <row r="111" customFormat="false" ht="15" hidden="false" customHeight="false" outlineLevel="0" collapsed="false">
      <c r="A111" s="16" t="s">
        <v>64</v>
      </c>
      <c r="B111" s="16" t="s">
        <v>80</v>
      </c>
      <c r="C111" s="16" t="s">
        <v>51</v>
      </c>
      <c r="D111" s="16" t="s">
        <v>136</v>
      </c>
      <c r="E111" s="16" t="s">
        <v>101</v>
      </c>
      <c r="F111" s="16" t="n">
        <v>60462</v>
      </c>
      <c r="G111" s="16" t="s">
        <v>83</v>
      </c>
      <c r="H111" s="16" t="s">
        <v>71</v>
      </c>
      <c r="I111" s="16" t="s">
        <v>95</v>
      </c>
      <c r="J111" s="17" t="n">
        <v>339.96</v>
      </c>
      <c r="K111" s="16" t="n">
        <v>5</v>
      </c>
      <c r="L111" s="18" t="n">
        <v>0.2</v>
      </c>
      <c r="M111" s="19" t="n">
        <v>67.992</v>
      </c>
      <c r="N111" s="16" t="str">
        <f aca="false">IF(M111&lt;0,"Loss",IF(M111&lt;50,"Low Profit",IF(M111&lt;200,"Medium Profit","High Profit")))</f>
        <v>Medium Profit</v>
      </c>
      <c r="O111" s="16" t="str">
        <f aca="false">IF(J111&gt;=500,"High Value","Standard")</f>
        <v>Standard</v>
      </c>
      <c r="P111" s="16" t="str">
        <f aca="false">H111&amp;" &gt; "&amp;I111&amp;" ("&amp;K111&amp;" units)"</f>
        <v>Technology &gt; Accessories (5 units)</v>
      </c>
      <c r="Q111" s="16" t="str">
        <f aca="false">VLOOKUP(G111,Region_Manager_Table,2,FALSE())</f>
        <v>Aditya Rao</v>
      </c>
      <c r="R111" s="16" t="n">
        <f aca="false">INDEX(SLA_Days_Col,MATCH(A111,ShipMode_Col,0))</f>
        <v>6</v>
      </c>
    </row>
    <row r="112" customFormat="false" ht="15" hidden="false" customHeight="false" outlineLevel="0" collapsed="false">
      <c r="A112" s="10" t="s">
        <v>64</v>
      </c>
      <c r="B112" s="10" t="s">
        <v>58</v>
      </c>
      <c r="C112" s="10" t="s">
        <v>51</v>
      </c>
      <c r="D112" s="10" t="s">
        <v>111</v>
      </c>
      <c r="E112" s="10" t="s">
        <v>112</v>
      </c>
      <c r="F112" s="10" t="n">
        <v>10035</v>
      </c>
      <c r="G112" s="10" t="s">
        <v>93</v>
      </c>
      <c r="H112" s="10" t="s">
        <v>55</v>
      </c>
      <c r="I112" s="10" t="s">
        <v>69</v>
      </c>
      <c r="J112" s="13" t="n">
        <v>41.96</v>
      </c>
      <c r="K112" s="10" t="n">
        <v>2</v>
      </c>
      <c r="L112" s="14" t="n">
        <v>0</v>
      </c>
      <c r="M112" s="15" t="n">
        <v>10.9096</v>
      </c>
      <c r="N112" s="10" t="str">
        <f aca="false">IF(M112&lt;0,"Loss",IF(M112&lt;50,"Low Profit",IF(M112&lt;200,"Medium Profit","High Profit")))</f>
        <v>Low Profit</v>
      </c>
      <c r="O112" s="10" t="str">
        <f aca="false">IF(J112&gt;=500,"High Value","Standard")</f>
        <v>Standard</v>
      </c>
      <c r="P112" s="10" t="str">
        <f aca="false">H112&amp;" &gt; "&amp;I112&amp;" ("&amp;K112&amp;" units)"</f>
        <v>Furniture &gt; Furnishings (2 units)</v>
      </c>
      <c r="Q112" s="10" t="str">
        <f aca="false">VLOOKUP(G112,Region_Manager_Table,2,FALSE())</f>
        <v>Priya Menon</v>
      </c>
      <c r="R112" s="10" t="n">
        <f aca="false">INDEX(SLA_Days_Col,MATCH(A112,ShipMode_Col,0))</f>
        <v>6</v>
      </c>
    </row>
    <row r="113" customFormat="false" ht="15" hidden="false" customHeight="false" outlineLevel="0" collapsed="false">
      <c r="A113" s="16" t="s">
        <v>64</v>
      </c>
      <c r="B113" s="16" t="s">
        <v>50</v>
      </c>
      <c r="C113" s="16" t="s">
        <v>51</v>
      </c>
      <c r="D113" s="16" t="s">
        <v>137</v>
      </c>
      <c r="E113" s="16" t="s">
        <v>138</v>
      </c>
      <c r="F113" s="16" t="n">
        <v>50322</v>
      </c>
      <c r="G113" s="16" t="s">
        <v>83</v>
      </c>
      <c r="H113" s="16" t="s">
        <v>62</v>
      </c>
      <c r="I113" s="16" t="s">
        <v>70</v>
      </c>
      <c r="J113" s="17" t="n">
        <v>75.96</v>
      </c>
      <c r="K113" s="16" t="n">
        <v>2</v>
      </c>
      <c r="L113" s="18" t="n">
        <v>0</v>
      </c>
      <c r="M113" s="19" t="n">
        <v>22.788</v>
      </c>
      <c r="N113" s="16" t="str">
        <f aca="false">IF(M113&lt;0,"Loss",IF(M113&lt;50,"Low Profit",IF(M113&lt;200,"Medium Profit","High Profit")))</f>
        <v>Low Profit</v>
      </c>
      <c r="O113" s="16" t="str">
        <f aca="false">IF(J113&gt;=500,"High Value","Standard")</f>
        <v>Standard</v>
      </c>
      <c r="P113" s="16" t="str">
        <f aca="false">H113&amp;" &gt; "&amp;I113&amp;" ("&amp;K113&amp;" units)"</f>
        <v>Office Supplies &gt; Art (2 units)</v>
      </c>
      <c r="Q113" s="16" t="str">
        <f aca="false">VLOOKUP(G113,Region_Manager_Table,2,FALSE())</f>
        <v>Aditya Rao</v>
      </c>
      <c r="R113" s="16" t="n">
        <f aca="false">INDEX(SLA_Days_Col,MATCH(A113,ShipMode_Col,0))</f>
        <v>6</v>
      </c>
    </row>
    <row r="114" customFormat="false" ht="15" hidden="false" customHeight="false" outlineLevel="0" collapsed="false">
      <c r="A114" s="10" t="s">
        <v>64</v>
      </c>
      <c r="B114" s="10" t="s">
        <v>50</v>
      </c>
      <c r="C114" s="10" t="s">
        <v>51</v>
      </c>
      <c r="D114" s="10" t="s">
        <v>137</v>
      </c>
      <c r="E114" s="10" t="s">
        <v>138</v>
      </c>
      <c r="F114" s="10" t="n">
        <v>50322</v>
      </c>
      <c r="G114" s="10" t="s">
        <v>83</v>
      </c>
      <c r="H114" s="10" t="s">
        <v>62</v>
      </c>
      <c r="I114" s="10" t="s">
        <v>73</v>
      </c>
      <c r="J114" s="13" t="n">
        <v>27.24</v>
      </c>
      <c r="K114" s="10" t="n">
        <v>6</v>
      </c>
      <c r="L114" s="14" t="n">
        <v>0</v>
      </c>
      <c r="M114" s="15" t="n">
        <v>13.3476</v>
      </c>
      <c r="N114" s="10" t="str">
        <f aca="false">IF(M114&lt;0,"Loss",IF(M114&lt;50,"Low Profit",IF(M114&lt;200,"Medium Profit","High Profit")))</f>
        <v>Low Profit</v>
      </c>
      <c r="O114" s="10" t="str">
        <f aca="false">IF(J114&gt;=500,"High Value","Standard")</f>
        <v>Standard</v>
      </c>
      <c r="P114" s="10" t="str">
        <f aca="false">H114&amp;" &gt; "&amp;I114&amp;" ("&amp;K114&amp;" units)"</f>
        <v>Office Supplies &gt; Binders (6 units)</v>
      </c>
      <c r="Q114" s="10" t="str">
        <f aca="false">VLOOKUP(G114,Region_Manager_Table,2,FALSE())</f>
        <v>Aditya Rao</v>
      </c>
      <c r="R114" s="10" t="n">
        <f aca="false">INDEX(SLA_Days_Col,MATCH(A114,ShipMode_Col,0))</f>
        <v>6</v>
      </c>
    </row>
    <row r="115" customFormat="false" ht="15" hidden="false" customHeight="false" outlineLevel="0" collapsed="false">
      <c r="A115" s="16" t="s">
        <v>49</v>
      </c>
      <c r="B115" s="16" t="s">
        <v>50</v>
      </c>
      <c r="C115" s="16" t="s">
        <v>51</v>
      </c>
      <c r="D115" s="16" t="s">
        <v>139</v>
      </c>
      <c r="E115" s="16" t="s">
        <v>140</v>
      </c>
      <c r="F115" s="16" t="n">
        <v>43229</v>
      </c>
      <c r="G115" s="16" t="s">
        <v>93</v>
      </c>
      <c r="H115" s="16" t="s">
        <v>62</v>
      </c>
      <c r="I115" s="16" t="s">
        <v>113</v>
      </c>
      <c r="J115" s="17" t="n">
        <v>40.096</v>
      </c>
      <c r="K115" s="16" t="n">
        <v>14</v>
      </c>
      <c r="L115" s="18" t="n">
        <v>0.2</v>
      </c>
      <c r="M115" s="19" t="n">
        <v>14.5348</v>
      </c>
      <c r="N115" s="16" t="str">
        <f aca="false">IF(M115&lt;0,"Loss",IF(M115&lt;50,"Low Profit",IF(M115&lt;200,"Medium Profit","High Profit")))</f>
        <v>Low Profit</v>
      </c>
      <c r="O115" s="16" t="str">
        <f aca="false">IF(J115&gt;=500,"High Value","Standard")</f>
        <v>Standard</v>
      </c>
      <c r="P115" s="16" t="str">
        <f aca="false">H115&amp;" &gt; "&amp;I115&amp;" ("&amp;K115&amp;" units)"</f>
        <v>Office Supplies &gt; Fasteners (14 units)</v>
      </c>
      <c r="Q115" s="16" t="str">
        <f aca="false">VLOOKUP(G115,Region_Manager_Table,2,FALSE())</f>
        <v>Priya Menon</v>
      </c>
      <c r="R115" s="16" t="n">
        <f aca="false">INDEX(SLA_Days_Col,MATCH(A115,ShipMode_Col,0))</f>
        <v>4</v>
      </c>
    </row>
    <row r="116" customFormat="false" ht="15" hidden="false" customHeight="false" outlineLevel="0" collapsed="false">
      <c r="A116" s="10" t="s">
        <v>49</v>
      </c>
      <c r="B116" s="10" t="s">
        <v>50</v>
      </c>
      <c r="C116" s="10" t="s">
        <v>51</v>
      </c>
      <c r="D116" s="10" t="s">
        <v>139</v>
      </c>
      <c r="E116" s="10" t="s">
        <v>140</v>
      </c>
      <c r="F116" s="10" t="n">
        <v>43229</v>
      </c>
      <c r="G116" s="10" t="s">
        <v>93</v>
      </c>
      <c r="H116" s="10" t="s">
        <v>62</v>
      </c>
      <c r="I116" s="10" t="s">
        <v>96</v>
      </c>
      <c r="J116" s="13" t="n">
        <v>4.72</v>
      </c>
      <c r="K116" s="10" t="n">
        <v>2</v>
      </c>
      <c r="L116" s="14" t="n">
        <v>0.2</v>
      </c>
      <c r="M116" s="15" t="n">
        <v>1.652</v>
      </c>
      <c r="N116" s="10" t="str">
        <f aca="false">IF(M116&lt;0,"Loss",IF(M116&lt;50,"Low Profit",IF(M116&lt;200,"Medium Profit","High Profit")))</f>
        <v>Low Profit</v>
      </c>
      <c r="O116" s="10" t="str">
        <f aca="false">IF(J116&gt;=500,"High Value","Standard")</f>
        <v>Standard</v>
      </c>
      <c r="P116" s="10" t="str">
        <f aca="false">H116&amp;" &gt; "&amp;I116&amp;" ("&amp;K116&amp;" units)"</f>
        <v>Office Supplies &gt; Envelopes (2 units)</v>
      </c>
      <c r="Q116" s="10" t="str">
        <f aca="false">VLOOKUP(G116,Region_Manager_Table,2,FALSE())</f>
        <v>Priya Menon</v>
      </c>
      <c r="R116" s="10" t="n">
        <f aca="false">INDEX(SLA_Days_Col,MATCH(A116,ShipMode_Col,0))</f>
        <v>4</v>
      </c>
    </row>
    <row r="117" customFormat="false" ht="15" hidden="false" customHeight="false" outlineLevel="0" collapsed="false">
      <c r="A117" s="16" t="s">
        <v>49</v>
      </c>
      <c r="B117" s="16" t="s">
        <v>50</v>
      </c>
      <c r="C117" s="16" t="s">
        <v>51</v>
      </c>
      <c r="D117" s="16" t="s">
        <v>139</v>
      </c>
      <c r="E117" s="16" t="s">
        <v>140</v>
      </c>
      <c r="F117" s="16" t="n">
        <v>43229</v>
      </c>
      <c r="G117" s="16" t="s">
        <v>93</v>
      </c>
      <c r="H117" s="16" t="s">
        <v>62</v>
      </c>
      <c r="I117" s="16" t="s">
        <v>77</v>
      </c>
      <c r="J117" s="17" t="n">
        <v>23.976</v>
      </c>
      <c r="K117" s="16" t="n">
        <v>3</v>
      </c>
      <c r="L117" s="18" t="n">
        <v>0.2</v>
      </c>
      <c r="M117" s="19" t="n">
        <v>7.4925</v>
      </c>
      <c r="N117" s="16" t="str">
        <f aca="false">IF(M117&lt;0,"Loss",IF(M117&lt;50,"Low Profit",IF(M117&lt;200,"Medium Profit","High Profit")))</f>
        <v>Low Profit</v>
      </c>
      <c r="O117" s="16" t="str">
        <f aca="false">IF(J117&gt;=500,"High Value","Standard")</f>
        <v>Standard</v>
      </c>
      <c r="P117" s="16" t="str">
        <f aca="false">H117&amp;" &gt; "&amp;I117&amp;" ("&amp;K117&amp;" units)"</f>
        <v>Office Supplies &gt; Paper (3 units)</v>
      </c>
      <c r="Q117" s="16" t="str">
        <f aca="false">VLOOKUP(G117,Region_Manager_Table,2,FALSE())</f>
        <v>Priya Menon</v>
      </c>
      <c r="R117" s="16" t="n">
        <f aca="false">INDEX(SLA_Days_Col,MATCH(A117,ShipMode_Col,0))</f>
        <v>4</v>
      </c>
    </row>
    <row r="118" customFormat="false" ht="15" hidden="false" customHeight="false" outlineLevel="0" collapsed="false">
      <c r="A118" s="10" t="s">
        <v>49</v>
      </c>
      <c r="B118" s="10" t="s">
        <v>50</v>
      </c>
      <c r="C118" s="10" t="s">
        <v>51</v>
      </c>
      <c r="D118" s="10" t="s">
        <v>139</v>
      </c>
      <c r="E118" s="10" t="s">
        <v>140</v>
      </c>
      <c r="F118" s="10" t="n">
        <v>43229</v>
      </c>
      <c r="G118" s="10" t="s">
        <v>93</v>
      </c>
      <c r="H118" s="10" t="s">
        <v>62</v>
      </c>
      <c r="I118" s="10" t="s">
        <v>96</v>
      </c>
      <c r="J118" s="13" t="n">
        <v>130.464</v>
      </c>
      <c r="K118" s="10" t="n">
        <v>6</v>
      </c>
      <c r="L118" s="14" t="n">
        <v>0.2</v>
      </c>
      <c r="M118" s="15" t="n">
        <v>44.0316</v>
      </c>
      <c r="N118" s="10" t="str">
        <f aca="false">IF(M118&lt;0,"Loss",IF(M118&lt;50,"Low Profit",IF(M118&lt;200,"Medium Profit","High Profit")))</f>
        <v>Low Profit</v>
      </c>
      <c r="O118" s="10" t="str">
        <f aca="false">IF(J118&gt;=500,"High Value","Standard")</f>
        <v>Standard</v>
      </c>
      <c r="P118" s="10" t="str">
        <f aca="false">H118&amp;" &gt; "&amp;I118&amp;" ("&amp;K118&amp;" units)"</f>
        <v>Office Supplies &gt; Envelopes (6 units)</v>
      </c>
      <c r="Q118" s="10" t="str">
        <f aca="false">VLOOKUP(G118,Region_Manager_Table,2,FALSE())</f>
        <v>Priya Menon</v>
      </c>
      <c r="R118" s="10" t="n">
        <f aca="false">INDEX(SLA_Days_Col,MATCH(A118,ShipMode_Col,0))</f>
        <v>4</v>
      </c>
    </row>
    <row r="119" customFormat="false" ht="15" hidden="false" customHeight="false" outlineLevel="0" collapsed="false">
      <c r="A119" s="16" t="s">
        <v>64</v>
      </c>
      <c r="B119" s="16" t="s">
        <v>50</v>
      </c>
      <c r="C119" s="16" t="s">
        <v>51</v>
      </c>
      <c r="D119" s="16" t="s">
        <v>78</v>
      </c>
      <c r="E119" s="16" t="s">
        <v>79</v>
      </c>
      <c r="F119" s="16" t="n">
        <v>98103</v>
      </c>
      <c r="G119" s="16" t="s">
        <v>61</v>
      </c>
      <c r="H119" s="16" t="s">
        <v>55</v>
      </c>
      <c r="I119" s="16" t="s">
        <v>67</v>
      </c>
      <c r="J119" s="17" t="n">
        <v>787.53</v>
      </c>
      <c r="K119" s="16" t="n">
        <v>3</v>
      </c>
      <c r="L119" s="18" t="n">
        <v>0</v>
      </c>
      <c r="M119" s="19" t="n">
        <v>165.3813</v>
      </c>
      <c r="N119" s="16" t="str">
        <f aca="false">IF(M119&lt;0,"Loss",IF(M119&lt;50,"Low Profit",IF(M119&lt;200,"Medium Profit","High Profit")))</f>
        <v>Medium Profit</v>
      </c>
      <c r="O119" s="16" t="str">
        <f aca="false">IF(J119&gt;=500,"High Value","Standard")</f>
        <v>High Value</v>
      </c>
      <c r="P119" s="16" t="str">
        <f aca="false">H119&amp;" &gt; "&amp;I119&amp;" ("&amp;K119&amp;" units)"</f>
        <v>Furniture &gt; Tables (3 units)</v>
      </c>
      <c r="Q119" s="16" t="str">
        <f aca="false">VLOOKUP(G119,Region_Manager_Table,2,FALSE())</f>
        <v>Sana Sheikh</v>
      </c>
      <c r="R119" s="16" t="n">
        <f aca="false">INDEX(SLA_Days_Col,MATCH(A119,ShipMode_Col,0))</f>
        <v>6</v>
      </c>
    </row>
    <row r="120" customFormat="false" ht="15" hidden="false" customHeight="false" outlineLevel="0" collapsed="false">
      <c r="A120" s="10" t="s">
        <v>64</v>
      </c>
      <c r="B120" s="10" t="s">
        <v>58</v>
      </c>
      <c r="C120" s="10" t="s">
        <v>51</v>
      </c>
      <c r="D120" s="10" t="s">
        <v>141</v>
      </c>
      <c r="E120" s="10" t="s">
        <v>122</v>
      </c>
      <c r="F120" s="10" t="n">
        <v>37620</v>
      </c>
      <c r="G120" s="10" t="s">
        <v>54</v>
      </c>
      <c r="H120" s="10" t="s">
        <v>62</v>
      </c>
      <c r="I120" s="10" t="s">
        <v>73</v>
      </c>
      <c r="J120" s="13" t="n">
        <v>157.794</v>
      </c>
      <c r="K120" s="10" t="n">
        <v>1</v>
      </c>
      <c r="L120" s="14" t="n">
        <v>0.7</v>
      </c>
      <c r="M120" s="15" t="n">
        <v>-115.7156</v>
      </c>
      <c r="N120" s="10" t="str">
        <f aca="false">IF(M120&lt;0,"Loss",IF(M120&lt;50,"Low Profit",IF(M120&lt;200,"Medium Profit","High Profit")))</f>
        <v>Loss</v>
      </c>
      <c r="O120" s="10" t="str">
        <f aca="false">IF(J120&gt;=500,"High Value","Standard")</f>
        <v>Standard</v>
      </c>
      <c r="P120" s="10" t="str">
        <f aca="false">H120&amp;" &gt; "&amp;I120&amp;" ("&amp;K120&amp;" units)"</f>
        <v>Office Supplies &gt; Binders (1 units)</v>
      </c>
      <c r="Q120" s="10" t="str">
        <f aca="false">VLOOKUP(G120,Region_Manager_Table,2,FALSE())</f>
        <v>Karthik Iyer</v>
      </c>
      <c r="R120" s="10" t="n">
        <f aca="false">INDEX(SLA_Days_Col,MATCH(A120,ShipMode_Col,0))</f>
        <v>6</v>
      </c>
    </row>
    <row r="121" customFormat="false" ht="15" hidden="false" customHeight="false" outlineLevel="0" collapsed="false">
      <c r="A121" s="16" t="s">
        <v>98</v>
      </c>
      <c r="B121" s="16" t="s">
        <v>50</v>
      </c>
      <c r="C121" s="16" t="s">
        <v>51</v>
      </c>
      <c r="D121" s="16" t="s">
        <v>142</v>
      </c>
      <c r="E121" s="16" t="s">
        <v>108</v>
      </c>
      <c r="F121" s="16" t="n">
        <v>19805</v>
      </c>
      <c r="G121" s="16" t="s">
        <v>93</v>
      </c>
      <c r="H121" s="16" t="s">
        <v>55</v>
      </c>
      <c r="I121" s="16" t="s">
        <v>69</v>
      </c>
      <c r="J121" s="17" t="n">
        <v>47.04</v>
      </c>
      <c r="K121" s="16" t="n">
        <v>3</v>
      </c>
      <c r="L121" s="18" t="n">
        <v>0</v>
      </c>
      <c r="M121" s="19" t="n">
        <v>18.3456</v>
      </c>
      <c r="N121" s="16" t="str">
        <f aca="false">IF(M121&lt;0,"Loss",IF(M121&lt;50,"Low Profit",IF(M121&lt;200,"Medium Profit","High Profit")))</f>
        <v>Low Profit</v>
      </c>
      <c r="O121" s="16" t="str">
        <f aca="false">IF(J121&gt;=500,"High Value","Standard")</f>
        <v>Standard</v>
      </c>
      <c r="P121" s="16" t="str">
        <f aca="false">H121&amp;" &gt; "&amp;I121&amp;" ("&amp;K121&amp;" units)"</f>
        <v>Furniture &gt; Furnishings (3 units)</v>
      </c>
      <c r="Q121" s="16" t="str">
        <f aca="false">VLOOKUP(G121,Region_Manager_Table,2,FALSE())</f>
        <v>Priya Menon</v>
      </c>
      <c r="R121" s="16" t="n">
        <f aca="false">INDEX(SLA_Days_Col,MATCH(A121,ShipMode_Col,0))</f>
        <v>2</v>
      </c>
    </row>
    <row r="122" customFormat="false" ht="15" hidden="false" customHeight="false" outlineLevel="0" collapsed="false">
      <c r="A122" s="10" t="s">
        <v>98</v>
      </c>
      <c r="B122" s="10" t="s">
        <v>50</v>
      </c>
      <c r="C122" s="10" t="s">
        <v>51</v>
      </c>
      <c r="D122" s="10" t="s">
        <v>142</v>
      </c>
      <c r="E122" s="10" t="s">
        <v>108</v>
      </c>
      <c r="F122" s="10" t="n">
        <v>19805</v>
      </c>
      <c r="G122" s="10" t="s">
        <v>93</v>
      </c>
      <c r="H122" s="10" t="s">
        <v>62</v>
      </c>
      <c r="I122" s="10" t="s">
        <v>73</v>
      </c>
      <c r="J122" s="13" t="n">
        <v>30.84</v>
      </c>
      <c r="K122" s="10" t="n">
        <v>4</v>
      </c>
      <c r="L122" s="14" t="n">
        <v>0</v>
      </c>
      <c r="M122" s="15" t="n">
        <v>13.878</v>
      </c>
      <c r="N122" s="10" t="str">
        <f aca="false">IF(M122&lt;0,"Loss",IF(M122&lt;50,"Low Profit",IF(M122&lt;200,"Medium Profit","High Profit")))</f>
        <v>Low Profit</v>
      </c>
      <c r="O122" s="10" t="str">
        <f aca="false">IF(J122&gt;=500,"High Value","Standard")</f>
        <v>Standard</v>
      </c>
      <c r="P122" s="10" t="str">
        <f aca="false">H122&amp;" &gt; "&amp;I122&amp;" ("&amp;K122&amp;" units)"</f>
        <v>Office Supplies &gt; Binders (4 units)</v>
      </c>
      <c r="Q122" s="10" t="str">
        <f aca="false">VLOOKUP(G122,Region_Manager_Table,2,FALSE())</f>
        <v>Priya Menon</v>
      </c>
      <c r="R122" s="10" t="n">
        <f aca="false">INDEX(SLA_Days_Col,MATCH(A122,ShipMode_Col,0))</f>
        <v>2</v>
      </c>
    </row>
    <row r="123" customFormat="false" ht="15" hidden="false" customHeight="false" outlineLevel="0" collapsed="false">
      <c r="A123" s="16" t="s">
        <v>98</v>
      </c>
      <c r="B123" s="16" t="s">
        <v>50</v>
      </c>
      <c r="C123" s="16" t="s">
        <v>51</v>
      </c>
      <c r="D123" s="16" t="s">
        <v>142</v>
      </c>
      <c r="E123" s="16" t="s">
        <v>108</v>
      </c>
      <c r="F123" s="16" t="n">
        <v>19805</v>
      </c>
      <c r="G123" s="16" t="s">
        <v>93</v>
      </c>
      <c r="H123" s="16" t="s">
        <v>62</v>
      </c>
      <c r="I123" s="16" t="s">
        <v>68</v>
      </c>
      <c r="J123" s="17" t="n">
        <v>226.56</v>
      </c>
      <c r="K123" s="16" t="n">
        <v>6</v>
      </c>
      <c r="L123" s="18" t="n">
        <v>0</v>
      </c>
      <c r="M123" s="19" t="n">
        <v>63.4368</v>
      </c>
      <c r="N123" s="16" t="str">
        <f aca="false">IF(M123&lt;0,"Loss",IF(M123&lt;50,"Low Profit",IF(M123&lt;200,"Medium Profit","High Profit")))</f>
        <v>Medium Profit</v>
      </c>
      <c r="O123" s="16" t="str">
        <f aca="false">IF(J123&gt;=500,"High Value","Standard")</f>
        <v>Standard</v>
      </c>
      <c r="P123" s="16" t="str">
        <f aca="false">H123&amp;" &gt; "&amp;I123&amp;" ("&amp;K123&amp;" units)"</f>
        <v>Office Supplies &gt; Storage (6 units)</v>
      </c>
      <c r="Q123" s="16" t="str">
        <f aca="false">VLOOKUP(G123,Region_Manager_Table,2,FALSE())</f>
        <v>Priya Menon</v>
      </c>
      <c r="R123" s="16" t="n">
        <f aca="false">INDEX(SLA_Days_Col,MATCH(A123,ShipMode_Col,0))</f>
        <v>2</v>
      </c>
    </row>
    <row r="124" customFormat="false" ht="15" hidden="false" customHeight="false" outlineLevel="0" collapsed="false">
      <c r="A124" s="10" t="s">
        <v>98</v>
      </c>
      <c r="B124" s="10" t="s">
        <v>50</v>
      </c>
      <c r="C124" s="10" t="s">
        <v>51</v>
      </c>
      <c r="D124" s="10" t="s">
        <v>142</v>
      </c>
      <c r="E124" s="10" t="s">
        <v>108</v>
      </c>
      <c r="F124" s="10" t="n">
        <v>19805</v>
      </c>
      <c r="G124" s="10" t="s">
        <v>93</v>
      </c>
      <c r="H124" s="10" t="s">
        <v>62</v>
      </c>
      <c r="I124" s="10" t="s">
        <v>96</v>
      </c>
      <c r="J124" s="13" t="n">
        <v>115.02</v>
      </c>
      <c r="K124" s="10" t="n">
        <v>9</v>
      </c>
      <c r="L124" s="14" t="n">
        <v>0</v>
      </c>
      <c r="M124" s="15" t="n">
        <v>51.759</v>
      </c>
      <c r="N124" s="10" t="str">
        <f aca="false">IF(M124&lt;0,"Loss",IF(M124&lt;50,"Low Profit",IF(M124&lt;200,"Medium Profit","High Profit")))</f>
        <v>Medium Profit</v>
      </c>
      <c r="O124" s="10" t="str">
        <f aca="false">IF(J124&gt;=500,"High Value","Standard")</f>
        <v>Standard</v>
      </c>
      <c r="P124" s="10" t="str">
        <f aca="false">H124&amp;" &gt; "&amp;I124&amp;" ("&amp;K124&amp;" units)"</f>
        <v>Office Supplies &gt; Envelopes (9 units)</v>
      </c>
      <c r="Q124" s="10" t="str">
        <f aca="false">VLOOKUP(G124,Region_Manager_Table,2,FALSE())</f>
        <v>Priya Menon</v>
      </c>
      <c r="R124" s="10" t="n">
        <f aca="false">INDEX(SLA_Days_Col,MATCH(A124,ShipMode_Col,0))</f>
        <v>2</v>
      </c>
    </row>
    <row r="125" customFormat="false" ht="15" hidden="false" customHeight="false" outlineLevel="0" collapsed="false">
      <c r="A125" s="16" t="s">
        <v>98</v>
      </c>
      <c r="B125" s="16" t="s">
        <v>50</v>
      </c>
      <c r="C125" s="16" t="s">
        <v>51</v>
      </c>
      <c r="D125" s="16" t="s">
        <v>142</v>
      </c>
      <c r="E125" s="16" t="s">
        <v>108</v>
      </c>
      <c r="F125" s="16" t="n">
        <v>19805</v>
      </c>
      <c r="G125" s="16" t="s">
        <v>93</v>
      </c>
      <c r="H125" s="16" t="s">
        <v>71</v>
      </c>
      <c r="I125" s="16" t="s">
        <v>72</v>
      </c>
      <c r="J125" s="17" t="n">
        <v>68.04</v>
      </c>
      <c r="K125" s="16" t="n">
        <v>7</v>
      </c>
      <c r="L125" s="18" t="n">
        <v>0</v>
      </c>
      <c r="M125" s="19" t="n">
        <v>19.7316</v>
      </c>
      <c r="N125" s="16" t="str">
        <f aca="false">IF(M125&lt;0,"Loss",IF(M125&lt;50,"Low Profit",IF(M125&lt;200,"Medium Profit","High Profit")))</f>
        <v>Low Profit</v>
      </c>
      <c r="O125" s="16" t="str">
        <f aca="false">IF(J125&gt;=500,"High Value","Standard")</f>
        <v>Standard</v>
      </c>
      <c r="P125" s="16" t="str">
        <f aca="false">H125&amp;" &gt; "&amp;I125&amp;" ("&amp;K125&amp;" units)"</f>
        <v>Technology &gt; Phones (7 units)</v>
      </c>
      <c r="Q125" s="16" t="str">
        <f aca="false">VLOOKUP(G125,Region_Manager_Table,2,FALSE())</f>
        <v>Priya Menon</v>
      </c>
      <c r="R125" s="16" t="n">
        <f aca="false">INDEX(SLA_Days_Col,MATCH(A125,ShipMode_Col,0))</f>
        <v>2</v>
      </c>
    </row>
    <row r="126" customFormat="false" ht="15" hidden="false" customHeight="false" outlineLevel="0" collapsed="false">
      <c r="A126" s="10" t="s">
        <v>49</v>
      </c>
      <c r="B126" s="10" t="s">
        <v>80</v>
      </c>
      <c r="C126" s="10" t="s">
        <v>51</v>
      </c>
      <c r="D126" s="10" t="s">
        <v>97</v>
      </c>
      <c r="E126" s="10" t="s">
        <v>82</v>
      </c>
      <c r="F126" s="10" t="n">
        <v>77041</v>
      </c>
      <c r="G126" s="10" t="s">
        <v>83</v>
      </c>
      <c r="H126" s="10" t="s">
        <v>55</v>
      </c>
      <c r="I126" s="10" t="s">
        <v>57</v>
      </c>
      <c r="J126" s="13" t="n">
        <v>600.558</v>
      </c>
      <c r="K126" s="10" t="n">
        <v>3</v>
      </c>
      <c r="L126" s="14" t="n">
        <v>0.3</v>
      </c>
      <c r="M126" s="15" t="n">
        <v>-8.5794</v>
      </c>
      <c r="N126" s="10" t="str">
        <f aca="false">IF(M126&lt;0,"Loss",IF(M126&lt;50,"Low Profit",IF(M126&lt;200,"Medium Profit","High Profit")))</f>
        <v>Loss</v>
      </c>
      <c r="O126" s="10" t="str">
        <f aca="false">IF(J126&gt;=500,"High Value","Standard")</f>
        <v>High Value</v>
      </c>
      <c r="P126" s="10" t="str">
        <f aca="false">H126&amp;" &gt; "&amp;I126&amp;" ("&amp;K126&amp;" units)"</f>
        <v>Furniture &gt; Chairs (3 units)</v>
      </c>
      <c r="Q126" s="10" t="str">
        <f aca="false">VLOOKUP(G126,Region_Manager_Table,2,FALSE())</f>
        <v>Aditya Rao</v>
      </c>
      <c r="R126" s="10" t="n">
        <f aca="false">INDEX(SLA_Days_Col,MATCH(A126,ShipMode_Col,0))</f>
        <v>4</v>
      </c>
    </row>
    <row r="127" customFormat="false" ht="15" hidden="false" customHeight="false" outlineLevel="0" collapsed="false">
      <c r="A127" s="16" t="s">
        <v>64</v>
      </c>
      <c r="B127" s="16" t="s">
        <v>50</v>
      </c>
      <c r="C127" s="16" t="s">
        <v>51</v>
      </c>
      <c r="D127" s="16" t="s">
        <v>143</v>
      </c>
      <c r="E127" s="16" t="s">
        <v>101</v>
      </c>
      <c r="F127" s="16" t="n">
        <v>61701</v>
      </c>
      <c r="G127" s="16" t="s">
        <v>83</v>
      </c>
      <c r="H127" s="16" t="s">
        <v>55</v>
      </c>
      <c r="I127" s="16" t="s">
        <v>67</v>
      </c>
      <c r="J127" s="17" t="n">
        <v>617.7</v>
      </c>
      <c r="K127" s="16" t="n">
        <v>6</v>
      </c>
      <c r="L127" s="18" t="n">
        <v>0.5</v>
      </c>
      <c r="M127" s="19" t="n">
        <v>-407.682</v>
      </c>
      <c r="N127" s="16" t="str">
        <f aca="false">IF(M127&lt;0,"Loss",IF(M127&lt;50,"Low Profit",IF(M127&lt;200,"Medium Profit","High Profit")))</f>
        <v>Loss</v>
      </c>
      <c r="O127" s="16" t="str">
        <f aca="false">IF(J127&gt;=500,"High Value","Standard")</f>
        <v>High Value</v>
      </c>
      <c r="P127" s="16" t="str">
        <f aca="false">H127&amp;" &gt; "&amp;I127&amp;" ("&amp;K127&amp;" units)"</f>
        <v>Furniture &gt; Tables (6 units)</v>
      </c>
      <c r="Q127" s="16" t="str">
        <f aca="false">VLOOKUP(G127,Region_Manager_Table,2,FALSE())</f>
        <v>Aditya Rao</v>
      </c>
      <c r="R127" s="16" t="n">
        <f aca="false">INDEX(SLA_Days_Col,MATCH(A127,ShipMode_Col,0))</f>
        <v>6</v>
      </c>
    </row>
    <row r="128" customFormat="false" ht="15" hidden="false" customHeight="false" outlineLevel="0" collapsed="false">
      <c r="A128" s="10" t="s">
        <v>64</v>
      </c>
      <c r="B128" s="10" t="s">
        <v>50</v>
      </c>
      <c r="C128" s="10" t="s">
        <v>51</v>
      </c>
      <c r="D128" s="10" t="s">
        <v>144</v>
      </c>
      <c r="E128" s="10" t="s">
        <v>117</v>
      </c>
      <c r="F128" s="10" t="n">
        <v>85023</v>
      </c>
      <c r="G128" s="10" t="s">
        <v>61</v>
      </c>
      <c r="H128" s="10" t="s">
        <v>62</v>
      </c>
      <c r="I128" s="10" t="s">
        <v>73</v>
      </c>
      <c r="J128" s="13" t="n">
        <v>2.388</v>
      </c>
      <c r="K128" s="10" t="n">
        <v>2</v>
      </c>
      <c r="L128" s="14" t="n">
        <v>0.7</v>
      </c>
      <c r="M128" s="15" t="n">
        <v>-1.8308</v>
      </c>
      <c r="N128" s="10" t="str">
        <f aca="false">IF(M128&lt;0,"Loss",IF(M128&lt;50,"Low Profit",IF(M128&lt;200,"Medium Profit","High Profit")))</f>
        <v>Loss</v>
      </c>
      <c r="O128" s="10" t="str">
        <f aca="false">IF(J128&gt;=500,"High Value","Standard")</f>
        <v>Standard</v>
      </c>
      <c r="P128" s="10" t="str">
        <f aca="false">H128&amp;" &gt; "&amp;I128&amp;" ("&amp;K128&amp;" units)"</f>
        <v>Office Supplies &gt; Binders (2 units)</v>
      </c>
      <c r="Q128" s="10" t="str">
        <f aca="false">VLOOKUP(G128,Region_Manager_Table,2,FALSE())</f>
        <v>Sana Sheikh</v>
      </c>
      <c r="R128" s="10" t="n">
        <f aca="false">INDEX(SLA_Days_Col,MATCH(A128,ShipMode_Col,0))</f>
        <v>6</v>
      </c>
    </row>
    <row r="129" customFormat="false" ht="15" hidden="false" customHeight="false" outlineLevel="0" collapsed="false">
      <c r="A129" s="16" t="s">
        <v>64</v>
      </c>
      <c r="B129" s="16" t="s">
        <v>50</v>
      </c>
      <c r="C129" s="16" t="s">
        <v>51</v>
      </c>
      <c r="D129" s="16" t="s">
        <v>144</v>
      </c>
      <c r="E129" s="16" t="s">
        <v>117</v>
      </c>
      <c r="F129" s="16" t="n">
        <v>85023</v>
      </c>
      <c r="G129" s="16" t="s">
        <v>61</v>
      </c>
      <c r="H129" s="16" t="s">
        <v>62</v>
      </c>
      <c r="I129" s="16" t="s">
        <v>68</v>
      </c>
      <c r="J129" s="17" t="n">
        <v>243.992</v>
      </c>
      <c r="K129" s="16" t="n">
        <v>7</v>
      </c>
      <c r="L129" s="18" t="n">
        <v>0.2</v>
      </c>
      <c r="M129" s="19" t="n">
        <v>30.499</v>
      </c>
      <c r="N129" s="16" t="str">
        <f aca="false">IF(M129&lt;0,"Loss",IF(M129&lt;50,"Low Profit",IF(M129&lt;200,"Medium Profit","High Profit")))</f>
        <v>Low Profit</v>
      </c>
      <c r="O129" s="16" t="str">
        <f aca="false">IF(J129&gt;=500,"High Value","Standard")</f>
        <v>Standard</v>
      </c>
      <c r="P129" s="16" t="str">
        <f aca="false">H129&amp;" &gt; "&amp;I129&amp;" ("&amp;K129&amp;" units)"</f>
        <v>Office Supplies &gt; Storage (7 units)</v>
      </c>
      <c r="Q129" s="16" t="str">
        <f aca="false">VLOOKUP(G129,Region_Manager_Table,2,FALSE())</f>
        <v>Sana Sheikh</v>
      </c>
      <c r="R129" s="16" t="n">
        <f aca="false">INDEX(SLA_Days_Col,MATCH(A129,ShipMode_Col,0))</f>
        <v>6</v>
      </c>
    </row>
    <row r="130" customFormat="false" ht="15" hidden="false" customHeight="false" outlineLevel="0" collapsed="false">
      <c r="A130" s="10" t="s">
        <v>49</v>
      </c>
      <c r="B130" s="10" t="s">
        <v>80</v>
      </c>
      <c r="C130" s="10" t="s">
        <v>51</v>
      </c>
      <c r="D130" s="10" t="s">
        <v>59</v>
      </c>
      <c r="E130" s="10" t="s">
        <v>60</v>
      </c>
      <c r="F130" s="10" t="n">
        <v>90004</v>
      </c>
      <c r="G130" s="10" t="s">
        <v>61</v>
      </c>
      <c r="H130" s="10" t="s">
        <v>55</v>
      </c>
      <c r="I130" s="10" t="s">
        <v>57</v>
      </c>
      <c r="J130" s="13" t="n">
        <v>81.424</v>
      </c>
      <c r="K130" s="10" t="n">
        <v>2</v>
      </c>
      <c r="L130" s="14" t="n">
        <v>0.2</v>
      </c>
      <c r="M130" s="15" t="n">
        <v>-9.1602</v>
      </c>
      <c r="N130" s="10" t="str">
        <f aca="false">IF(M130&lt;0,"Loss",IF(M130&lt;50,"Low Profit",IF(M130&lt;200,"Medium Profit","High Profit")))</f>
        <v>Loss</v>
      </c>
      <c r="O130" s="10" t="str">
        <f aca="false">IF(J130&gt;=500,"High Value","Standard")</f>
        <v>Standard</v>
      </c>
      <c r="P130" s="10" t="str">
        <f aca="false">H130&amp;" &gt; "&amp;I130&amp;" ("&amp;K130&amp;" units)"</f>
        <v>Furniture &gt; Chairs (2 units)</v>
      </c>
      <c r="Q130" s="10" t="str">
        <f aca="false">VLOOKUP(G130,Region_Manager_Table,2,FALSE())</f>
        <v>Sana Sheikh</v>
      </c>
      <c r="R130" s="10" t="n">
        <f aca="false">INDEX(SLA_Days_Col,MATCH(A130,ShipMode_Col,0))</f>
        <v>4</v>
      </c>
    </row>
    <row r="131" customFormat="false" ht="15" hidden="false" customHeight="false" outlineLevel="0" collapsed="false">
      <c r="A131" s="16" t="s">
        <v>49</v>
      </c>
      <c r="B131" s="16" t="s">
        <v>80</v>
      </c>
      <c r="C131" s="16" t="s">
        <v>51</v>
      </c>
      <c r="D131" s="16" t="s">
        <v>59</v>
      </c>
      <c r="E131" s="16" t="s">
        <v>60</v>
      </c>
      <c r="F131" s="16" t="n">
        <v>90004</v>
      </c>
      <c r="G131" s="16" t="s">
        <v>61</v>
      </c>
      <c r="H131" s="16" t="s">
        <v>55</v>
      </c>
      <c r="I131" s="16" t="s">
        <v>69</v>
      </c>
      <c r="J131" s="17" t="n">
        <v>238.56</v>
      </c>
      <c r="K131" s="16" t="n">
        <v>3</v>
      </c>
      <c r="L131" s="18" t="n">
        <v>0</v>
      </c>
      <c r="M131" s="19" t="n">
        <v>26.2416</v>
      </c>
      <c r="N131" s="16" t="str">
        <f aca="false">IF(M131&lt;0,"Loss",IF(M131&lt;50,"Low Profit",IF(M131&lt;200,"Medium Profit","High Profit")))</f>
        <v>Low Profit</v>
      </c>
      <c r="O131" s="16" t="str">
        <f aca="false">IF(J131&gt;=500,"High Value","Standard")</f>
        <v>Standard</v>
      </c>
      <c r="P131" s="16" t="str">
        <f aca="false">H131&amp;" &gt; "&amp;I131&amp;" ("&amp;K131&amp;" units)"</f>
        <v>Furniture &gt; Furnishings (3 units)</v>
      </c>
      <c r="Q131" s="16" t="str">
        <f aca="false">VLOOKUP(G131,Region_Manager_Table,2,FALSE())</f>
        <v>Sana Sheikh</v>
      </c>
      <c r="R131" s="16" t="n">
        <f aca="false">INDEX(SLA_Days_Col,MATCH(A131,ShipMode_Col,0))</f>
        <v>4</v>
      </c>
    </row>
    <row r="132" customFormat="false" ht="15" hidden="false" customHeight="false" outlineLevel="0" collapsed="false">
      <c r="A132" s="10" t="s">
        <v>98</v>
      </c>
      <c r="B132" s="10" t="s">
        <v>58</v>
      </c>
      <c r="C132" s="10" t="s">
        <v>51</v>
      </c>
      <c r="D132" s="10" t="s">
        <v>139</v>
      </c>
      <c r="E132" s="10" t="s">
        <v>140</v>
      </c>
      <c r="F132" s="10" t="n">
        <v>43229</v>
      </c>
      <c r="G132" s="10" t="s">
        <v>93</v>
      </c>
      <c r="H132" s="10" t="s">
        <v>71</v>
      </c>
      <c r="I132" s="10" t="s">
        <v>72</v>
      </c>
      <c r="J132" s="13" t="n">
        <v>59.97</v>
      </c>
      <c r="K132" s="10" t="n">
        <v>5</v>
      </c>
      <c r="L132" s="14" t="n">
        <v>0.4</v>
      </c>
      <c r="M132" s="15" t="n">
        <v>-11.994</v>
      </c>
      <c r="N132" s="10" t="str">
        <f aca="false">IF(M132&lt;0,"Loss",IF(M132&lt;50,"Low Profit",IF(M132&lt;200,"Medium Profit","High Profit")))</f>
        <v>Loss</v>
      </c>
      <c r="O132" s="10" t="str">
        <f aca="false">IF(J132&gt;=500,"High Value","Standard")</f>
        <v>Standard</v>
      </c>
      <c r="P132" s="10" t="str">
        <f aca="false">H132&amp;" &gt; "&amp;I132&amp;" ("&amp;K132&amp;" units)"</f>
        <v>Technology &gt; Phones (5 units)</v>
      </c>
      <c r="Q132" s="10" t="str">
        <f aca="false">VLOOKUP(G132,Region_Manager_Table,2,FALSE())</f>
        <v>Priya Menon</v>
      </c>
      <c r="R132" s="10" t="n">
        <f aca="false">INDEX(SLA_Days_Col,MATCH(A132,ShipMode_Col,0))</f>
        <v>2</v>
      </c>
    </row>
    <row r="133" customFormat="false" ht="15" hidden="false" customHeight="false" outlineLevel="0" collapsed="false">
      <c r="A133" s="16" t="s">
        <v>98</v>
      </c>
      <c r="B133" s="16" t="s">
        <v>58</v>
      </c>
      <c r="C133" s="16" t="s">
        <v>51</v>
      </c>
      <c r="D133" s="16" t="s">
        <v>139</v>
      </c>
      <c r="E133" s="16" t="s">
        <v>140</v>
      </c>
      <c r="F133" s="16" t="n">
        <v>43229</v>
      </c>
      <c r="G133" s="16" t="s">
        <v>93</v>
      </c>
      <c r="H133" s="16" t="s">
        <v>62</v>
      </c>
      <c r="I133" s="16" t="s">
        <v>77</v>
      </c>
      <c r="J133" s="17" t="n">
        <v>78.304</v>
      </c>
      <c r="K133" s="16" t="n">
        <v>2</v>
      </c>
      <c r="L133" s="18" t="n">
        <v>0.2</v>
      </c>
      <c r="M133" s="19" t="n">
        <v>29.364</v>
      </c>
      <c r="N133" s="16" t="str">
        <f aca="false">IF(M133&lt;0,"Loss",IF(M133&lt;50,"Low Profit",IF(M133&lt;200,"Medium Profit","High Profit")))</f>
        <v>Low Profit</v>
      </c>
      <c r="O133" s="16" t="str">
        <f aca="false">IF(J133&gt;=500,"High Value","Standard")</f>
        <v>Standard</v>
      </c>
      <c r="P133" s="16" t="str">
        <f aca="false">H133&amp;" &gt; "&amp;I133&amp;" ("&amp;K133&amp;" units)"</f>
        <v>Office Supplies &gt; Paper (2 units)</v>
      </c>
      <c r="Q133" s="16" t="str">
        <f aca="false">VLOOKUP(G133,Region_Manager_Table,2,FALSE())</f>
        <v>Priya Menon</v>
      </c>
      <c r="R133" s="16" t="n">
        <f aca="false">INDEX(SLA_Days_Col,MATCH(A133,ShipMode_Col,0))</f>
        <v>2</v>
      </c>
    </row>
    <row r="134" customFormat="false" ht="15" hidden="false" customHeight="false" outlineLevel="0" collapsed="false">
      <c r="A134" s="10" t="s">
        <v>98</v>
      </c>
      <c r="B134" s="10" t="s">
        <v>58</v>
      </c>
      <c r="C134" s="10" t="s">
        <v>51</v>
      </c>
      <c r="D134" s="10" t="s">
        <v>139</v>
      </c>
      <c r="E134" s="10" t="s">
        <v>140</v>
      </c>
      <c r="F134" s="10" t="n">
        <v>43229</v>
      </c>
      <c r="G134" s="10" t="s">
        <v>93</v>
      </c>
      <c r="H134" s="10" t="s">
        <v>62</v>
      </c>
      <c r="I134" s="10" t="s">
        <v>113</v>
      </c>
      <c r="J134" s="13" t="n">
        <v>21.456</v>
      </c>
      <c r="K134" s="10" t="n">
        <v>9</v>
      </c>
      <c r="L134" s="14" t="n">
        <v>0.2</v>
      </c>
      <c r="M134" s="15" t="n">
        <v>6.9732</v>
      </c>
      <c r="N134" s="10" t="str">
        <f aca="false">IF(M134&lt;0,"Loss",IF(M134&lt;50,"Low Profit",IF(M134&lt;200,"Medium Profit","High Profit")))</f>
        <v>Low Profit</v>
      </c>
      <c r="O134" s="10" t="str">
        <f aca="false">IF(J134&gt;=500,"High Value","Standard")</f>
        <v>Standard</v>
      </c>
      <c r="P134" s="10" t="str">
        <f aca="false">H134&amp;" &gt; "&amp;I134&amp;" ("&amp;K134&amp;" units)"</f>
        <v>Office Supplies &gt; Fasteners (9 units)</v>
      </c>
      <c r="Q134" s="10" t="str">
        <f aca="false">VLOOKUP(G134,Region_Manager_Table,2,FALSE())</f>
        <v>Priya Menon</v>
      </c>
      <c r="R134" s="10" t="n">
        <f aca="false">INDEX(SLA_Days_Col,MATCH(A134,ShipMode_Col,0))</f>
        <v>2</v>
      </c>
    </row>
    <row r="135" customFormat="false" ht="15" hidden="false" customHeight="false" outlineLevel="0" collapsed="false">
      <c r="A135" s="16" t="s">
        <v>64</v>
      </c>
      <c r="B135" s="16" t="s">
        <v>50</v>
      </c>
      <c r="C135" s="16" t="s">
        <v>51</v>
      </c>
      <c r="D135" s="16" t="s">
        <v>145</v>
      </c>
      <c r="E135" s="16" t="s">
        <v>60</v>
      </c>
      <c r="F135" s="16" t="n">
        <v>95661</v>
      </c>
      <c r="G135" s="16" t="s">
        <v>61</v>
      </c>
      <c r="H135" s="16" t="s">
        <v>62</v>
      </c>
      <c r="I135" s="16" t="s">
        <v>77</v>
      </c>
      <c r="J135" s="17" t="n">
        <v>20.04</v>
      </c>
      <c r="K135" s="16" t="n">
        <v>3</v>
      </c>
      <c r="L135" s="18" t="n">
        <v>0</v>
      </c>
      <c r="M135" s="19" t="n">
        <v>9.6192</v>
      </c>
      <c r="N135" s="16" t="str">
        <f aca="false">IF(M135&lt;0,"Loss",IF(M135&lt;50,"Low Profit",IF(M135&lt;200,"Medium Profit","High Profit")))</f>
        <v>Low Profit</v>
      </c>
      <c r="O135" s="16" t="str">
        <f aca="false">IF(J135&gt;=500,"High Value","Standard")</f>
        <v>Standard</v>
      </c>
      <c r="P135" s="16" t="str">
        <f aca="false">H135&amp;" &gt; "&amp;I135&amp;" ("&amp;K135&amp;" units)"</f>
        <v>Office Supplies &gt; Paper (3 units)</v>
      </c>
      <c r="Q135" s="16" t="str">
        <f aca="false">VLOOKUP(G135,Region_Manager_Table,2,FALSE())</f>
        <v>Sana Sheikh</v>
      </c>
      <c r="R135" s="16" t="n">
        <f aca="false">INDEX(SLA_Days_Col,MATCH(A135,ShipMode_Col,0))</f>
        <v>6</v>
      </c>
    </row>
    <row r="136" customFormat="false" ht="15" hidden="false" customHeight="false" outlineLevel="0" collapsed="false">
      <c r="A136" s="10" t="s">
        <v>64</v>
      </c>
      <c r="B136" s="10" t="s">
        <v>50</v>
      </c>
      <c r="C136" s="10" t="s">
        <v>51</v>
      </c>
      <c r="D136" s="10" t="s">
        <v>145</v>
      </c>
      <c r="E136" s="10" t="s">
        <v>60</v>
      </c>
      <c r="F136" s="10" t="n">
        <v>95661</v>
      </c>
      <c r="G136" s="10" t="s">
        <v>61</v>
      </c>
      <c r="H136" s="10" t="s">
        <v>62</v>
      </c>
      <c r="I136" s="10" t="s">
        <v>77</v>
      </c>
      <c r="J136" s="13" t="n">
        <v>35.44</v>
      </c>
      <c r="K136" s="10" t="n">
        <v>1</v>
      </c>
      <c r="L136" s="14" t="n">
        <v>0</v>
      </c>
      <c r="M136" s="15" t="n">
        <v>16.6568</v>
      </c>
      <c r="N136" s="10" t="str">
        <f aca="false">IF(M136&lt;0,"Loss",IF(M136&lt;50,"Low Profit",IF(M136&lt;200,"Medium Profit","High Profit")))</f>
        <v>Low Profit</v>
      </c>
      <c r="O136" s="10" t="str">
        <f aca="false">IF(J136&gt;=500,"High Value","Standard")</f>
        <v>Standard</v>
      </c>
      <c r="P136" s="10" t="str">
        <f aca="false">H136&amp;" &gt; "&amp;I136&amp;" ("&amp;K136&amp;" units)"</f>
        <v>Office Supplies &gt; Paper (1 units)</v>
      </c>
      <c r="Q136" s="10" t="str">
        <f aca="false">VLOOKUP(G136,Region_Manager_Table,2,FALSE())</f>
        <v>Sana Sheikh</v>
      </c>
      <c r="R136" s="10" t="n">
        <f aca="false">INDEX(SLA_Days_Col,MATCH(A136,ShipMode_Col,0))</f>
        <v>6</v>
      </c>
    </row>
    <row r="137" customFormat="false" ht="15" hidden="false" customHeight="false" outlineLevel="0" collapsed="false">
      <c r="A137" s="16" t="s">
        <v>64</v>
      </c>
      <c r="B137" s="16" t="s">
        <v>50</v>
      </c>
      <c r="C137" s="16" t="s">
        <v>51</v>
      </c>
      <c r="D137" s="16" t="s">
        <v>145</v>
      </c>
      <c r="E137" s="16" t="s">
        <v>60</v>
      </c>
      <c r="F137" s="16" t="n">
        <v>95661</v>
      </c>
      <c r="G137" s="16" t="s">
        <v>61</v>
      </c>
      <c r="H137" s="16" t="s">
        <v>62</v>
      </c>
      <c r="I137" s="16" t="s">
        <v>70</v>
      </c>
      <c r="J137" s="17" t="n">
        <v>11.52</v>
      </c>
      <c r="K137" s="16" t="n">
        <v>4</v>
      </c>
      <c r="L137" s="18" t="n">
        <v>0</v>
      </c>
      <c r="M137" s="19" t="n">
        <v>3.456</v>
      </c>
      <c r="N137" s="16" t="str">
        <f aca="false">IF(M137&lt;0,"Loss",IF(M137&lt;50,"Low Profit",IF(M137&lt;200,"Medium Profit","High Profit")))</f>
        <v>Low Profit</v>
      </c>
      <c r="O137" s="16" t="str">
        <f aca="false">IF(J137&gt;=500,"High Value","Standard")</f>
        <v>Standard</v>
      </c>
      <c r="P137" s="16" t="str">
        <f aca="false">H137&amp;" &gt; "&amp;I137&amp;" ("&amp;K137&amp;" units)"</f>
        <v>Office Supplies &gt; Art (4 units)</v>
      </c>
      <c r="Q137" s="16" t="str">
        <f aca="false">VLOOKUP(G137,Region_Manager_Table,2,FALSE())</f>
        <v>Sana Sheikh</v>
      </c>
      <c r="R137" s="16" t="n">
        <f aca="false">INDEX(SLA_Days_Col,MATCH(A137,ShipMode_Col,0))</f>
        <v>6</v>
      </c>
    </row>
    <row r="138" customFormat="false" ht="15" hidden="false" customHeight="false" outlineLevel="0" collapsed="false">
      <c r="A138" s="10" t="s">
        <v>64</v>
      </c>
      <c r="B138" s="10" t="s">
        <v>50</v>
      </c>
      <c r="C138" s="10" t="s">
        <v>51</v>
      </c>
      <c r="D138" s="10" t="s">
        <v>145</v>
      </c>
      <c r="E138" s="10" t="s">
        <v>60</v>
      </c>
      <c r="F138" s="10" t="n">
        <v>95661</v>
      </c>
      <c r="G138" s="10" t="s">
        <v>61</v>
      </c>
      <c r="H138" s="10" t="s">
        <v>62</v>
      </c>
      <c r="I138" s="10" t="s">
        <v>113</v>
      </c>
      <c r="J138" s="13" t="n">
        <v>4.02</v>
      </c>
      <c r="K138" s="10" t="n">
        <v>2</v>
      </c>
      <c r="L138" s="14" t="n">
        <v>0</v>
      </c>
      <c r="M138" s="15" t="n">
        <v>1.9698</v>
      </c>
      <c r="N138" s="10" t="str">
        <f aca="false">IF(M138&lt;0,"Loss",IF(M138&lt;50,"Low Profit",IF(M138&lt;200,"Medium Profit","High Profit")))</f>
        <v>Low Profit</v>
      </c>
      <c r="O138" s="10" t="str">
        <f aca="false">IF(J138&gt;=500,"High Value","Standard")</f>
        <v>Standard</v>
      </c>
      <c r="P138" s="10" t="str">
        <f aca="false">H138&amp;" &gt; "&amp;I138&amp;" ("&amp;K138&amp;" units)"</f>
        <v>Office Supplies &gt; Fasteners (2 units)</v>
      </c>
      <c r="Q138" s="10" t="str">
        <f aca="false">VLOOKUP(G138,Region_Manager_Table,2,FALSE())</f>
        <v>Sana Sheikh</v>
      </c>
      <c r="R138" s="10" t="n">
        <f aca="false">INDEX(SLA_Days_Col,MATCH(A138,ShipMode_Col,0))</f>
        <v>6</v>
      </c>
    </row>
    <row r="139" customFormat="false" ht="15" hidden="false" customHeight="false" outlineLevel="0" collapsed="false">
      <c r="A139" s="16" t="s">
        <v>64</v>
      </c>
      <c r="B139" s="16" t="s">
        <v>50</v>
      </c>
      <c r="C139" s="16" t="s">
        <v>51</v>
      </c>
      <c r="D139" s="16" t="s">
        <v>145</v>
      </c>
      <c r="E139" s="16" t="s">
        <v>60</v>
      </c>
      <c r="F139" s="16" t="n">
        <v>95661</v>
      </c>
      <c r="G139" s="16" t="s">
        <v>61</v>
      </c>
      <c r="H139" s="16" t="s">
        <v>62</v>
      </c>
      <c r="I139" s="16" t="s">
        <v>73</v>
      </c>
      <c r="J139" s="17" t="n">
        <v>76.176</v>
      </c>
      <c r="K139" s="16" t="n">
        <v>3</v>
      </c>
      <c r="L139" s="18" t="n">
        <v>0.2</v>
      </c>
      <c r="M139" s="19" t="n">
        <v>26.6616</v>
      </c>
      <c r="N139" s="16" t="str">
        <f aca="false">IF(M139&lt;0,"Loss",IF(M139&lt;50,"Low Profit",IF(M139&lt;200,"Medium Profit","High Profit")))</f>
        <v>Low Profit</v>
      </c>
      <c r="O139" s="16" t="str">
        <f aca="false">IF(J139&gt;=500,"High Value","Standard")</f>
        <v>Standard</v>
      </c>
      <c r="P139" s="16" t="str">
        <f aca="false">H139&amp;" &gt; "&amp;I139&amp;" ("&amp;K139&amp;" units)"</f>
        <v>Office Supplies &gt; Binders (3 units)</v>
      </c>
      <c r="Q139" s="16" t="str">
        <f aca="false">VLOOKUP(G139,Region_Manager_Table,2,FALSE())</f>
        <v>Sana Sheikh</v>
      </c>
      <c r="R139" s="16" t="n">
        <f aca="false">INDEX(SLA_Days_Col,MATCH(A139,ShipMode_Col,0))</f>
        <v>6</v>
      </c>
    </row>
    <row r="140" customFormat="false" ht="15" hidden="false" customHeight="false" outlineLevel="0" collapsed="false">
      <c r="A140" s="10" t="s">
        <v>64</v>
      </c>
      <c r="B140" s="10" t="s">
        <v>50</v>
      </c>
      <c r="C140" s="10" t="s">
        <v>51</v>
      </c>
      <c r="D140" s="10" t="s">
        <v>145</v>
      </c>
      <c r="E140" s="10" t="s">
        <v>60</v>
      </c>
      <c r="F140" s="10" t="n">
        <v>95661</v>
      </c>
      <c r="G140" s="10" t="s">
        <v>61</v>
      </c>
      <c r="H140" s="10" t="s">
        <v>62</v>
      </c>
      <c r="I140" s="10" t="s">
        <v>146</v>
      </c>
      <c r="J140" s="13" t="n">
        <v>65.88</v>
      </c>
      <c r="K140" s="10" t="n">
        <v>6</v>
      </c>
      <c r="L140" s="14" t="n">
        <v>0</v>
      </c>
      <c r="M140" s="15" t="n">
        <v>18.4464</v>
      </c>
      <c r="N140" s="10" t="str">
        <f aca="false">IF(M140&lt;0,"Loss",IF(M140&lt;50,"Low Profit",IF(M140&lt;200,"Medium Profit","High Profit")))</f>
        <v>Low Profit</v>
      </c>
      <c r="O140" s="10" t="str">
        <f aca="false">IF(J140&gt;=500,"High Value","Standard")</f>
        <v>Standard</v>
      </c>
      <c r="P140" s="10" t="str">
        <f aca="false">H140&amp;" &gt; "&amp;I140&amp;" ("&amp;K140&amp;" units)"</f>
        <v>Office Supplies &gt; Supplies (6 units)</v>
      </c>
      <c r="Q140" s="10" t="str">
        <f aca="false">VLOOKUP(G140,Region_Manager_Table,2,FALSE())</f>
        <v>Sana Sheikh</v>
      </c>
      <c r="R140" s="10" t="n">
        <f aca="false">INDEX(SLA_Days_Col,MATCH(A140,ShipMode_Col,0))</f>
        <v>6</v>
      </c>
    </row>
    <row r="141" customFormat="false" ht="15" hidden="false" customHeight="false" outlineLevel="0" collapsed="false">
      <c r="A141" s="16" t="s">
        <v>64</v>
      </c>
      <c r="B141" s="16" t="s">
        <v>50</v>
      </c>
      <c r="C141" s="16" t="s">
        <v>51</v>
      </c>
      <c r="D141" s="16" t="s">
        <v>145</v>
      </c>
      <c r="E141" s="16" t="s">
        <v>60</v>
      </c>
      <c r="F141" s="16" t="n">
        <v>95661</v>
      </c>
      <c r="G141" s="16" t="s">
        <v>61</v>
      </c>
      <c r="H141" s="16" t="s">
        <v>55</v>
      </c>
      <c r="I141" s="16" t="s">
        <v>69</v>
      </c>
      <c r="J141" s="17" t="n">
        <v>43.12</v>
      </c>
      <c r="K141" s="16" t="n">
        <v>14</v>
      </c>
      <c r="L141" s="18" t="n">
        <v>0</v>
      </c>
      <c r="M141" s="19" t="n">
        <v>20.6976</v>
      </c>
      <c r="N141" s="16" t="str">
        <f aca="false">IF(M141&lt;0,"Loss",IF(M141&lt;50,"Low Profit",IF(M141&lt;200,"Medium Profit","High Profit")))</f>
        <v>Low Profit</v>
      </c>
      <c r="O141" s="16" t="str">
        <f aca="false">IF(J141&gt;=500,"High Value","Standard")</f>
        <v>Standard</v>
      </c>
      <c r="P141" s="16" t="str">
        <f aca="false">H141&amp;" &gt; "&amp;I141&amp;" ("&amp;K141&amp;" units)"</f>
        <v>Furniture &gt; Furnishings (14 units)</v>
      </c>
      <c r="Q141" s="16" t="str">
        <f aca="false">VLOOKUP(G141,Region_Manager_Table,2,FALSE())</f>
        <v>Sana Sheikh</v>
      </c>
      <c r="R141" s="16" t="n">
        <f aca="false">INDEX(SLA_Days_Col,MATCH(A141,ShipMode_Col,0))</f>
        <v>6</v>
      </c>
    </row>
    <row r="142" customFormat="false" ht="15" hidden="false" customHeight="false" outlineLevel="0" collapsed="false">
      <c r="A142" s="10" t="s">
        <v>49</v>
      </c>
      <c r="B142" s="10" t="s">
        <v>58</v>
      </c>
      <c r="C142" s="10" t="s">
        <v>51</v>
      </c>
      <c r="D142" s="10" t="s">
        <v>91</v>
      </c>
      <c r="E142" s="10" t="s">
        <v>92</v>
      </c>
      <c r="F142" s="10" t="n">
        <v>19140</v>
      </c>
      <c r="G142" s="10" t="s">
        <v>93</v>
      </c>
      <c r="H142" s="10" t="s">
        <v>55</v>
      </c>
      <c r="I142" s="10" t="s">
        <v>69</v>
      </c>
      <c r="J142" s="13" t="n">
        <v>82.8</v>
      </c>
      <c r="K142" s="10" t="n">
        <v>2</v>
      </c>
      <c r="L142" s="14" t="n">
        <v>0.2</v>
      </c>
      <c r="M142" s="15" t="n">
        <v>10.35</v>
      </c>
      <c r="N142" s="10" t="str">
        <f aca="false">IF(M142&lt;0,"Loss",IF(M142&lt;50,"Low Profit",IF(M142&lt;200,"Medium Profit","High Profit")))</f>
        <v>Low Profit</v>
      </c>
      <c r="O142" s="10" t="str">
        <f aca="false">IF(J142&gt;=500,"High Value","Standard")</f>
        <v>Standard</v>
      </c>
      <c r="P142" s="10" t="str">
        <f aca="false">H142&amp;" &gt; "&amp;I142&amp;" ("&amp;K142&amp;" units)"</f>
        <v>Furniture &gt; Furnishings (2 units)</v>
      </c>
      <c r="Q142" s="10" t="str">
        <f aca="false">VLOOKUP(G142,Region_Manager_Table,2,FALSE())</f>
        <v>Priya Menon</v>
      </c>
      <c r="R142" s="10" t="n">
        <f aca="false">INDEX(SLA_Days_Col,MATCH(A142,ShipMode_Col,0))</f>
        <v>4</v>
      </c>
    </row>
    <row r="143" customFormat="false" ht="15" hidden="false" customHeight="false" outlineLevel="0" collapsed="false">
      <c r="A143" s="16" t="s">
        <v>64</v>
      </c>
      <c r="B143" s="16" t="s">
        <v>58</v>
      </c>
      <c r="C143" s="16" t="s">
        <v>51</v>
      </c>
      <c r="D143" s="16" t="s">
        <v>88</v>
      </c>
      <c r="E143" s="16" t="s">
        <v>60</v>
      </c>
      <c r="F143" s="16" t="n">
        <v>94122</v>
      </c>
      <c r="G143" s="16" t="s">
        <v>61</v>
      </c>
      <c r="H143" s="16" t="s">
        <v>62</v>
      </c>
      <c r="I143" s="16" t="s">
        <v>70</v>
      </c>
      <c r="J143" s="17" t="n">
        <v>8.82</v>
      </c>
      <c r="K143" s="16" t="n">
        <v>3</v>
      </c>
      <c r="L143" s="18" t="n">
        <v>0</v>
      </c>
      <c r="M143" s="19" t="n">
        <v>2.3814</v>
      </c>
      <c r="N143" s="16" t="str">
        <f aca="false">IF(M143&lt;0,"Loss",IF(M143&lt;50,"Low Profit",IF(M143&lt;200,"Medium Profit","High Profit")))</f>
        <v>Low Profit</v>
      </c>
      <c r="O143" s="16" t="str">
        <f aca="false">IF(J143&gt;=500,"High Value","Standard")</f>
        <v>Standard</v>
      </c>
      <c r="P143" s="16" t="str">
        <f aca="false">H143&amp;" &gt; "&amp;I143&amp;" ("&amp;K143&amp;" units)"</f>
        <v>Office Supplies &gt; Art (3 units)</v>
      </c>
      <c r="Q143" s="16" t="str">
        <f aca="false">VLOOKUP(G143,Region_Manager_Table,2,FALSE())</f>
        <v>Sana Sheikh</v>
      </c>
      <c r="R143" s="16" t="n">
        <f aca="false">INDEX(SLA_Days_Col,MATCH(A143,ShipMode_Col,0))</f>
        <v>6</v>
      </c>
    </row>
    <row r="144" customFormat="false" ht="15" hidden="false" customHeight="false" outlineLevel="0" collapsed="false">
      <c r="A144" s="10" t="s">
        <v>64</v>
      </c>
      <c r="B144" s="10" t="s">
        <v>58</v>
      </c>
      <c r="C144" s="10" t="s">
        <v>51</v>
      </c>
      <c r="D144" s="10" t="s">
        <v>88</v>
      </c>
      <c r="E144" s="10" t="s">
        <v>60</v>
      </c>
      <c r="F144" s="10" t="n">
        <v>94122</v>
      </c>
      <c r="G144" s="10" t="s">
        <v>61</v>
      </c>
      <c r="H144" s="10" t="s">
        <v>62</v>
      </c>
      <c r="I144" s="10" t="s">
        <v>96</v>
      </c>
      <c r="J144" s="13" t="n">
        <v>10.86</v>
      </c>
      <c r="K144" s="10" t="n">
        <v>3</v>
      </c>
      <c r="L144" s="14" t="n">
        <v>0</v>
      </c>
      <c r="M144" s="15" t="n">
        <v>5.1042</v>
      </c>
      <c r="N144" s="10" t="str">
        <f aca="false">IF(M144&lt;0,"Loss",IF(M144&lt;50,"Low Profit",IF(M144&lt;200,"Medium Profit","High Profit")))</f>
        <v>Low Profit</v>
      </c>
      <c r="O144" s="10" t="str">
        <f aca="false">IF(J144&gt;=500,"High Value","Standard")</f>
        <v>Standard</v>
      </c>
      <c r="P144" s="10" t="str">
        <f aca="false">H144&amp;" &gt; "&amp;I144&amp;" ("&amp;K144&amp;" units)"</f>
        <v>Office Supplies &gt; Envelopes (3 units)</v>
      </c>
      <c r="Q144" s="10" t="str">
        <f aca="false">VLOOKUP(G144,Region_Manager_Table,2,FALSE())</f>
        <v>Sana Sheikh</v>
      </c>
      <c r="R144" s="10" t="n">
        <f aca="false">INDEX(SLA_Days_Col,MATCH(A144,ShipMode_Col,0))</f>
        <v>6</v>
      </c>
    </row>
    <row r="145" customFormat="false" ht="15" hidden="false" customHeight="false" outlineLevel="0" collapsed="false">
      <c r="A145" s="16" t="s">
        <v>64</v>
      </c>
      <c r="B145" s="16" t="s">
        <v>58</v>
      </c>
      <c r="C145" s="16" t="s">
        <v>51</v>
      </c>
      <c r="D145" s="16" t="s">
        <v>88</v>
      </c>
      <c r="E145" s="16" t="s">
        <v>60</v>
      </c>
      <c r="F145" s="16" t="n">
        <v>94122</v>
      </c>
      <c r="G145" s="16" t="s">
        <v>61</v>
      </c>
      <c r="H145" s="16" t="s">
        <v>62</v>
      </c>
      <c r="I145" s="16" t="s">
        <v>77</v>
      </c>
      <c r="J145" s="17" t="n">
        <v>143.7</v>
      </c>
      <c r="K145" s="16" t="n">
        <v>3</v>
      </c>
      <c r="L145" s="18" t="n">
        <v>0</v>
      </c>
      <c r="M145" s="19" t="n">
        <v>68.976</v>
      </c>
      <c r="N145" s="16" t="str">
        <f aca="false">IF(M145&lt;0,"Loss",IF(M145&lt;50,"Low Profit",IF(M145&lt;200,"Medium Profit","High Profit")))</f>
        <v>Medium Profit</v>
      </c>
      <c r="O145" s="16" t="str">
        <f aca="false">IF(J145&gt;=500,"High Value","Standard")</f>
        <v>Standard</v>
      </c>
      <c r="P145" s="16" t="str">
        <f aca="false">H145&amp;" &gt; "&amp;I145&amp;" ("&amp;K145&amp;" units)"</f>
        <v>Office Supplies &gt; Paper (3 units)</v>
      </c>
      <c r="Q145" s="16" t="str">
        <f aca="false">VLOOKUP(G145,Region_Manager_Table,2,FALSE())</f>
        <v>Sana Sheikh</v>
      </c>
      <c r="R145" s="16" t="n">
        <f aca="false">INDEX(SLA_Days_Col,MATCH(A145,ShipMode_Col,0))</f>
        <v>6</v>
      </c>
    </row>
    <row r="146" customFormat="false" ht="15" hidden="false" customHeight="false" outlineLevel="0" collapsed="false">
      <c r="A146" s="10" t="s">
        <v>64</v>
      </c>
      <c r="B146" s="10" t="s">
        <v>50</v>
      </c>
      <c r="C146" s="10" t="s">
        <v>51</v>
      </c>
      <c r="D146" s="10" t="s">
        <v>147</v>
      </c>
      <c r="E146" s="10" t="s">
        <v>148</v>
      </c>
      <c r="F146" s="10" t="n">
        <v>64055</v>
      </c>
      <c r="G146" s="10" t="s">
        <v>83</v>
      </c>
      <c r="H146" s="10" t="s">
        <v>62</v>
      </c>
      <c r="I146" s="10" t="s">
        <v>74</v>
      </c>
      <c r="J146" s="13" t="n">
        <v>839.43</v>
      </c>
      <c r="K146" s="10" t="n">
        <v>3</v>
      </c>
      <c r="L146" s="14" t="n">
        <v>0</v>
      </c>
      <c r="M146" s="15" t="n">
        <v>218.2518</v>
      </c>
      <c r="N146" s="10" t="str">
        <f aca="false">IF(M146&lt;0,"Loss",IF(M146&lt;50,"Low Profit",IF(M146&lt;200,"Medium Profit","High Profit")))</f>
        <v>High Profit</v>
      </c>
      <c r="O146" s="10" t="str">
        <f aca="false">IF(J146&gt;=500,"High Value","Standard")</f>
        <v>High Value</v>
      </c>
      <c r="P146" s="10" t="str">
        <f aca="false">H146&amp;" &gt; "&amp;I146&amp;" ("&amp;K146&amp;" units)"</f>
        <v>Office Supplies &gt; Appliances (3 units)</v>
      </c>
      <c r="Q146" s="10" t="str">
        <f aca="false">VLOOKUP(G146,Region_Manager_Table,2,FALSE())</f>
        <v>Aditya Rao</v>
      </c>
      <c r="R146" s="10" t="n">
        <f aca="false">INDEX(SLA_Days_Col,MATCH(A146,ShipMode_Col,0))</f>
        <v>6</v>
      </c>
    </row>
    <row r="147" customFormat="false" ht="15" hidden="false" customHeight="false" outlineLevel="0" collapsed="false">
      <c r="A147" s="16" t="s">
        <v>64</v>
      </c>
      <c r="B147" s="16" t="s">
        <v>50</v>
      </c>
      <c r="C147" s="16" t="s">
        <v>51</v>
      </c>
      <c r="D147" s="16" t="s">
        <v>149</v>
      </c>
      <c r="E147" s="16" t="s">
        <v>60</v>
      </c>
      <c r="F147" s="16" t="n">
        <v>91104</v>
      </c>
      <c r="G147" s="16" t="s">
        <v>61</v>
      </c>
      <c r="H147" s="16" t="s">
        <v>62</v>
      </c>
      <c r="I147" s="16" t="s">
        <v>68</v>
      </c>
      <c r="J147" s="17" t="n">
        <v>671.93</v>
      </c>
      <c r="K147" s="16" t="n">
        <v>7</v>
      </c>
      <c r="L147" s="18" t="n">
        <v>0</v>
      </c>
      <c r="M147" s="19" t="n">
        <v>20.1579</v>
      </c>
      <c r="N147" s="16" t="str">
        <f aca="false">IF(M147&lt;0,"Loss",IF(M147&lt;50,"Low Profit",IF(M147&lt;200,"Medium Profit","High Profit")))</f>
        <v>Low Profit</v>
      </c>
      <c r="O147" s="16" t="str">
        <f aca="false">IF(J147&gt;=500,"High Value","Standard")</f>
        <v>High Value</v>
      </c>
      <c r="P147" s="16" t="str">
        <f aca="false">H147&amp;" &gt; "&amp;I147&amp;" ("&amp;K147&amp;" units)"</f>
        <v>Office Supplies &gt; Storage (7 units)</v>
      </c>
      <c r="Q147" s="16" t="str">
        <f aca="false">VLOOKUP(G147,Region_Manager_Table,2,FALSE())</f>
        <v>Sana Sheikh</v>
      </c>
      <c r="R147" s="16" t="n">
        <f aca="false">INDEX(SLA_Days_Col,MATCH(A147,ShipMode_Col,0))</f>
        <v>6</v>
      </c>
    </row>
    <row r="148" customFormat="false" ht="15" hidden="false" customHeight="false" outlineLevel="0" collapsed="false">
      <c r="A148" s="10" t="s">
        <v>64</v>
      </c>
      <c r="B148" s="10" t="s">
        <v>80</v>
      </c>
      <c r="C148" s="10" t="s">
        <v>51</v>
      </c>
      <c r="D148" s="10" t="s">
        <v>150</v>
      </c>
      <c r="E148" s="10" t="s">
        <v>140</v>
      </c>
      <c r="F148" s="10" t="n">
        <v>43055</v>
      </c>
      <c r="G148" s="10" t="s">
        <v>93</v>
      </c>
      <c r="H148" s="10" t="s">
        <v>55</v>
      </c>
      <c r="I148" s="10" t="s">
        <v>69</v>
      </c>
      <c r="J148" s="13" t="n">
        <v>93.888</v>
      </c>
      <c r="K148" s="10" t="n">
        <v>4</v>
      </c>
      <c r="L148" s="14" t="n">
        <v>0.2</v>
      </c>
      <c r="M148" s="15" t="n">
        <v>12.9096</v>
      </c>
      <c r="N148" s="10" t="str">
        <f aca="false">IF(M148&lt;0,"Loss",IF(M148&lt;50,"Low Profit",IF(M148&lt;200,"Medium Profit","High Profit")))</f>
        <v>Low Profit</v>
      </c>
      <c r="O148" s="10" t="str">
        <f aca="false">IF(J148&gt;=500,"High Value","Standard")</f>
        <v>Standard</v>
      </c>
      <c r="P148" s="10" t="str">
        <f aca="false">H148&amp;" &gt; "&amp;I148&amp;" ("&amp;K148&amp;" units)"</f>
        <v>Furniture &gt; Furnishings (4 units)</v>
      </c>
      <c r="Q148" s="10" t="str">
        <f aca="false">VLOOKUP(G148,Region_Manager_Table,2,FALSE())</f>
        <v>Priya Menon</v>
      </c>
      <c r="R148" s="10" t="n">
        <f aca="false">INDEX(SLA_Days_Col,MATCH(A148,ShipMode_Col,0))</f>
        <v>6</v>
      </c>
    </row>
    <row r="149" customFormat="false" ht="15" hidden="false" customHeight="false" outlineLevel="0" collapsed="false">
      <c r="A149" s="16" t="s">
        <v>64</v>
      </c>
      <c r="B149" s="16" t="s">
        <v>58</v>
      </c>
      <c r="C149" s="16" t="s">
        <v>51</v>
      </c>
      <c r="D149" s="16" t="s">
        <v>151</v>
      </c>
      <c r="E149" s="16" t="s">
        <v>85</v>
      </c>
      <c r="F149" s="16" t="n">
        <v>53132</v>
      </c>
      <c r="G149" s="16" t="s">
        <v>83</v>
      </c>
      <c r="H149" s="16" t="s">
        <v>71</v>
      </c>
      <c r="I149" s="16" t="s">
        <v>72</v>
      </c>
      <c r="J149" s="17" t="n">
        <v>384.45</v>
      </c>
      <c r="K149" s="16" t="n">
        <v>11</v>
      </c>
      <c r="L149" s="18" t="n">
        <v>0</v>
      </c>
      <c r="M149" s="19" t="n">
        <v>103.8015</v>
      </c>
      <c r="N149" s="16" t="str">
        <f aca="false">IF(M149&lt;0,"Loss",IF(M149&lt;50,"Low Profit",IF(M149&lt;200,"Medium Profit","High Profit")))</f>
        <v>Medium Profit</v>
      </c>
      <c r="O149" s="16" t="str">
        <f aca="false">IF(J149&gt;=500,"High Value","Standard")</f>
        <v>Standard</v>
      </c>
      <c r="P149" s="16" t="str">
        <f aca="false">H149&amp;" &gt; "&amp;I149&amp;" ("&amp;K149&amp;" units)"</f>
        <v>Technology &gt; Phones (11 units)</v>
      </c>
      <c r="Q149" s="16" t="str">
        <f aca="false">VLOOKUP(G149,Region_Manager_Table,2,FALSE())</f>
        <v>Aditya Rao</v>
      </c>
      <c r="R149" s="16" t="n">
        <f aca="false">INDEX(SLA_Days_Col,MATCH(A149,ShipMode_Col,0))</f>
        <v>6</v>
      </c>
    </row>
    <row r="150" customFormat="false" ht="15" hidden="false" customHeight="false" outlineLevel="0" collapsed="false">
      <c r="A150" s="10" t="s">
        <v>64</v>
      </c>
      <c r="B150" s="10" t="s">
        <v>58</v>
      </c>
      <c r="C150" s="10" t="s">
        <v>51</v>
      </c>
      <c r="D150" s="10" t="s">
        <v>151</v>
      </c>
      <c r="E150" s="10" t="s">
        <v>85</v>
      </c>
      <c r="F150" s="10" t="n">
        <v>53132</v>
      </c>
      <c r="G150" s="10" t="s">
        <v>83</v>
      </c>
      <c r="H150" s="10" t="s">
        <v>71</v>
      </c>
      <c r="I150" s="10" t="s">
        <v>72</v>
      </c>
      <c r="J150" s="13" t="n">
        <v>149.97</v>
      </c>
      <c r="K150" s="10" t="n">
        <v>3</v>
      </c>
      <c r="L150" s="14" t="n">
        <v>0</v>
      </c>
      <c r="M150" s="15" t="n">
        <v>5.9988</v>
      </c>
      <c r="N150" s="10" t="str">
        <f aca="false">IF(M150&lt;0,"Loss",IF(M150&lt;50,"Low Profit",IF(M150&lt;200,"Medium Profit","High Profit")))</f>
        <v>Low Profit</v>
      </c>
      <c r="O150" s="10" t="str">
        <f aca="false">IF(J150&gt;=500,"High Value","Standard")</f>
        <v>Standard</v>
      </c>
      <c r="P150" s="10" t="str">
        <f aca="false">H150&amp;" &gt; "&amp;I150&amp;" ("&amp;K150&amp;" units)"</f>
        <v>Technology &gt; Phones (3 units)</v>
      </c>
      <c r="Q150" s="10" t="str">
        <f aca="false">VLOOKUP(G150,Region_Manager_Table,2,FALSE())</f>
        <v>Aditya Rao</v>
      </c>
      <c r="R150" s="10" t="n">
        <f aca="false">INDEX(SLA_Days_Col,MATCH(A150,ShipMode_Col,0))</f>
        <v>6</v>
      </c>
    </row>
    <row r="151" customFormat="false" ht="15" hidden="false" customHeight="false" outlineLevel="0" collapsed="false">
      <c r="A151" s="16" t="s">
        <v>64</v>
      </c>
      <c r="B151" s="16" t="s">
        <v>58</v>
      </c>
      <c r="C151" s="16" t="s">
        <v>51</v>
      </c>
      <c r="D151" s="16" t="s">
        <v>151</v>
      </c>
      <c r="E151" s="16" t="s">
        <v>85</v>
      </c>
      <c r="F151" s="16" t="n">
        <v>53132</v>
      </c>
      <c r="G151" s="16" t="s">
        <v>83</v>
      </c>
      <c r="H151" s="16" t="s">
        <v>55</v>
      </c>
      <c r="I151" s="16" t="s">
        <v>57</v>
      </c>
      <c r="J151" s="17" t="n">
        <v>1951.84</v>
      </c>
      <c r="K151" s="16" t="n">
        <v>8</v>
      </c>
      <c r="L151" s="18" t="n">
        <v>0</v>
      </c>
      <c r="M151" s="19" t="n">
        <v>585.552</v>
      </c>
      <c r="N151" s="16" t="str">
        <f aca="false">IF(M151&lt;0,"Loss",IF(M151&lt;50,"Low Profit",IF(M151&lt;200,"Medium Profit","High Profit")))</f>
        <v>High Profit</v>
      </c>
      <c r="O151" s="16" t="str">
        <f aca="false">IF(J151&gt;=500,"High Value","Standard")</f>
        <v>High Value</v>
      </c>
      <c r="P151" s="16" t="str">
        <f aca="false">H151&amp;" &gt; "&amp;I151&amp;" ("&amp;K151&amp;" units)"</f>
        <v>Furniture &gt; Chairs (8 units)</v>
      </c>
      <c r="Q151" s="16" t="str">
        <f aca="false">VLOOKUP(G151,Region_Manager_Table,2,FALSE())</f>
        <v>Aditya Rao</v>
      </c>
      <c r="R151" s="16" t="n">
        <f aca="false">INDEX(SLA_Days_Col,MATCH(A151,ShipMode_Col,0))</f>
        <v>6</v>
      </c>
    </row>
    <row r="152" customFormat="false" ht="15" hidden="false" customHeight="false" outlineLevel="0" collapsed="false">
      <c r="A152" s="10" t="s">
        <v>64</v>
      </c>
      <c r="B152" s="10" t="s">
        <v>58</v>
      </c>
      <c r="C152" s="10" t="s">
        <v>51</v>
      </c>
      <c r="D152" s="10" t="s">
        <v>151</v>
      </c>
      <c r="E152" s="10" t="s">
        <v>85</v>
      </c>
      <c r="F152" s="10" t="n">
        <v>53132</v>
      </c>
      <c r="G152" s="10" t="s">
        <v>83</v>
      </c>
      <c r="H152" s="10" t="s">
        <v>62</v>
      </c>
      <c r="I152" s="10" t="s">
        <v>73</v>
      </c>
      <c r="J152" s="13" t="n">
        <v>171.55</v>
      </c>
      <c r="K152" s="10" t="n">
        <v>5</v>
      </c>
      <c r="L152" s="14" t="n">
        <v>0</v>
      </c>
      <c r="M152" s="15" t="n">
        <v>80.6285</v>
      </c>
      <c r="N152" s="10" t="str">
        <f aca="false">IF(M152&lt;0,"Loss",IF(M152&lt;50,"Low Profit",IF(M152&lt;200,"Medium Profit","High Profit")))</f>
        <v>Medium Profit</v>
      </c>
      <c r="O152" s="10" t="str">
        <f aca="false">IF(J152&gt;=500,"High Value","Standard")</f>
        <v>Standard</v>
      </c>
      <c r="P152" s="10" t="str">
        <f aca="false">H152&amp;" &gt; "&amp;I152&amp;" ("&amp;K152&amp;" units)"</f>
        <v>Office Supplies &gt; Binders (5 units)</v>
      </c>
      <c r="Q152" s="10" t="str">
        <f aca="false">VLOOKUP(G152,Region_Manager_Table,2,FALSE())</f>
        <v>Aditya Rao</v>
      </c>
      <c r="R152" s="10" t="n">
        <f aca="false">INDEX(SLA_Days_Col,MATCH(A152,ShipMode_Col,0))</f>
        <v>6</v>
      </c>
    </row>
    <row r="153" customFormat="false" ht="15" hidden="false" customHeight="false" outlineLevel="0" collapsed="false">
      <c r="A153" s="16" t="s">
        <v>98</v>
      </c>
      <c r="B153" s="16" t="s">
        <v>80</v>
      </c>
      <c r="C153" s="16" t="s">
        <v>51</v>
      </c>
      <c r="D153" s="16" t="s">
        <v>152</v>
      </c>
      <c r="E153" s="16" t="s">
        <v>117</v>
      </c>
      <c r="F153" s="16" t="n">
        <v>85254</v>
      </c>
      <c r="G153" s="16" t="s">
        <v>61</v>
      </c>
      <c r="H153" s="16" t="s">
        <v>62</v>
      </c>
      <c r="I153" s="16" t="s">
        <v>74</v>
      </c>
      <c r="J153" s="17" t="n">
        <v>157.92</v>
      </c>
      <c r="K153" s="16" t="n">
        <v>5</v>
      </c>
      <c r="L153" s="18" t="n">
        <v>0.2</v>
      </c>
      <c r="M153" s="19" t="n">
        <v>17.766</v>
      </c>
      <c r="N153" s="16" t="str">
        <f aca="false">IF(M153&lt;0,"Loss",IF(M153&lt;50,"Low Profit",IF(M153&lt;200,"Medium Profit","High Profit")))</f>
        <v>Low Profit</v>
      </c>
      <c r="O153" s="16" t="str">
        <f aca="false">IF(J153&gt;=500,"High Value","Standard")</f>
        <v>Standard</v>
      </c>
      <c r="P153" s="16" t="str">
        <f aca="false">H153&amp;" &gt; "&amp;I153&amp;" ("&amp;K153&amp;" units)"</f>
        <v>Office Supplies &gt; Appliances (5 units)</v>
      </c>
      <c r="Q153" s="16" t="str">
        <f aca="false">VLOOKUP(G153,Region_Manager_Table,2,FALSE())</f>
        <v>Sana Sheikh</v>
      </c>
      <c r="R153" s="16" t="n">
        <f aca="false">INDEX(SLA_Days_Col,MATCH(A153,ShipMode_Col,0))</f>
        <v>2</v>
      </c>
    </row>
    <row r="154" customFormat="false" ht="15" hidden="false" customHeight="false" outlineLevel="0" collapsed="false">
      <c r="A154" s="10" t="s">
        <v>98</v>
      </c>
      <c r="B154" s="10" t="s">
        <v>80</v>
      </c>
      <c r="C154" s="10" t="s">
        <v>51</v>
      </c>
      <c r="D154" s="10" t="s">
        <v>152</v>
      </c>
      <c r="E154" s="10" t="s">
        <v>117</v>
      </c>
      <c r="F154" s="10" t="n">
        <v>85254</v>
      </c>
      <c r="G154" s="10" t="s">
        <v>61</v>
      </c>
      <c r="H154" s="10" t="s">
        <v>71</v>
      </c>
      <c r="I154" s="10" t="s">
        <v>72</v>
      </c>
      <c r="J154" s="13" t="n">
        <v>203.184</v>
      </c>
      <c r="K154" s="10" t="n">
        <v>2</v>
      </c>
      <c r="L154" s="14" t="n">
        <v>0.2</v>
      </c>
      <c r="M154" s="15" t="n">
        <v>15.2388</v>
      </c>
      <c r="N154" s="10" t="str">
        <f aca="false">IF(M154&lt;0,"Loss",IF(M154&lt;50,"Low Profit",IF(M154&lt;200,"Medium Profit","High Profit")))</f>
        <v>Low Profit</v>
      </c>
      <c r="O154" s="10" t="str">
        <f aca="false">IF(J154&gt;=500,"High Value","Standard")</f>
        <v>Standard</v>
      </c>
      <c r="P154" s="10" t="str">
        <f aca="false">H154&amp;" &gt; "&amp;I154&amp;" ("&amp;K154&amp;" units)"</f>
        <v>Technology &gt; Phones (2 units)</v>
      </c>
      <c r="Q154" s="10" t="str">
        <f aca="false">VLOOKUP(G154,Region_Manager_Table,2,FALSE())</f>
        <v>Sana Sheikh</v>
      </c>
      <c r="R154" s="10" t="n">
        <f aca="false">INDEX(SLA_Days_Col,MATCH(A154,ShipMode_Col,0))</f>
        <v>2</v>
      </c>
    </row>
    <row r="155" customFormat="false" ht="15" hidden="false" customHeight="false" outlineLevel="0" collapsed="false">
      <c r="A155" s="16" t="s">
        <v>98</v>
      </c>
      <c r="B155" s="16" t="s">
        <v>58</v>
      </c>
      <c r="C155" s="16" t="s">
        <v>51</v>
      </c>
      <c r="D155" s="16" t="s">
        <v>153</v>
      </c>
      <c r="E155" s="16" t="s">
        <v>60</v>
      </c>
      <c r="F155" s="16" t="n">
        <v>95123</v>
      </c>
      <c r="G155" s="16" t="s">
        <v>61</v>
      </c>
      <c r="H155" s="16" t="s">
        <v>62</v>
      </c>
      <c r="I155" s="16" t="s">
        <v>77</v>
      </c>
      <c r="J155" s="17" t="n">
        <v>58.38</v>
      </c>
      <c r="K155" s="16" t="n">
        <v>7</v>
      </c>
      <c r="L155" s="18" t="n">
        <v>0</v>
      </c>
      <c r="M155" s="19" t="n">
        <v>26.271</v>
      </c>
      <c r="N155" s="16" t="str">
        <f aca="false">IF(M155&lt;0,"Loss",IF(M155&lt;50,"Low Profit",IF(M155&lt;200,"Medium Profit","High Profit")))</f>
        <v>Low Profit</v>
      </c>
      <c r="O155" s="16" t="str">
        <f aca="false">IF(J155&gt;=500,"High Value","Standard")</f>
        <v>Standard</v>
      </c>
      <c r="P155" s="16" t="str">
        <f aca="false">H155&amp;" &gt; "&amp;I155&amp;" ("&amp;K155&amp;" units)"</f>
        <v>Office Supplies &gt; Paper (7 units)</v>
      </c>
      <c r="Q155" s="16" t="str">
        <f aca="false">VLOOKUP(G155,Region_Manager_Table,2,FALSE())</f>
        <v>Sana Sheikh</v>
      </c>
      <c r="R155" s="16" t="n">
        <f aca="false">INDEX(SLA_Days_Col,MATCH(A155,ShipMode_Col,0))</f>
        <v>2</v>
      </c>
    </row>
    <row r="156" customFormat="false" ht="15" hidden="false" customHeight="false" outlineLevel="0" collapsed="false">
      <c r="A156" s="10" t="s">
        <v>98</v>
      </c>
      <c r="B156" s="10" t="s">
        <v>58</v>
      </c>
      <c r="C156" s="10" t="s">
        <v>51</v>
      </c>
      <c r="D156" s="10" t="s">
        <v>153</v>
      </c>
      <c r="E156" s="10" t="s">
        <v>60</v>
      </c>
      <c r="F156" s="10" t="n">
        <v>95123</v>
      </c>
      <c r="G156" s="10" t="s">
        <v>61</v>
      </c>
      <c r="H156" s="10" t="s">
        <v>62</v>
      </c>
      <c r="I156" s="10" t="s">
        <v>77</v>
      </c>
      <c r="J156" s="13" t="n">
        <v>105.52</v>
      </c>
      <c r="K156" s="10" t="n">
        <v>4</v>
      </c>
      <c r="L156" s="14" t="n">
        <v>0</v>
      </c>
      <c r="M156" s="15" t="n">
        <v>48.5392</v>
      </c>
      <c r="N156" s="10" t="str">
        <f aca="false">IF(M156&lt;0,"Loss",IF(M156&lt;50,"Low Profit",IF(M156&lt;200,"Medium Profit","High Profit")))</f>
        <v>Low Profit</v>
      </c>
      <c r="O156" s="10" t="str">
        <f aca="false">IF(J156&gt;=500,"High Value","Standard")</f>
        <v>Standard</v>
      </c>
      <c r="P156" s="10" t="str">
        <f aca="false">H156&amp;" &gt; "&amp;I156&amp;" ("&amp;K156&amp;" units)"</f>
        <v>Office Supplies &gt; Paper (4 units)</v>
      </c>
      <c r="Q156" s="10" t="str">
        <f aca="false">VLOOKUP(G156,Region_Manager_Table,2,FALSE())</f>
        <v>Sana Sheikh</v>
      </c>
      <c r="R156" s="10" t="n">
        <f aca="false">INDEX(SLA_Days_Col,MATCH(A156,ShipMode_Col,0))</f>
        <v>2</v>
      </c>
    </row>
    <row r="157" customFormat="false" ht="15" hidden="false" customHeight="false" outlineLevel="0" collapsed="false">
      <c r="A157" s="16" t="s">
        <v>98</v>
      </c>
      <c r="B157" s="16" t="s">
        <v>58</v>
      </c>
      <c r="C157" s="16" t="s">
        <v>51</v>
      </c>
      <c r="D157" s="16" t="s">
        <v>153</v>
      </c>
      <c r="E157" s="16" t="s">
        <v>60</v>
      </c>
      <c r="F157" s="16" t="n">
        <v>95123</v>
      </c>
      <c r="G157" s="16" t="s">
        <v>61</v>
      </c>
      <c r="H157" s="16" t="s">
        <v>62</v>
      </c>
      <c r="I157" s="16" t="s">
        <v>68</v>
      </c>
      <c r="J157" s="17" t="n">
        <v>80.88</v>
      </c>
      <c r="K157" s="16" t="n">
        <v>6</v>
      </c>
      <c r="L157" s="18" t="n">
        <v>0</v>
      </c>
      <c r="M157" s="19" t="n">
        <v>21.0288</v>
      </c>
      <c r="N157" s="16" t="str">
        <f aca="false">IF(M157&lt;0,"Loss",IF(M157&lt;50,"Low Profit",IF(M157&lt;200,"Medium Profit","High Profit")))</f>
        <v>Low Profit</v>
      </c>
      <c r="O157" s="16" t="str">
        <f aca="false">IF(J157&gt;=500,"High Value","Standard")</f>
        <v>Standard</v>
      </c>
      <c r="P157" s="16" t="str">
        <f aca="false">H157&amp;" &gt; "&amp;I157&amp;" ("&amp;K157&amp;" units)"</f>
        <v>Office Supplies &gt; Storage (6 units)</v>
      </c>
      <c r="Q157" s="16" t="str">
        <f aca="false">VLOOKUP(G157,Region_Manager_Table,2,FALSE())</f>
        <v>Sana Sheikh</v>
      </c>
      <c r="R157" s="16" t="n">
        <f aca="false">INDEX(SLA_Days_Col,MATCH(A157,ShipMode_Col,0))</f>
        <v>2</v>
      </c>
    </row>
    <row r="158" customFormat="false" ht="15" hidden="false" customHeight="false" outlineLevel="0" collapsed="false">
      <c r="A158" s="10" t="s">
        <v>64</v>
      </c>
      <c r="B158" s="10" t="s">
        <v>80</v>
      </c>
      <c r="C158" s="10" t="s">
        <v>51</v>
      </c>
      <c r="D158" s="10" t="s">
        <v>78</v>
      </c>
      <c r="E158" s="10" t="s">
        <v>79</v>
      </c>
      <c r="F158" s="10" t="n">
        <v>98105</v>
      </c>
      <c r="G158" s="10" t="s">
        <v>61</v>
      </c>
      <c r="H158" s="10" t="s">
        <v>62</v>
      </c>
      <c r="I158" s="10" t="s">
        <v>70</v>
      </c>
      <c r="J158" s="13" t="n">
        <v>6.63</v>
      </c>
      <c r="K158" s="10" t="n">
        <v>3</v>
      </c>
      <c r="L158" s="14" t="n">
        <v>0</v>
      </c>
      <c r="M158" s="15" t="n">
        <v>1.7901</v>
      </c>
      <c r="N158" s="10" t="str">
        <f aca="false">IF(M158&lt;0,"Loss",IF(M158&lt;50,"Low Profit",IF(M158&lt;200,"Medium Profit","High Profit")))</f>
        <v>Low Profit</v>
      </c>
      <c r="O158" s="10" t="str">
        <f aca="false">IF(J158&gt;=500,"High Value","Standard")</f>
        <v>Standard</v>
      </c>
      <c r="P158" s="10" t="str">
        <f aca="false">H158&amp;" &gt; "&amp;I158&amp;" ("&amp;K158&amp;" units)"</f>
        <v>Office Supplies &gt; Art (3 units)</v>
      </c>
      <c r="Q158" s="10" t="str">
        <f aca="false">VLOOKUP(G158,Region_Manager_Table,2,FALSE())</f>
        <v>Sana Sheikh</v>
      </c>
      <c r="R158" s="10" t="n">
        <f aca="false">INDEX(SLA_Days_Col,MATCH(A158,ShipMode_Col,0))</f>
        <v>6</v>
      </c>
    </row>
    <row r="159" customFormat="false" ht="15" hidden="false" customHeight="false" outlineLevel="0" collapsed="false">
      <c r="A159" s="16" t="s">
        <v>49</v>
      </c>
      <c r="B159" s="16" t="s">
        <v>50</v>
      </c>
      <c r="C159" s="16" t="s">
        <v>51</v>
      </c>
      <c r="D159" s="16" t="s">
        <v>78</v>
      </c>
      <c r="E159" s="16" t="s">
        <v>79</v>
      </c>
      <c r="F159" s="16" t="n">
        <v>98115</v>
      </c>
      <c r="G159" s="16" t="s">
        <v>61</v>
      </c>
      <c r="H159" s="16" t="s">
        <v>55</v>
      </c>
      <c r="I159" s="16" t="s">
        <v>57</v>
      </c>
      <c r="J159" s="17" t="n">
        <v>457.568</v>
      </c>
      <c r="K159" s="16" t="n">
        <v>2</v>
      </c>
      <c r="L159" s="18" t="n">
        <v>0.2</v>
      </c>
      <c r="M159" s="19" t="n">
        <v>51.4764</v>
      </c>
      <c r="N159" s="16" t="str">
        <f aca="false">IF(M159&lt;0,"Loss",IF(M159&lt;50,"Low Profit",IF(M159&lt;200,"Medium Profit","High Profit")))</f>
        <v>Medium Profit</v>
      </c>
      <c r="O159" s="16" t="str">
        <f aca="false">IF(J159&gt;=500,"High Value","Standard")</f>
        <v>Standard</v>
      </c>
      <c r="P159" s="16" t="str">
        <f aca="false">H159&amp;" &gt; "&amp;I159&amp;" ("&amp;K159&amp;" units)"</f>
        <v>Furniture &gt; Chairs (2 units)</v>
      </c>
      <c r="Q159" s="16" t="str">
        <f aca="false">VLOOKUP(G159,Region_Manager_Table,2,FALSE())</f>
        <v>Sana Sheikh</v>
      </c>
      <c r="R159" s="16" t="n">
        <f aca="false">INDEX(SLA_Days_Col,MATCH(A159,ShipMode_Col,0))</f>
        <v>4</v>
      </c>
    </row>
    <row r="160" customFormat="false" ht="15" hidden="false" customHeight="false" outlineLevel="0" collapsed="false">
      <c r="A160" s="10" t="s">
        <v>64</v>
      </c>
      <c r="B160" s="10" t="s">
        <v>50</v>
      </c>
      <c r="C160" s="10" t="s">
        <v>51</v>
      </c>
      <c r="D160" s="10" t="s">
        <v>154</v>
      </c>
      <c r="E160" s="10" t="s">
        <v>155</v>
      </c>
      <c r="F160" s="10" t="n">
        <v>73034</v>
      </c>
      <c r="G160" s="10" t="s">
        <v>83</v>
      </c>
      <c r="H160" s="10" t="s">
        <v>62</v>
      </c>
      <c r="I160" s="10" t="s">
        <v>63</v>
      </c>
      <c r="J160" s="13" t="n">
        <v>14.62</v>
      </c>
      <c r="K160" s="10" t="n">
        <v>2</v>
      </c>
      <c r="L160" s="14" t="n">
        <v>0</v>
      </c>
      <c r="M160" s="15" t="n">
        <v>6.8714</v>
      </c>
      <c r="N160" s="10" t="str">
        <f aca="false">IF(M160&lt;0,"Loss",IF(M160&lt;50,"Low Profit",IF(M160&lt;200,"Medium Profit","High Profit")))</f>
        <v>Low Profit</v>
      </c>
      <c r="O160" s="10" t="str">
        <f aca="false">IF(J160&gt;=500,"High Value","Standard")</f>
        <v>Standard</v>
      </c>
      <c r="P160" s="10" t="str">
        <f aca="false">H160&amp;" &gt; "&amp;I160&amp;" ("&amp;K160&amp;" units)"</f>
        <v>Office Supplies &gt; Labels (2 units)</v>
      </c>
      <c r="Q160" s="10" t="str">
        <f aca="false">VLOOKUP(G160,Region_Manager_Table,2,FALSE())</f>
        <v>Aditya Rao</v>
      </c>
      <c r="R160" s="10" t="n">
        <f aca="false">INDEX(SLA_Days_Col,MATCH(A160,ShipMode_Col,0))</f>
        <v>6</v>
      </c>
    </row>
    <row r="161" customFormat="false" ht="15" hidden="false" customHeight="false" outlineLevel="0" collapsed="false">
      <c r="A161" s="16" t="s">
        <v>64</v>
      </c>
      <c r="B161" s="16" t="s">
        <v>50</v>
      </c>
      <c r="C161" s="16" t="s">
        <v>51</v>
      </c>
      <c r="D161" s="16" t="s">
        <v>154</v>
      </c>
      <c r="E161" s="16" t="s">
        <v>155</v>
      </c>
      <c r="F161" s="16" t="n">
        <v>73034</v>
      </c>
      <c r="G161" s="16" t="s">
        <v>83</v>
      </c>
      <c r="H161" s="16" t="s">
        <v>71</v>
      </c>
      <c r="I161" s="16" t="s">
        <v>72</v>
      </c>
      <c r="J161" s="17" t="n">
        <v>944.93</v>
      </c>
      <c r="K161" s="16" t="n">
        <v>7</v>
      </c>
      <c r="L161" s="18" t="n">
        <v>0</v>
      </c>
      <c r="M161" s="19" t="n">
        <v>236.2325</v>
      </c>
      <c r="N161" s="16" t="str">
        <f aca="false">IF(M161&lt;0,"Loss",IF(M161&lt;50,"Low Profit",IF(M161&lt;200,"Medium Profit","High Profit")))</f>
        <v>High Profit</v>
      </c>
      <c r="O161" s="16" t="str">
        <f aca="false">IF(J161&gt;=500,"High Value","Standard")</f>
        <v>High Value</v>
      </c>
      <c r="P161" s="16" t="str">
        <f aca="false">H161&amp;" &gt; "&amp;I161&amp;" ("&amp;K161&amp;" units)"</f>
        <v>Technology &gt; Phones (7 units)</v>
      </c>
      <c r="Q161" s="16" t="str">
        <f aca="false">VLOOKUP(G161,Region_Manager_Table,2,FALSE())</f>
        <v>Aditya Rao</v>
      </c>
      <c r="R161" s="16" t="n">
        <f aca="false">INDEX(SLA_Days_Col,MATCH(A161,ShipMode_Col,0))</f>
        <v>6</v>
      </c>
    </row>
    <row r="162" customFormat="false" ht="15" hidden="false" customHeight="false" outlineLevel="0" collapsed="false">
      <c r="A162" s="10" t="s">
        <v>98</v>
      </c>
      <c r="B162" s="10" t="s">
        <v>50</v>
      </c>
      <c r="C162" s="10" t="s">
        <v>51</v>
      </c>
      <c r="D162" s="10" t="s">
        <v>59</v>
      </c>
      <c r="E162" s="10" t="s">
        <v>60</v>
      </c>
      <c r="F162" s="10" t="n">
        <v>90045</v>
      </c>
      <c r="G162" s="10" t="s">
        <v>61</v>
      </c>
      <c r="H162" s="10" t="s">
        <v>62</v>
      </c>
      <c r="I162" s="10" t="s">
        <v>77</v>
      </c>
      <c r="J162" s="13" t="n">
        <v>5.98</v>
      </c>
      <c r="K162" s="10" t="n">
        <v>1</v>
      </c>
      <c r="L162" s="14" t="n">
        <v>0</v>
      </c>
      <c r="M162" s="15" t="n">
        <v>2.691</v>
      </c>
      <c r="N162" s="10" t="str">
        <f aca="false">IF(M162&lt;0,"Loss",IF(M162&lt;50,"Low Profit",IF(M162&lt;200,"Medium Profit","High Profit")))</f>
        <v>Low Profit</v>
      </c>
      <c r="O162" s="10" t="str">
        <f aca="false">IF(J162&gt;=500,"High Value","Standard")</f>
        <v>Standard</v>
      </c>
      <c r="P162" s="10" t="str">
        <f aca="false">H162&amp;" &gt; "&amp;I162&amp;" ("&amp;K162&amp;" units)"</f>
        <v>Office Supplies &gt; Paper (1 units)</v>
      </c>
      <c r="Q162" s="10" t="str">
        <f aca="false">VLOOKUP(G162,Region_Manager_Table,2,FALSE())</f>
        <v>Sana Sheikh</v>
      </c>
      <c r="R162" s="10" t="n">
        <f aca="false">INDEX(SLA_Days_Col,MATCH(A162,ShipMode_Col,0))</f>
        <v>2</v>
      </c>
    </row>
    <row r="163" customFormat="false" ht="15" hidden="false" customHeight="false" outlineLevel="0" collapsed="false">
      <c r="A163" s="16" t="s">
        <v>49</v>
      </c>
      <c r="B163" s="16" t="s">
        <v>50</v>
      </c>
      <c r="C163" s="16" t="s">
        <v>51</v>
      </c>
      <c r="D163" s="16" t="s">
        <v>91</v>
      </c>
      <c r="E163" s="16" t="s">
        <v>92</v>
      </c>
      <c r="F163" s="16" t="n">
        <v>19134</v>
      </c>
      <c r="G163" s="16" t="s">
        <v>93</v>
      </c>
      <c r="H163" s="16" t="s">
        <v>71</v>
      </c>
      <c r="I163" s="16" t="s">
        <v>95</v>
      </c>
      <c r="J163" s="17" t="n">
        <v>54.384</v>
      </c>
      <c r="K163" s="16" t="n">
        <v>2</v>
      </c>
      <c r="L163" s="18" t="n">
        <v>0.2</v>
      </c>
      <c r="M163" s="19" t="n">
        <v>1.3596</v>
      </c>
      <c r="N163" s="16" t="str">
        <f aca="false">IF(M163&lt;0,"Loss",IF(M163&lt;50,"Low Profit",IF(M163&lt;200,"Medium Profit","High Profit")))</f>
        <v>Low Profit</v>
      </c>
      <c r="O163" s="16" t="str">
        <f aca="false">IF(J163&gt;=500,"High Value","Standard")</f>
        <v>Standard</v>
      </c>
      <c r="P163" s="16" t="str">
        <f aca="false">H163&amp;" &gt; "&amp;I163&amp;" ("&amp;K163&amp;" units)"</f>
        <v>Technology &gt; Accessories (2 units)</v>
      </c>
      <c r="Q163" s="16" t="str">
        <f aca="false">VLOOKUP(G163,Region_Manager_Table,2,FALSE())</f>
        <v>Priya Menon</v>
      </c>
      <c r="R163" s="16" t="n">
        <f aca="false">INDEX(SLA_Days_Col,MATCH(A163,ShipMode_Col,0))</f>
        <v>4</v>
      </c>
    </row>
    <row r="164" customFormat="false" ht="15" hidden="false" customHeight="false" outlineLevel="0" collapsed="false">
      <c r="A164" s="10" t="s">
        <v>64</v>
      </c>
      <c r="B164" s="10" t="s">
        <v>50</v>
      </c>
      <c r="C164" s="10" t="s">
        <v>51</v>
      </c>
      <c r="D164" s="10" t="s">
        <v>156</v>
      </c>
      <c r="E164" s="10" t="s">
        <v>157</v>
      </c>
      <c r="F164" s="10" t="n">
        <v>88220</v>
      </c>
      <c r="G164" s="10" t="s">
        <v>61</v>
      </c>
      <c r="H164" s="10" t="s">
        <v>62</v>
      </c>
      <c r="I164" s="10" t="s">
        <v>96</v>
      </c>
      <c r="J164" s="13" t="n">
        <v>28.4</v>
      </c>
      <c r="K164" s="10" t="n">
        <v>5</v>
      </c>
      <c r="L164" s="14" t="n">
        <v>0</v>
      </c>
      <c r="M164" s="15" t="n">
        <v>13.348</v>
      </c>
      <c r="N164" s="10" t="str">
        <f aca="false">IF(M164&lt;0,"Loss",IF(M164&lt;50,"Low Profit",IF(M164&lt;200,"Medium Profit","High Profit")))</f>
        <v>Low Profit</v>
      </c>
      <c r="O164" s="10" t="str">
        <f aca="false">IF(J164&gt;=500,"High Value","Standard")</f>
        <v>Standard</v>
      </c>
      <c r="P164" s="10" t="str">
        <f aca="false">H164&amp;" &gt; "&amp;I164&amp;" ("&amp;K164&amp;" units)"</f>
        <v>Office Supplies &gt; Envelopes (5 units)</v>
      </c>
      <c r="Q164" s="10" t="str">
        <f aca="false">VLOOKUP(G164,Region_Manager_Table,2,FALSE())</f>
        <v>Sana Sheikh</v>
      </c>
      <c r="R164" s="10" t="n">
        <f aca="false">INDEX(SLA_Days_Col,MATCH(A164,ShipMode_Col,0))</f>
        <v>6</v>
      </c>
    </row>
    <row r="165" customFormat="false" ht="15" hidden="false" customHeight="false" outlineLevel="0" collapsed="false">
      <c r="A165" s="16" t="s">
        <v>64</v>
      </c>
      <c r="B165" s="16" t="s">
        <v>50</v>
      </c>
      <c r="C165" s="16" t="s">
        <v>51</v>
      </c>
      <c r="D165" s="16" t="s">
        <v>78</v>
      </c>
      <c r="E165" s="16" t="s">
        <v>79</v>
      </c>
      <c r="F165" s="16" t="n">
        <v>98115</v>
      </c>
      <c r="G165" s="16" t="s">
        <v>61</v>
      </c>
      <c r="H165" s="16" t="s">
        <v>62</v>
      </c>
      <c r="I165" s="16" t="s">
        <v>73</v>
      </c>
      <c r="J165" s="17" t="n">
        <v>27.68</v>
      </c>
      <c r="K165" s="16" t="n">
        <v>2</v>
      </c>
      <c r="L165" s="18" t="n">
        <v>0.2</v>
      </c>
      <c r="M165" s="19" t="n">
        <v>9.688</v>
      </c>
      <c r="N165" s="16" t="str">
        <f aca="false">IF(M165&lt;0,"Loss",IF(M165&lt;50,"Low Profit",IF(M165&lt;200,"Medium Profit","High Profit")))</f>
        <v>Low Profit</v>
      </c>
      <c r="O165" s="16" t="str">
        <f aca="false">IF(J165&gt;=500,"High Value","Standard")</f>
        <v>Standard</v>
      </c>
      <c r="P165" s="16" t="str">
        <f aca="false">H165&amp;" &gt; "&amp;I165&amp;" ("&amp;K165&amp;" units)"</f>
        <v>Office Supplies &gt; Binders (2 units)</v>
      </c>
      <c r="Q165" s="16" t="str">
        <f aca="false">VLOOKUP(G165,Region_Manager_Table,2,FALSE())</f>
        <v>Sana Sheikh</v>
      </c>
      <c r="R165" s="16" t="n">
        <f aca="false">INDEX(SLA_Days_Col,MATCH(A165,ShipMode_Col,0))</f>
        <v>6</v>
      </c>
    </row>
    <row r="166" customFormat="false" ht="15" hidden="false" customHeight="false" outlineLevel="0" collapsed="false">
      <c r="A166" s="10" t="s">
        <v>64</v>
      </c>
      <c r="B166" s="10" t="s">
        <v>50</v>
      </c>
      <c r="C166" s="10" t="s">
        <v>51</v>
      </c>
      <c r="D166" s="10" t="s">
        <v>158</v>
      </c>
      <c r="E166" s="10" t="s">
        <v>82</v>
      </c>
      <c r="F166" s="10" t="n">
        <v>78207</v>
      </c>
      <c r="G166" s="10" t="s">
        <v>83</v>
      </c>
      <c r="H166" s="10" t="s">
        <v>62</v>
      </c>
      <c r="I166" s="10" t="s">
        <v>70</v>
      </c>
      <c r="J166" s="13" t="n">
        <v>9.936</v>
      </c>
      <c r="K166" s="10" t="n">
        <v>3</v>
      </c>
      <c r="L166" s="14" t="n">
        <v>0.2</v>
      </c>
      <c r="M166" s="15" t="n">
        <v>2.7324</v>
      </c>
      <c r="N166" s="10" t="str">
        <f aca="false">IF(M166&lt;0,"Loss",IF(M166&lt;50,"Low Profit",IF(M166&lt;200,"Medium Profit","High Profit")))</f>
        <v>Low Profit</v>
      </c>
      <c r="O166" s="10" t="str">
        <f aca="false">IF(J166&gt;=500,"High Value","Standard")</f>
        <v>Standard</v>
      </c>
      <c r="P166" s="10" t="str">
        <f aca="false">H166&amp;" &gt; "&amp;I166&amp;" ("&amp;K166&amp;" units)"</f>
        <v>Office Supplies &gt; Art (3 units)</v>
      </c>
      <c r="Q166" s="10" t="str">
        <f aca="false">VLOOKUP(G166,Region_Manager_Table,2,FALSE())</f>
        <v>Aditya Rao</v>
      </c>
      <c r="R166" s="10" t="n">
        <f aca="false">INDEX(SLA_Days_Col,MATCH(A166,ShipMode_Col,0))</f>
        <v>6</v>
      </c>
    </row>
    <row r="167" customFormat="false" ht="15" hidden="false" customHeight="false" outlineLevel="0" collapsed="false">
      <c r="A167" s="16" t="s">
        <v>64</v>
      </c>
      <c r="B167" s="16" t="s">
        <v>50</v>
      </c>
      <c r="C167" s="16" t="s">
        <v>51</v>
      </c>
      <c r="D167" s="16" t="s">
        <v>158</v>
      </c>
      <c r="E167" s="16" t="s">
        <v>82</v>
      </c>
      <c r="F167" s="16" t="n">
        <v>78207</v>
      </c>
      <c r="G167" s="16" t="s">
        <v>83</v>
      </c>
      <c r="H167" s="16" t="s">
        <v>71</v>
      </c>
      <c r="I167" s="16" t="s">
        <v>159</v>
      </c>
      <c r="J167" s="17" t="n">
        <v>8159.952</v>
      </c>
      <c r="K167" s="16" t="n">
        <v>8</v>
      </c>
      <c r="L167" s="18" t="n">
        <v>0.4</v>
      </c>
      <c r="M167" s="19" t="n">
        <v>-1359.992</v>
      </c>
      <c r="N167" s="16" t="str">
        <f aca="false">IF(M167&lt;0,"Loss",IF(M167&lt;50,"Low Profit",IF(M167&lt;200,"Medium Profit","High Profit")))</f>
        <v>Loss</v>
      </c>
      <c r="O167" s="16" t="str">
        <f aca="false">IF(J167&gt;=500,"High Value","Standard")</f>
        <v>High Value</v>
      </c>
      <c r="P167" s="16" t="str">
        <f aca="false">H167&amp;" &gt; "&amp;I167&amp;" ("&amp;K167&amp;" units)"</f>
        <v>Technology &gt; Machines (8 units)</v>
      </c>
      <c r="Q167" s="16" t="str">
        <f aca="false">VLOOKUP(G167,Region_Manager_Table,2,FALSE())</f>
        <v>Aditya Rao</v>
      </c>
      <c r="R167" s="16" t="n">
        <f aca="false">INDEX(SLA_Days_Col,MATCH(A167,ShipMode_Col,0))</f>
        <v>6</v>
      </c>
    </row>
    <row r="168" customFormat="false" ht="15" hidden="false" customHeight="false" outlineLevel="0" collapsed="false">
      <c r="A168" s="10" t="s">
        <v>64</v>
      </c>
      <c r="B168" s="10" t="s">
        <v>50</v>
      </c>
      <c r="C168" s="10" t="s">
        <v>51</v>
      </c>
      <c r="D168" s="10" t="s">
        <v>158</v>
      </c>
      <c r="E168" s="10" t="s">
        <v>82</v>
      </c>
      <c r="F168" s="10" t="n">
        <v>78207</v>
      </c>
      <c r="G168" s="10" t="s">
        <v>83</v>
      </c>
      <c r="H168" s="10" t="s">
        <v>62</v>
      </c>
      <c r="I168" s="10" t="s">
        <v>68</v>
      </c>
      <c r="J168" s="13" t="n">
        <v>275.928</v>
      </c>
      <c r="K168" s="10" t="n">
        <v>3</v>
      </c>
      <c r="L168" s="14" t="n">
        <v>0.2</v>
      </c>
      <c r="M168" s="15" t="n">
        <v>-58.6347</v>
      </c>
      <c r="N168" s="10" t="str">
        <f aca="false">IF(M168&lt;0,"Loss",IF(M168&lt;50,"Low Profit",IF(M168&lt;200,"Medium Profit","High Profit")))</f>
        <v>Loss</v>
      </c>
      <c r="O168" s="10" t="str">
        <f aca="false">IF(J168&gt;=500,"High Value","Standard")</f>
        <v>Standard</v>
      </c>
      <c r="P168" s="10" t="str">
        <f aca="false">H168&amp;" &gt; "&amp;I168&amp;" ("&amp;K168&amp;" units)"</f>
        <v>Office Supplies &gt; Storage (3 units)</v>
      </c>
      <c r="Q168" s="10" t="str">
        <f aca="false">VLOOKUP(G168,Region_Manager_Table,2,FALSE())</f>
        <v>Aditya Rao</v>
      </c>
      <c r="R168" s="10" t="n">
        <f aca="false">INDEX(SLA_Days_Col,MATCH(A168,ShipMode_Col,0))</f>
        <v>6</v>
      </c>
    </row>
    <row r="169" customFormat="false" ht="15" hidden="false" customHeight="false" outlineLevel="0" collapsed="false">
      <c r="A169" s="16" t="s">
        <v>64</v>
      </c>
      <c r="B169" s="16" t="s">
        <v>50</v>
      </c>
      <c r="C169" s="16" t="s">
        <v>51</v>
      </c>
      <c r="D169" s="16" t="s">
        <v>158</v>
      </c>
      <c r="E169" s="16" t="s">
        <v>82</v>
      </c>
      <c r="F169" s="16" t="n">
        <v>78207</v>
      </c>
      <c r="G169" s="16" t="s">
        <v>83</v>
      </c>
      <c r="H169" s="16" t="s">
        <v>55</v>
      </c>
      <c r="I169" s="16" t="s">
        <v>57</v>
      </c>
      <c r="J169" s="17" t="n">
        <v>1740.06</v>
      </c>
      <c r="K169" s="16" t="n">
        <v>9</v>
      </c>
      <c r="L169" s="18" t="n">
        <v>0.3</v>
      </c>
      <c r="M169" s="19" t="n">
        <v>-24.858</v>
      </c>
      <c r="N169" s="16" t="str">
        <f aca="false">IF(M169&lt;0,"Loss",IF(M169&lt;50,"Low Profit",IF(M169&lt;200,"Medium Profit","High Profit")))</f>
        <v>Loss</v>
      </c>
      <c r="O169" s="16" t="str">
        <f aca="false">IF(J169&gt;=500,"High Value","Standard")</f>
        <v>High Value</v>
      </c>
      <c r="P169" s="16" t="str">
        <f aca="false">H169&amp;" &gt; "&amp;I169&amp;" ("&amp;K169&amp;" units)"</f>
        <v>Furniture &gt; Chairs (9 units)</v>
      </c>
      <c r="Q169" s="16" t="str">
        <f aca="false">VLOOKUP(G169,Region_Manager_Table,2,FALSE())</f>
        <v>Aditya Rao</v>
      </c>
      <c r="R169" s="16" t="n">
        <f aca="false">INDEX(SLA_Days_Col,MATCH(A169,ShipMode_Col,0))</f>
        <v>6</v>
      </c>
    </row>
    <row r="170" customFormat="false" ht="15" hidden="false" customHeight="false" outlineLevel="0" collapsed="false">
      <c r="A170" s="10" t="s">
        <v>64</v>
      </c>
      <c r="B170" s="10" t="s">
        <v>50</v>
      </c>
      <c r="C170" s="10" t="s">
        <v>51</v>
      </c>
      <c r="D170" s="10" t="s">
        <v>158</v>
      </c>
      <c r="E170" s="10" t="s">
        <v>82</v>
      </c>
      <c r="F170" s="10" t="n">
        <v>78207</v>
      </c>
      <c r="G170" s="10" t="s">
        <v>83</v>
      </c>
      <c r="H170" s="10" t="s">
        <v>62</v>
      </c>
      <c r="I170" s="10" t="s">
        <v>70</v>
      </c>
      <c r="J170" s="13" t="n">
        <v>32.064</v>
      </c>
      <c r="K170" s="10" t="n">
        <v>6</v>
      </c>
      <c r="L170" s="14" t="n">
        <v>0.2</v>
      </c>
      <c r="M170" s="15" t="n">
        <v>6.8136</v>
      </c>
      <c r="N170" s="10" t="str">
        <f aca="false">IF(M170&lt;0,"Loss",IF(M170&lt;50,"Low Profit",IF(M170&lt;200,"Medium Profit","High Profit")))</f>
        <v>Low Profit</v>
      </c>
      <c r="O170" s="10" t="str">
        <f aca="false">IF(J170&gt;=500,"High Value","Standard")</f>
        <v>Standard</v>
      </c>
      <c r="P170" s="10" t="str">
        <f aca="false">H170&amp;" &gt; "&amp;I170&amp;" ("&amp;K170&amp;" units)"</f>
        <v>Office Supplies &gt; Art (6 units)</v>
      </c>
      <c r="Q170" s="10" t="str">
        <f aca="false">VLOOKUP(G170,Region_Manager_Table,2,FALSE())</f>
        <v>Aditya Rao</v>
      </c>
      <c r="R170" s="10" t="n">
        <f aca="false">INDEX(SLA_Days_Col,MATCH(A170,ShipMode_Col,0))</f>
        <v>6</v>
      </c>
    </row>
    <row r="171" customFormat="false" ht="15" hidden="false" customHeight="false" outlineLevel="0" collapsed="false">
      <c r="A171" s="16" t="s">
        <v>64</v>
      </c>
      <c r="B171" s="16" t="s">
        <v>50</v>
      </c>
      <c r="C171" s="16" t="s">
        <v>51</v>
      </c>
      <c r="D171" s="16" t="s">
        <v>158</v>
      </c>
      <c r="E171" s="16" t="s">
        <v>82</v>
      </c>
      <c r="F171" s="16" t="n">
        <v>78207</v>
      </c>
      <c r="G171" s="16" t="s">
        <v>83</v>
      </c>
      <c r="H171" s="16" t="s">
        <v>62</v>
      </c>
      <c r="I171" s="16" t="s">
        <v>74</v>
      </c>
      <c r="J171" s="17" t="n">
        <v>177.98</v>
      </c>
      <c r="K171" s="16" t="n">
        <v>5</v>
      </c>
      <c r="L171" s="18" t="n">
        <v>0.8</v>
      </c>
      <c r="M171" s="19" t="n">
        <v>-453.849</v>
      </c>
      <c r="N171" s="16" t="str">
        <f aca="false">IF(M171&lt;0,"Loss",IF(M171&lt;50,"Low Profit",IF(M171&lt;200,"Medium Profit","High Profit")))</f>
        <v>Loss</v>
      </c>
      <c r="O171" s="16" t="str">
        <f aca="false">IF(J171&gt;=500,"High Value","Standard")</f>
        <v>Standard</v>
      </c>
      <c r="P171" s="16" t="str">
        <f aca="false">H171&amp;" &gt; "&amp;I171&amp;" ("&amp;K171&amp;" units)"</f>
        <v>Office Supplies &gt; Appliances (5 units)</v>
      </c>
      <c r="Q171" s="16" t="str">
        <f aca="false">VLOOKUP(G171,Region_Manager_Table,2,FALSE())</f>
        <v>Aditya Rao</v>
      </c>
      <c r="R171" s="16" t="n">
        <f aca="false">INDEX(SLA_Days_Col,MATCH(A171,ShipMode_Col,0))</f>
        <v>6</v>
      </c>
    </row>
    <row r="172" customFormat="false" ht="15" hidden="false" customHeight="false" outlineLevel="0" collapsed="false">
      <c r="A172" s="10" t="s">
        <v>64</v>
      </c>
      <c r="B172" s="10" t="s">
        <v>50</v>
      </c>
      <c r="C172" s="10" t="s">
        <v>51</v>
      </c>
      <c r="D172" s="10" t="s">
        <v>158</v>
      </c>
      <c r="E172" s="10" t="s">
        <v>82</v>
      </c>
      <c r="F172" s="10" t="n">
        <v>78207</v>
      </c>
      <c r="G172" s="10" t="s">
        <v>83</v>
      </c>
      <c r="H172" s="10" t="s">
        <v>71</v>
      </c>
      <c r="I172" s="10" t="s">
        <v>72</v>
      </c>
      <c r="J172" s="13" t="n">
        <v>143.976</v>
      </c>
      <c r="K172" s="10" t="n">
        <v>3</v>
      </c>
      <c r="L172" s="14" t="n">
        <v>0.2</v>
      </c>
      <c r="M172" s="15" t="n">
        <v>8.9985</v>
      </c>
      <c r="N172" s="10" t="str">
        <f aca="false">IF(M172&lt;0,"Loss",IF(M172&lt;50,"Low Profit",IF(M172&lt;200,"Medium Profit","High Profit")))</f>
        <v>Low Profit</v>
      </c>
      <c r="O172" s="10" t="str">
        <f aca="false">IF(J172&gt;=500,"High Value","Standard")</f>
        <v>Standard</v>
      </c>
      <c r="P172" s="10" t="str">
        <f aca="false">H172&amp;" &gt; "&amp;I172&amp;" ("&amp;K172&amp;" units)"</f>
        <v>Technology &gt; Phones (3 units)</v>
      </c>
      <c r="Q172" s="10" t="str">
        <f aca="false">VLOOKUP(G172,Region_Manager_Table,2,FALSE())</f>
        <v>Aditya Rao</v>
      </c>
      <c r="R172" s="10" t="n">
        <f aca="false">INDEX(SLA_Days_Col,MATCH(A172,ShipMode_Col,0))</f>
        <v>6</v>
      </c>
    </row>
    <row r="173" customFormat="false" ht="15" hidden="false" customHeight="false" outlineLevel="0" collapsed="false">
      <c r="A173" s="16" t="s">
        <v>64</v>
      </c>
      <c r="B173" s="16" t="s">
        <v>50</v>
      </c>
      <c r="C173" s="16" t="s">
        <v>51</v>
      </c>
      <c r="D173" s="16" t="s">
        <v>59</v>
      </c>
      <c r="E173" s="16" t="s">
        <v>60</v>
      </c>
      <c r="F173" s="16" t="n">
        <v>90004</v>
      </c>
      <c r="G173" s="16" t="s">
        <v>61</v>
      </c>
      <c r="H173" s="16" t="s">
        <v>62</v>
      </c>
      <c r="I173" s="16" t="s">
        <v>77</v>
      </c>
      <c r="J173" s="17" t="n">
        <v>20.94</v>
      </c>
      <c r="K173" s="16" t="n">
        <v>3</v>
      </c>
      <c r="L173" s="18" t="n">
        <v>0</v>
      </c>
      <c r="M173" s="19" t="n">
        <v>9.8418</v>
      </c>
      <c r="N173" s="16" t="str">
        <f aca="false">IF(M173&lt;0,"Loss",IF(M173&lt;50,"Low Profit",IF(M173&lt;200,"Medium Profit","High Profit")))</f>
        <v>Low Profit</v>
      </c>
      <c r="O173" s="16" t="str">
        <f aca="false">IF(J173&gt;=500,"High Value","Standard")</f>
        <v>Standard</v>
      </c>
      <c r="P173" s="16" t="str">
        <f aca="false">H173&amp;" &gt; "&amp;I173&amp;" ("&amp;K173&amp;" units)"</f>
        <v>Office Supplies &gt; Paper (3 units)</v>
      </c>
      <c r="Q173" s="16" t="str">
        <f aca="false">VLOOKUP(G173,Region_Manager_Table,2,FALSE())</f>
        <v>Sana Sheikh</v>
      </c>
      <c r="R173" s="16" t="n">
        <f aca="false">INDEX(SLA_Days_Col,MATCH(A173,ShipMode_Col,0))</f>
        <v>6</v>
      </c>
    </row>
    <row r="174" customFormat="false" ht="15" hidden="false" customHeight="false" outlineLevel="0" collapsed="false">
      <c r="A174" s="10" t="s">
        <v>64</v>
      </c>
      <c r="B174" s="10" t="s">
        <v>50</v>
      </c>
      <c r="C174" s="10" t="s">
        <v>51</v>
      </c>
      <c r="D174" s="10" t="s">
        <v>59</v>
      </c>
      <c r="E174" s="10" t="s">
        <v>60</v>
      </c>
      <c r="F174" s="10" t="n">
        <v>90004</v>
      </c>
      <c r="G174" s="10" t="s">
        <v>61</v>
      </c>
      <c r="H174" s="10" t="s">
        <v>62</v>
      </c>
      <c r="I174" s="10" t="s">
        <v>77</v>
      </c>
      <c r="J174" s="13" t="n">
        <v>110.96</v>
      </c>
      <c r="K174" s="10" t="n">
        <v>2</v>
      </c>
      <c r="L174" s="14" t="n">
        <v>0</v>
      </c>
      <c r="M174" s="15" t="n">
        <v>53.2608</v>
      </c>
      <c r="N174" s="10" t="str">
        <f aca="false">IF(M174&lt;0,"Loss",IF(M174&lt;50,"Low Profit",IF(M174&lt;200,"Medium Profit","High Profit")))</f>
        <v>Medium Profit</v>
      </c>
      <c r="O174" s="10" t="str">
        <f aca="false">IF(J174&gt;=500,"High Value","Standard")</f>
        <v>Standard</v>
      </c>
      <c r="P174" s="10" t="str">
        <f aca="false">H174&amp;" &gt; "&amp;I174&amp;" ("&amp;K174&amp;" units)"</f>
        <v>Office Supplies &gt; Paper (2 units)</v>
      </c>
      <c r="Q174" s="10" t="str">
        <f aca="false">VLOOKUP(G174,Region_Manager_Table,2,FALSE())</f>
        <v>Sana Sheikh</v>
      </c>
      <c r="R174" s="10" t="n">
        <f aca="false">INDEX(SLA_Days_Col,MATCH(A174,ShipMode_Col,0))</f>
        <v>6</v>
      </c>
    </row>
    <row r="175" customFormat="false" ht="15" hidden="false" customHeight="false" outlineLevel="0" collapsed="false">
      <c r="A175" s="16" t="s">
        <v>64</v>
      </c>
      <c r="B175" s="16" t="s">
        <v>50</v>
      </c>
      <c r="C175" s="16" t="s">
        <v>51</v>
      </c>
      <c r="D175" s="16" t="s">
        <v>59</v>
      </c>
      <c r="E175" s="16" t="s">
        <v>60</v>
      </c>
      <c r="F175" s="16" t="n">
        <v>90004</v>
      </c>
      <c r="G175" s="16" t="s">
        <v>61</v>
      </c>
      <c r="H175" s="16" t="s">
        <v>55</v>
      </c>
      <c r="I175" s="16" t="s">
        <v>57</v>
      </c>
      <c r="J175" s="17" t="n">
        <v>340.144</v>
      </c>
      <c r="K175" s="16" t="n">
        <v>7</v>
      </c>
      <c r="L175" s="18" t="n">
        <v>0.2</v>
      </c>
      <c r="M175" s="19" t="n">
        <v>21.259</v>
      </c>
      <c r="N175" s="16" t="str">
        <f aca="false">IF(M175&lt;0,"Loss",IF(M175&lt;50,"Low Profit",IF(M175&lt;200,"Medium Profit","High Profit")))</f>
        <v>Low Profit</v>
      </c>
      <c r="O175" s="16" t="str">
        <f aca="false">IF(J175&gt;=500,"High Value","Standard")</f>
        <v>Standard</v>
      </c>
      <c r="P175" s="16" t="str">
        <f aca="false">H175&amp;" &gt; "&amp;I175&amp;" ("&amp;K175&amp;" units)"</f>
        <v>Furniture &gt; Chairs (7 units)</v>
      </c>
      <c r="Q175" s="16" t="str">
        <f aca="false">VLOOKUP(G175,Region_Manager_Table,2,FALSE())</f>
        <v>Sana Sheikh</v>
      </c>
      <c r="R175" s="16" t="n">
        <f aca="false">INDEX(SLA_Days_Col,MATCH(A175,ShipMode_Col,0))</f>
        <v>6</v>
      </c>
    </row>
    <row r="176" customFormat="false" ht="15" hidden="false" customHeight="false" outlineLevel="0" collapsed="false">
      <c r="A176" s="10" t="s">
        <v>64</v>
      </c>
      <c r="B176" s="10" t="s">
        <v>58</v>
      </c>
      <c r="C176" s="10" t="s">
        <v>51</v>
      </c>
      <c r="D176" s="10" t="s">
        <v>115</v>
      </c>
      <c r="E176" s="10" t="s">
        <v>101</v>
      </c>
      <c r="F176" s="10" t="n">
        <v>60623</v>
      </c>
      <c r="G176" s="10" t="s">
        <v>83</v>
      </c>
      <c r="H176" s="10" t="s">
        <v>62</v>
      </c>
      <c r="I176" s="10" t="s">
        <v>74</v>
      </c>
      <c r="J176" s="13" t="n">
        <v>52.448</v>
      </c>
      <c r="K176" s="10" t="n">
        <v>2</v>
      </c>
      <c r="L176" s="14" t="n">
        <v>0.8</v>
      </c>
      <c r="M176" s="15" t="n">
        <v>-131.12</v>
      </c>
      <c r="N176" s="10" t="str">
        <f aca="false">IF(M176&lt;0,"Loss",IF(M176&lt;50,"Low Profit",IF(M176&lt;200,"Medium Profit","High Profit")))</f>
        <v>Loss</v>
      </c>
      <c r="O176" s="10" t="str">
        <f aca="false">IF(J176&gt;=500,"High Value","Standard")</f>
        <v>Standard</v>
      </c>
      <c r="P176" s="10" t="str">
        <f aca="false">H176&amp;" &gt; "&amp;I176&amp;" ("&amp;K176&amp;" units)"</f>
        <v>Office Supplies &gt; Appliances (2 units)</v>
      </c>
      <c r="Q176" s="10" t="str">
        <f aca="false">VLOOKUP(G176,Region_Manager_Table,2,FALSE())</f>
        <v>Aditya Rao</v>
      </c>
      <c r="R176" s="10" t="n">
        <f aca="false">INDEX(SLA_Days_Col,MATCH(A176,ShipMode_Col,0))</f>
        <v>6</v>
      </c>
    </row>
    <row r="177" customFormat="false" ht="15" hidden="false" customHeight="false" outlineLevel="0" collapsed="false">
      <c r="A177" s="16" t="s">
        <v>64</v>
      </c>
      <c r="B177" s="16" t="s">
        <v>58</v>
      </c>
      <c r="C177" s="16" t="s">
        <v>51</v>
      </c>
      <c r="D177" s="16" t="s">
        <v>115</v>
      </c>
      <c r="E177" s="16" t="s">
        <v>101</v>
      </c>
      <c r="F177" s="16" t="n">
        <v>60623</v>
      </c>
      <c r="G177" s="16" t="s">
        <v>83</v>
      </c>
      <c r="H177" s="16" t="s">
        <v>62</v>
      </c>
      <c r="I177" s="16" t="s">
        <v>63</v>
      </c>
      <c r="J177" s="17" t="n">
        <v>20.16</v>
      </c>
      <c r="K177" s="16" t="n">
        <v>4</v>
      </c>
      <c r="L177" s="18" t="n">
        <v>0.2</v>
      </c>
      <c r="M177" s="19" t="n">
        <v>6.552</v>
      </c>
      <c r="N177" s="16" t="str">
        <f aca="false">IF(M177&lt;0,"Loss",IF(M177&lt;50,"Low Profit",IF(M177&lt;200,"Medium Profit","High Profit")))</f>
        <v>Low Profit</v>
      </c>
      <c r="O177" s="16" t="str">
        <f aca="false">IF(J177&gt;=500,"High Value","Standard")</f>
        <v>Standard</v>
      </c>
      <c r="P177" s="16" t="str">
        <f aca="false">H177&amp;" &gt; "&amp;I177&amp;" ("&amp;K177&amp;" units)"</f>
        <v>Office Supplies &gt; Labels (4 units)</v>
      </c>
      <c r="Q177" s="16" t="str">
        <f aca="false">VLOOKUP(G177,Region_Manager_Table,2,FALSE())</f>
        <v>Aditya Rao</v>
      </c>
      <c r="R177" s="16" t="n">
        <f aca="false">INDEX(SLA_Days_Col,MATCH(A177,ShipMode_Col,0))</f>
        <v>6</v>
      </c>
    </row>
    <row r="178" customFormat="false" ht="15" hidden="false" customHeight="false" outlineLevel="0" collapsed="false">
      <c r="A178" s="10" t="s">
        <v>49</v>
      </c>
      <c r="B178" s="10" t="s">
        <v>50</v>
      </c>
      <c r="C178" s="10" t="s">
        <v>51</v>
      </c>
      <c r="D178" s="10" t="s">
        <v>97</v>
      </c>
      <c r="E178" s="10" t="s">
        <v>82</v>
      </c>
      <c r="F178" s="10" t="n">
        <v>77036</v>
      </c>
      <c r="G178" s="10" t="s">
        <v>83</v>
      </c>
      <c r="H178" s="10" t="s">
        <v>62</v>
      </c>
      <c r="I178" s="10" t="s">
        <v>74</v>
      </c>
      <c r="J178" s="13" t="n">
        <v>97.264</v>
      </c>
      <c r="K178" s="10" t="n">
        <v>4</v>
      </c>
      <c r="L178" s="14" t="n">
        <v>0.8</v>
      </c>
      <c r="M178" s="15" t="n">
        <v>-243.16</v>
      </c>
      <c r="N178" s="10" t="str">
        <f aca="false">IF(M178&lt;0,"Loss",IF(M178&lt;50,"Low Profit",IF(M178&lt;200,"Medium Profit","High Profit")))</f>
        <v>Loss</v>
      </c>
      <c r="O178" s="10" t="str">
        <f aca="false">IF(J178&gt;=500,"High Value","Standard")</f>
        <v>Standard</v>
      </c>
      <c r="P178" s="10" t="str">
        <f aca="false">H178&amp;" &gt; "&amp;I178&amp;" ("&amp;K178&amp;" units)"</f>
        <v>Office Supplies &gt; Appliances (4 units)</v>
      </c>
      <c r="Q178" s="10" t="str">
        <f aca="false">VLOOKUP(G178,Region_Manager_Table,2,FALSE())</f>
        <v>Aditya Rao</v>
      </c>
      <c r="R178" s="10" t="n">
        <f aca="false">INDEX(SLA_Days_Col,MATCH(A178,ShipMode_Col,0))</f>
        <v>4</v>
      </c>
    </row>
    <row r="179" customFormat="false" ht="15" hidden="false" customHeight="false" outlineLevel="0" collapsed="false">
      <c r="A179" s="16" t="s">
        <v>49</v>
      </c>
      <c r="B179" s="16" t="s">
        <v>50</v>
      </c>
      <c r="C179" s="16" t="s">
        <v>51</v>
      </c>
      <c r="D179" s="16" t="s">
        <v>150</v>
      </c>
      <c r="E179" s="16" t="s">
        <v>140</v>
      </c>
      <c r="F179" s="16" t="n">
        <v>43055</v>
      </c>
      <c r="G179" s="16" t="s">
        <v>93</v>
      </c>
      <c r="H179" s="16" t="s">
        <v>55</v>
      </c>
      <c r="I179" s="16" t="s">
        <v>57</v>
      </c>
      <c r="J179" s="17" t="n">
        <v>396.802</v>
      </c>
      <c r="K179" s="16" t="n">
        <v>7</v>
      </c>
      <c r="L179" s="18" t="n">
        <v>0.3</v>
      </c>
      <c r="M179" s="19" t="n">
        <v>-11.3372</v>
      </c>
      <c r="N179" s="16" t="str">
        <f aca="false">IF(M179&lt;0,"Loss",IF(M179&lt;50,"Low Profit",IF(M179&lt;200,"Medium Profit","High Profit")))</f>
        <v>Loss</v>
      </c>
      <c r="O179" s="16" t="str">
        <f aca="false">IF(J179&gt;=500,"High Value","Standard")</f>
        <v>Standard</v>
      </c>
      <c r="P179" s="16" t="str">
        <f aca="false">H179&amp;" &gt; "&amp;I179&amp;" ("&amp;K179&amp;" units)"</f>
        <v>Furniture &gt; Chairs (7 units)</v>
      </c>
      <c r="Q179" s="16" t="str">
        <f aca="false">VLOOKUP(G179,Region_Manager_Table,2,FALSE())</f>
        <v>Priya Menon</v>
      </c>
      <c r="R179" s="16" t="n">
        <f aca="false">INDEX(SLA_Days_Col,MATCH(A179,ShipMode_Col,0))</f>
        <v>4</v>
      </c>
    </row>
    <row r="180" customFormat="false" ht="15" hidden="false" customHeight="false" outlineLevel="0" collapsed="false">
      <c r="A180" s="10" t="s">
        <v>49</v>
      </c>
      <c r="B180" s="10" t="s">
        <v>50</v>
      </c>
      <c r="C180" s="10" t="s">
        <v>51</v>
      </c>
      <c r="D180" s="10" t="s">
        <v>150</v>
      </c>
      <c r="E180" s="10" t="s">
        <v>140</v>
      </c>
      <c r="F180" s="10" t="n">
        <v>43055</v>
      </c>
      <c r="G180" s="10" t="s">
        <v>93</v>
      </c>
      <c r="H180" s="10" t="s">
        <v>62</v>
      </c>
      <c r="I180" s="10" t="s">
        <v>146</v>
      </c>
      <c r="J180" s="13" t="n">
        <v>15.88</v>
      </c>
      <c r="K180" s="10" t="n">
        <v>5</v>
      </c>
      <c r="L180" s="14" t="n">
        <v>0.2</v>
      </c>
      <c r="M180" s="15" t="n">
        <v>-3.7715</v>
      </c>
      <c r="N180" s="10" t="str">
        <f aca="false">IF(M180&lt;0,"Loss",IF(M180&lt;50,"Low Profit",IF(M180&lt;200,"Medium Profit","High Profit")))</f>
        <v>Loss</v>
      </c>
      <c r="O180" s="10" t="str">
        <f aca="false">IF(J180&gt;=500,"High Value","Standard")</f>
        <v>Standard</v>
      </c>
      <c r="P180" s="10" t="str">
        <f aca="false">H180&amp;" &gt; "&amp;I180&amp;" ("&amp;K180&amp;" units)"</f>
        <v>Office Supplies &gt; Supplies (5 units)</v>
      </c>
      <c r="Q180" s="10" t="str">
        <f aca="false">VLOOKUP(G180,Region_Manager_Table,2,FALSE())</f>
        <v>Priya Menon</v>
      </c>
      <c r="R180" s="10" t="n">
        <f aca="false">INDEX(SLA_Days_Col,MATCH(A180,ShipMode_Col,0))</f>
        <v>4</v>
      </c>
    </row>
    <row r="181" customFormat="false" ht="15" hidden="false" customHeight="false" outlineLevel="0" collapsed="false">
      <c r="A181" s="16" t="s">
        <v>64</v>
      </c>
      <c r="B181" s="16" t="s">
        <v>80</v>
      </c>
      <c r="C181" s="16" t="s">
        <v>51</v>
      </c>
      <c r="D181" s="16" t="s">
        <v>111</v>
      </c>
      <c r="E181" s="16" t="s">
        <v>112</v>
      </c>
      <c r="F181" s="16" t="n">
        <v>10009</v>
      </c>
      <c r="G181" s="16" t="s">
        <v>93</v>
      </c>
      <c r="H181" s="16" t="s">
        <v>62</v>
      </c>
      <c r="I181" s="16" t="s">
        <v>70</v>
      </c>
      <c r="J181" s="17" t="n">
        <v>3.28</v>
      </c>
      <c r="K181" s="16" t="n">
        <v>1</v>
      </c>
      <c r="L181" s="18" t="n">
        <v>0</v>
      </c>
      <c r="M181" s="19" t="n">
        <v>1.4104</v>
      </c>
      <c r="N181" s="16" t="str">
        <f aca="false">IF(M181&lt;0,"Loss",IF(M181&lt;50,"Low Profit",IF(M181&lt;200,"Medium Profit","High Profit")))</f>
        <v>Low Profit</v>
      </c>
      <c r="O181" s="16" t="str">
        <f aca="false">IF(J181&gt;=500,"High Value","Standard")</f>
        <v>Standard</v>
      </c>
      <c r="P181" s="16" t="str">
        <f aca="false">H181&amp;" &gt; "&amp;I181&amp;" ("&amp;K181&amp;" units)"</f>
        <v>Office Supplies &gt; Art (1 units)</v>
      </c>
      <c r="Q181" s="16" t="str">
        <f aca="false">VLOOKUP(G181,Region_Manager_Table,2,FALSE())</f>
        <v>Priya Menon</v>
      </c>
      <c r="R181" s="16" t="n">
        <f aca="false">INDEX(SLA_Days_Col,MATCH(A181,ShipMode_Col,0))</f>
        <v>6</v>
      </c>
    </row>
    <row r="182" customFormat="false" ht="15" hidden="false" customHeight="false" outlineLevel="0" collapsed="false">
      <c r="A182" s="10" t="s">
        <v>49</v>
      </c>
      <c r="B182" s="10" t="s">
        <v>58</v>
      </c>
      <c r="C182" s="10" t="s">
        <v>51</v>
      </c>
      <c r="D182" s="10" t="s">
        <v>123</v>
      </c>
      <c r="E182" s="10" t="s">
        <v>101</v>
      </c>
      <c r="F182" s="10" t="n">
        <v>62521</v>
      </c>
      <c r="G182" s="10" t="s">
        <v>83</v>
      </c>
      <c r="H182" s="10" t="s">
        <v>62</v>
      </c>
      <c r="I182" s="10" t="s">
        <v>68</v>
      </c>
      <c r="J182" s="13" t="n">
        <v>24.816</v>
      </c>
      <c r="K182" s="10" t="n">
        <v>2</v>
      </c>
      <c r="L182" s="14" t="n">
        <v>0.2</v>
      </c>
      <c r="M182" s="15" t="n">
        <v>1.8612</v>
      </c>
      <c r="N182" s="10" t="str">
        <f aca="false">IF(M182&lt;0,"Loss",IF(M182&lt;50,"Low Profit",IF(M182&lt;200,"Medium Profit","High Profit")))</f>
        <v>Low Profit</v>
      </c>
      <c r="O182" s="10" t="str">
        <f aca="false">IF(J182&gt;=500,"High Value","Standard")</f>
        <v>Standard</v>
      </c>
      <c r="P182" s="10" t="str">
        <f aca="false">H182&amp;" &gt; "&amp;I182&amp;" ("&amp;K182&amp;" units)"</f>
        <v>Office Supplies &gt; Storage (2 units)</v>
      </c>
      <c r="Q182" s="10" t="str">
        <f aca="false">VLOOKUP(G182,Region_Manager_Table,2,FALSE())</f>
        <v>Aditya Rao</v>
      </c>
      <c r="R182" s="10" t="n">
        <f aca="false">INDEX(SLA_Days_Col,MATCH(A182,ShipMode_Col,0))</f>
        <v>4</v>
      </c>
    </row>
    <row r="183" customFormat="false" ht="15" hidden="false" customHeight="false" outlineLevel="0" collapsed="false">
      <c r="A183" s="16" t="s">
        <v>49</v>
      </c>
      <c r="B183" s="16" t="s">
        <v>58</v>
      </c>
      <c r="C183" s="16" t="s">
        <v>51</v>
      </c>
      <c r="D183" s="16" t="s">
        <v>123</v>
      </c>
      <c r="E183" s="16" t="s">
        <v>101</v>
      </c>
      <c r="F183" s="16" t="n">
        <v>62521</v>
      </c>
      <c r="G183" s="16" t="s">
        <v>83</v>
      </c>
      <c r="H183" s="16" t="s">
        <v>71</v>
      </c>
      <c r="I183" s="16" t="s">
        <v>95</v>
      </c>
      <c r="J183" s="17" t="n">
        <v>408.744</v>
      </c>
      <c r="K183" s="16" t="n">
        <v>7</v>
      </c>
      <c r="L183" s="18" t="n">
        <v>0.2</v>
      </c>
      <c r="M183" s="19" t="n">
        <v>76.6395</v>
      </c>
      <c r="N183" s="16" t="str">
        <f aca="false">IF(M183&lt;0,"Loss",IF(M183&lt;50,"Low Profit",IF(M183&lt;200,"Medium Profit","High Profit")))</f>
        <v>Medium Profit</v>
      </c>
      <c r="O183" s="16" t="str">
        <f aca="false">IF(J183&gt;=500,"High Value","Standard")</f>
        <v>Standard</v>
      </c>
      <c r="P183" s="16" t="str">
        <f aca="false">H183&amp;" &gt; "&amp;I183&amp;" ("&amp;K183&amp;" units)"</f>
        <v>Technology &gt; Accessories (7 units)</v>
      </c>
      <c r="Q183" s="16" t="str">
        <f aca="false">VLOOKUP(G183,Region_Manager_Table,2,FALSE())</f>
        <v>Aditya Rao</v>
      </c>
      <c r="R183" s="16" t="n">
        <f aca="false">INDEX(SLA_Days_Col,MATCH(A183,ShipMode_Col,0))</f>
        <v>4</v>
      </c>
    </row>
    <row r="184" customFormat="false" ht="15" hidden="false" customHeight="false" outlineLevel="0" collapsed="false">
      <c r="A184" s="10" t="s">
        <v>49</v>
      </c>
      <c r="B184" s="10" t="s">
        <v>80</v>
      </c>
      <c r="C184" s="10" t="s">
        <v>51</v>
      </c>
      <c r="D184" s="10" t="s">
        <v>160</v>
      </c>
      <c r="E184" s="10" t="s">
        <v>161</v>
      </c>
      <c r="F184" s="10" t="n">
        <v>71203</v>
      </c>
      <c r="G184" s="10" t="s">
        <v>54</v>
      </c>
      <c r="H184" s="10" t="s">
        <v>71</v>
      </c>
      <c r="I184" s="10" t="s">
        <v>72</v>
      </c>
      <c r="J184" s="13" t="n">
        <v>503.96</v>
      </c>
      <c r="K184" s="10" t="n">
        <v>4</v>
      </c>
      <c r="L184" s="14" t="n">
        <v>0</v>
      </c>
      <c r="M184" s="15" t="n">
        <v>131.0296</v>
      </c>
      <c r="N184" s="10" t="str">
        <f aca="false">IF(M184&lt;0,"Loss",IF(M184&lt;50,"Low Profit",IF(M184&lt;200,"Medium Profit","High Profit")))</f>
        <v>Medium Profit</v>
      </c>
      <c r="O184" s="10" t="str">
        <f aca="false">IF(J184&gt;=500,"High Value","Standard")</f>
        <v>High Value</v>
      </c>
      <c r="P184" s="10" t="str">
        <f aca="false">H184&amp;" &gt; "&amp;I184&amp;" ("&amp;K184&amp;" units)"</f>
        <v>Technology &gt; Phones (4 units)</v>
      </c>
      <c r="Q184" s="10" t="str">
        <f aca="false">VLOOKUP(G184,Region_Manager_Table,2,FALSE())</f>
        <v>Karthik Iyer</v>
      </c>
      <c r="R184" s="10" t="n">
        <f aca="false">INDEX(SLA_Days_Col,MATCH(A184,ShipMode_Col,0))</f>
        <v>4</v>
      </c>
    </row>
    <row r="185" customFormat="false" ht="15" hidden="false" customHeight="false" outlineLevel="0" collapsed="false">
      <c r="A185" s="16" t="s">
        <v>49</v>
      </c>
      <c r="B185" s="16" t="s">
        <v>80</v>
      </c>
      <c r="C185" s="16" t="s">
        <v>51</v>
      </c>
      <c r="D185" s="16" t="s">
        <v>160</v>
      </c>
      <c r="E185" s="16" t="s">
        <v>161</v>
      </c>
      <c r="F185" s="16" t="n">
        <v>71203</v>
      </c>
      <c r="G185" s="16" t="s">
        <v>54</v>
      </c>
      <c r="H185" s="16" t="s">
        <v>71</v>
      </c>
      <c r="I185" s="16" t="s">
        <v>72</v>
      </c>
      <c r="J185" s="17" t="n">
        <v>149.95</v>
      </c>
      <c r="K185" s="16" t="n">
        <v>5</v>
      </c>
      <c r="L185" s="18" t="n">
        <v>0</v>
      </c>
      <c r="M185" s="19" t="n">
        <v>41.986</v>
      </c>
      <c r="N185" s="16" t="str">
        <f aca="false">IF(M185&lt;0,"Loss",IF(M185&lt;50,"Low Profit",IF(M185&lt;200,"Medium Profit","High Profit")))</f>
        <v>Low Profit</v>
      </c>
      <c r="O185" s="16" t="str">
        <f aca="false">IF(J185&gt;=500,"High Value","Standard")</f>
        <v>Standard</v>
      </c>
      <c r="P185" s="16" t="str">
        <f aca="false">H185&amp;" &gt; "&amp;I185&amp;" ("&amp;K185&amp;" units)"</f>
        <v>Technology &gt; Phones (5 units)</v>
      </c>
      <c r="Q185" s="16" t="str">
        <f aca="false">VLOOKUP(G185,Region_Manager_Table,2,FALSE())</f>
        <v>Karthik Iyer</v>
      </c>
      <c r="R185" s="16" t="n">
        <f aca="false">INDEX(SLA_Days_Col,MATCH(A185,ShipMode_Col,0))</f>
        <v>4</v>
      </c>
    </row>
    <row r="186" customFormat="false" ht="15" hidden="false" customHeight="false" outlineLevel="0" collapsed="false">
      <c r="A186" s="10" t="s">
        <v>49</v>
      </c>
      <c r="B186" s="10" t="s">
        <v>80</v>
      </c>
      <c r="C186" s="10" t="s">
        <v>51</v>
      </c>
      <c r="D186" s="10" t="s">
        <v>160</v>
      </c>
      <c r="E186" s="10" t="s">
        <v>161</v>
      </c>
      <c r="F186" s="10" t="n">
        <v>71203</v>
      </c>
      <c r="G186" s="10" t="s">
        <v>54</v>
      </c>
      <c r="H186" s="10" t="s">
        <v>71</v>
      </c>
      <c r="I186" s="10" t="s">
        <v>95</v>
      </c>
      <c r="J186" s="13" t="n">
        <v>29</v>
      </c>
      <c r="K186" s="10" t="n">
        <v>2</v>
      </c>
      <c r="L186" s="14" t="n">
        <v>0</v>
      </c>
      <c r="M186" s="15" t="n">
        <v>7.25</v>
      </c>
      <c r="N186" s="10" t="str">
        <f aca="false">IF(M186&lt;0,"Loss",IF(M186&lt;50,"Low Profit",IF(M186&lt;200,"Medium Profit","High Profit")))</f>
        <v>Low Profit</v>
      </c>
      <c r="O186" s="10" t="str">
        <f aca="false">IF(J186&gt;=500,"High Value","Standard")</f>
        <v>Standard</v>
      </c>
      <c r="P186" s="10" t="str">
        <f aca="false">H186&amp;" &gt; "&amp;I186&amp;" ("&amp;K186&amp;" units)"</f>
        <v>Technology &gt; Accessories (2 units)</v>
      </c>
      <c r="Q186" s="10" t="str">
        <f aca="false">VLOOKUP(G186,Region_Manager_Table,2,FALSE())</f>
        <v>Karthik Iyer</v>
      </c>
      <c r="R186" s="10" t="n">
        <f aca="false">INDEX(SLA_Days_Col,MATCH(A186,ShipMode_Col,0))</f>
        <v>4</v>
      </c>
    </row>
    <row r="187" customFormat="false" ht="15" hidden="false" customHeight="false" outlineLevel="0" collapsed="false">
      <c r="A187" s="16" t="s">
        <v>64</v>
      </c>
      <c r="B187" s="16" t="s">
        <v>50</v>
      </c>
      <c r="C187" s="16" t="s">
        <v>51</v>
      </c>
      <c r="D187" s="16" t="s">
        <v>162</v>
      </c>
      <c r="E187" s="16" t="s">
        <v>163</v>
      </c>
      <c r="F187" s="16" t="n">
        <v>6824</v>
      </c>
      <c r="G187" s="16" t="s">
        <v>93</v>
      </c>
      <c r="H187" s="16" t="s">
        <v>62</v>
      </c>
      <c r="I187" s="16" t="s">
        <v>73</v>
      </c>
      <c r="J187" s="17" t="n">
        <v>7.16</v>
      </c>
      <c r="K187" s="16" t="n">
        <v>2</v>
      </c>
      <c r="L187" s="18" t="n">
        <v>0</v>
      </c>
      <c r="M187" s="19" t="n">
        <v>3.4368</v>
      </c>
      <c r="N187" s="16" t="str">
        <f aca="false">IF(M187&lt;0,"Loss",IF(M187&lt;50,"Low Profit",IF(M187&lt;200,"Medium Profit","High Profit")))</f>
        <v>Low Profit</v>
      </c>
      <c r="O187" s="16" t="str">
        <f aca="false">IF(J187&gt;=500,"High Value","Standard")</f>
        <v>Standard</v>
      </c>
      <c r="P187" s="16" t="str">
        <f aca="false">H187&amp;" &gt; "&amp;I187&amp;" ("&amp;K187&amp;" units)"</f>
        <v>Office Supplies &gt; Binders (2 units)</v>
      </c>
      <c r="Q187" s="16" t="str">
        <f aca="false">VLOOKUP(G187,Region_Manager_Table,2,FALSE())</f>
        <v>Priya Menon</v>
      </c>
      <c r="R187" s="16" t="n">
        <f aca="false">INDEX(SLA_Days_Col,MATCH(A187,ShipMode_Col,0))</f>
        <v>6</v>
      </c>
    </row>
    <row r="188" customFormat="false" ht="15" hidden="false" customHeight="false" outlineLevel="0" collapsed="false">
      <c r="A188" s="10" t="s">
        <v>64</v>
      </c>
      <c r="B188" s="10" t="s">
        <v>80</v>
      </c>
      <c r="C188" s="10" t="s">
        <v>51</v>
      </c>
      <c r="D188" s="10" t="s">
        <v>59</v>
      </c>
      <c r="E188" s="10" t="s">
        <v>60</v>
      </c>
      <c r="F188" s="10" t="n">
        <v>90032</v>
      </c>
      <c r="G188" s="10" t="s">
        <v>61</v>
      </c>
      <c r="H188" s="10" t="s">
        <v>71</v>
      </c>
      <c r="I188" s="10" t="s">
        <v>95</v>
      </c>
      <c r="J188" s="13" t="n">
        <v>176.8</v>
      </c>
      <c r="K188" s="10" t="n">
        <v>8</v>
      </c>
      <c r="L188" s="14" t="n">
        <v>0</v>
      </c>
      <c r="M188" s="15" t="n">
        <v>22.984</v>
      </c>
      <c r="N188" s="10" t="str">
        <f aca="false">IF(M188&lt;0,"Loss",IF(M188&lt;50,"Low Profit",IF(M188&lt;200,"Medium Profit","High Profit")))</f>
        <v>Low Profit</v>
      </c>
      <c r="O188" s="10" t="str">
        <f aca="false">IF(J188&gt;=500,"High Value","Standard")</f>
        <v>Standard</v>
      </c>
      <c r="P188" s="10" t="str">
        <f aca="false">H188&amp;" &gt; "&amp;I188&amp;" ("&amp;K188&amp;" units)"</f>
        <v>Technology &gt; Accessories (8 units)</v>
      </c>
      <c r="Q188" s="10" t="str">
        <f aca="false">VLOOKUP(G188,Region_Manager_Table,2,FALSE())</f>
        <v>Sana Sheikh</v>
      </c>
      <c r="R188" s="10" t="n">
        <f aca="false">INDEX(SLA_Days_Col,MATCH(A188,ShipMode_Col,0))</f>
        <v>6</v>
      </c>
    </row>
    <row r="189" customFormat="false" ht="15" hidden="false" customHeight="false" outlineLevel="0" collapsed="false">
      <c r="A189" s="16" t="s">
        <v>64</v>
      </c>
      <c r="B189" s="16" t="s">
        <v>58</v>
      </c>
      <c r="C189" s="16" t="s">
        <v>51</v>
      </c>
      <c r="D189" s="16" t="s">
        <v>164</v>
      </c>
      <c r="E189" s="16" t="s">
        <v>82</v>
      </c>
      <c r="F189" s="16" t="n">
        <v>75051</v>
      </c>
      <c r="G189" s="16" t="s">
        <v>83</v>
      </c>
      <c r="H189" s="16" t="s">
        <v>62</v>
      </c>
      <c r="I189" s="16" t="s">
        <v>68</v>
      </c>
      <c r="J189" s="17" t="n">
        <v>37.224</v>
      </c>
      <c r="K189" s="16" t="n">
        <v>3</v>
      </c>
      <c r="L189" s="18" t="n">
        <v>0.2</v>
      </c>
      <c r="M189" s="19" t="n">
        <v>3.7224</v>
      </c>
      <c r="N189" s="16" t="str">
        <f aca="false">IF(M189&lt;0,"Loss",IF(M189&lt;50,"Low Profit",IF(M189&lt;200,"Medium Profit","High Profit")))</f>
        <v>Low Profit</v>
      </c>
      <c r="O189" s="16" t="str">
        <f aca="false">IF(J189&gt;=500,"High Value","Standard")</f>
        <v>Standard</v>
      </c>
      <c r="P189" s="16" t="str">
        <f aca="false">H189&amp;" &gt; "&amp;I189&amp;" ("&amp;K189&amp;" units)"</f>
        <v>Office Supplies &gt; Storage (3 units)</v>
      </c>
      <c r="Q189" s="16" t="str">
        <f aca="false">VLOOKUP(G189,Region_Manager_Table,2,FALSE())</f>
        <v>Aditya Rao</v>
      </c>
      <c r="R189" s="16" t="n">
        <f aca="false">INDEX(SLA_Days_Col,MATCH(A189,ShipMode_Col,0))</f>
        <v>6</v>
      </c>
    </row>
    <row r="190" customFormat="false" ht="15" hidden="false" customHeight="false" outlineLevel="0" collapsed="false">
      <c r="A190" s="10" t="s">
        <v>64</v>
      </c>
      <c r="B190" s="10" t="s">
        <v>58</v>
      </c>
      <c r="C190" s="10" t="s">
        <v>51</v>
      </c>
      <c r="D190" s="10" t="s">
        <v>164</v>
      </c>
      <c r="E190" s="10" t="s">
        <v>82</v>
      </c>
      <c r="F190" s="10" t="n">
        <v>75051</v>
      </c>
      <c r="G190" s="10" t="s">
        <v>83</v>
      </c>
      <c r="H190" s="10" t="s">
        <v>62</v>
      </c>
      <c r="I190" s="10" t="s">
        <v>77</v>
      </c>
      <c r="J190" s="13" t="n">
        <v>20.016</v>
      </c>
      <c r="K190" s="10" t="n">
        <v>3</v>
      </c>
      <c r="L190" s="14" t="n">
        <v>0.2</v>
      </c>
      <c r="M190" s="15" t="n">
        <v>6.255</v>
      </c>
      <c r="N190" s="10" t="str">
        <f aca="false">IF(M190&lt;0,"Loss",IF(M190&lt;50,"Low Profit",IF(M190&lt;200,"Medium Profit","High Profit")))</f>
        <v>Low Profit</v>
      </c>
      <c r="O190" s="10" t="str">
        <f aca="false">IF(J190&gt;=500,"High Value","Standard")</f>
        <v>Standard</v>
      </c>
      <c r="P190" s="10" t="str">
        <f aca="false">H190&amp;" &gt; "&amp;I190&amp;" ("&amp;K190&amp;" units)"</f>
        <v>Office Supplies &gt; Paper (3 units)</v>
      </c>
      <c r="Q190" s="10" t="str">
        <f aca="false">VLOOKUP(G190,Region_Manager_Table,2,FALSE())</f>
        <v>Aditya Rao</v>
      </c>
      <c r="R190" s="10" t="n">
        <f aca="false">INDEX(SLA_Days_Col,MATCH(A190,ShipMode_Col,0))</f>
        <v>6</v>
      </c>
    </row>
    <row r="191" customFormat="false" ht="15" hidden="false" customHeight="false" outlineLevel="0" collapsed="false">
      <c r="A191" s="16" t="s">
        <v>98</v>
      </c>
      <c r="B191" s="16" t="s">
        <v>80</v>
      </c>
      <c r="C191" s="16" t="s">
        <v>51</v>
      </c>
      <c r="D191" s="16" t="s">
        <v>111</v>
      </c>
      <c r="E191" s="16" t="s">
        <v>112</v>
      </c>
      <c r="F191" s="16" t="n">
        <v>10035</v>
      </c>
      <c r="G191" s="16" t="s">
        <v>93</v>
      </c>
      <c r="H191" s="16" t="s">
        <v>55</v>
      </c>
      <c r="I191" s="16" t="s">
        <v>56</v>
      </c>
      <c r="J191" s="17" t="n">
        <v>899.136</v>
      </c>
      <c r="K191" s="16" t="n">
        <v>4</v>
      </c>
      <c r="L191" s="18" t="n">
        <v>0.2</v>
      </c>
      <c r="M191" s="19" t="n">
        <v>112.392</v>
      </c>
      <c r="N191" s="16" t="str">
        <f aca="false">IF(M191&lt;0,"Loss",IF(M191&lt;50,"Low Profit",IF(M191&lt;200,"Medium Profit","High Profit")))</f>
        <v>Medium Profit</v>
      </c>
      <c r="O191" s="16" t="str">
        <f aca="false">IF(J191&gt;=500,"High Value","Standard")</f>
        <v>High Value</v>
      </c>
      <c r="P191" s="16" t="str">
        <f aca="false">H191&amp;" &gt; "&amp;I191&amp;" ("&amp;K191&amp;" units)"</f>
        <v>Furniture &gt; Bookcases (4 units)</v>
      </c>
      <c r="Q191" s="16" t="str">
        <f aca="false">VLOOKUP(G191,Region_Manager_Table,2,FALSE())</f>
        <v>Priya Menon</v>
      </c>
      <c r="R191" s="16" t="n">
        <f aca="false">INDEX(SLA_Days_Col,MATCH(A191,ShipMode_Col,0))</f>
        <v>2</v>
      </c>
    </row>
    <row r="192" customFormat="false" ht="15" hidden="false" customHeight="false" outlineLevel="0" collapsed="false">
      <c r="A192" s="10" t="s">
        <v>98</v>
      </c>
      <c r="B192" s="10" t="s">
        <v>80</v>
      </c>
      <c r="C192" s="10" t="s">
        <v>51</v>
      </c>
      <c r="D192" s="10" t="s">
        <v>111</v>
      </c>
      <c r="E192" s="10" t="s">
        <v>112</v>
      </c>
      <c r="F192" s="10" t="n">
        <v>10035</v>
      </c>
      <c r="G192" s="10" t="s">
        <v>93</v>
      </c>
      <c r="H192" s="10" t="s">
        <v>71</v>
      </c>
      <c r="I192" s="10" t="s">
        <v>72</v>
      </c>
      <c r="J192" s="13" t="n">
        <v>71.76</v>
      </c>
      <c r="K192" s="10" t="n">
        <v>6</v>
      </c>
      <c r="L192" s="14" t="n">
        <v>0</v>
      </c>
      <c r="M192" s="15" t="n">
        <v>20.0928</v>
      </c>
      <c r="N192" s="10" t="str">
        <f aca="false">IF(M192&lt;0,"Loss",IF(M192&lt;50,"Low Profit",IF(M192&lt;200,"Medium Profit","High Profit")))</f>
        <v>Low Profit</v>
      </c>
      <c r="O192" s="10" t="str">
        <f aca="false">IF(J192&gt;=500,"High Value","Standard")</f>
        <v>Standard</v>
      </c>
      <c r="P192" s="10" t="str">
        <f aca="false">H192&amp;" &gt; "&amp;I192&amp;" ("&amp;K192&amp;" units)"</f>
        <v>Technology &gt; Phones (6 units)</v>
      </c>
      <c r="Q192" s="10" t="str">
        <f aca="false">VLOOKUP(G192,Region_Manager_Table,2,FALSE())</f>
        <v>Priya Menon</v>
      </c>
      <c r="R192" s="10" t="n">
        <f aca="false">INDEX(SLA_Days_Col,MATCH(A192,ShipMode_Col,0))</f>
        <v>2</v>
      </c>
    </row>
    <row r="193" customFormat="false" ht="15" hidden="false" customHeight="false" outlineLevel="0" collapsed="false">
      <c r="A193" s="16" t="s">
        <v>98</v>
      </c>
      <c r="B193" s="16" t="s">
        <v>80</v>
      </c>
      <c r="C193" s="16" t="s">
        <v>51</v>
      </c>
      <c r="D193" s="16" t="s">
        <v>111</v>
      </c>
      <c r="E193" s="16" t="s">
        <v>112</v>
      </c>
      <c r="F193" s="16" t="n">
        <v>10035</v>
      </c>
      <c r="G193" s="16" t="s">
        <v>93</v>
      </c>
      <c r="H193" s="16" t="s">
        <v>62</v>
      </c>
      <c r="I193" s="16" t="s">
        <v>77</v>
      </c>
      <c r="J193" s="17" t="n">
        <v>51.84</v>
      </c>
      <c r="K193" s="16" t="n">
        <v>8</v>
      </c>
      <c r="L193" s="18" t="n">
        <v>0</v>
      </c>
      <c r="M193" s="19" t="n">
        <v>24.8832</v>
      </c>
      <c r="N193" s="16" t="str">
        <f aca="false">IF(M193&lt;0,"Loss",IF(M193&lt;50,"Low Profit",IF(M193&lt;200,"Medium Profit","High Profit")))</f>
        <v>Low Profit</v>
      </c>
      <c r="O193" s="16" t="str">
        <f aca="false">IF(J193&gt;=500,"High Value","Standard")</f>
        <v>Standard</v>
      </c>
      <c r="P193" s="16" t="str">
        <f aca="false">H193&amp;" &gt; "&amp;I193&amp;" ("&amp;K193&amp;" units)"</f>
        <v>Office Supplies &gt; Paper (8 units)</v>
      </c>
      <c r="Q193" s="16" t="str">
        <f aca="false">VLOOKUP(G193,Region_Manager_Table,2,FALSE())</f>
        <v>Priya Menon</v>
      </c>
      <c r="R193" s="16" t="n">
        <f aca="false">INDEX(SLA_Days_Col,MATCH(A193,ShipMode_Col,0))</f>
        <v>2</v>
      </c>
    </row>
    <row r="194" customFormat="false" ht="15" hidden="false" customHeight="false" outlineLevel="0" collapsed="false">
      <c r="A194" s="10" t="s">
        <v>98</v>
      </c>
      <c r="B194" s="10" t="s">
        <v>80</v>
      </c>
      <c r="C194" s="10" t="s">
        <v>51</v>
      </c>
      <c r="D194" s="10" t="s">
        <v>111</v>
      </c>
      <c r="E194" s="10" t="s">
        <v>112</v>
      </c>
      <c r="F194" s="10" t="n">
        <v>10035</v>
      </c>
      <c r="G194" s="10" t="s">
        <v>93</v>
      </c>
      <c r="H194" s="10" t="s">
        <v>55</v>
      </c>
      <c r="I194" s="10" t="s">
        <v>56</v>
      </c>
      <c r="J194" s="13" t="n">
        <v>626.352</v>
      </c>
      <c r="K194" s="10" t="n">
        <v>3</v>
      </c>
      <c r="L194" s="14" t="n">
        <v>0.2</v>
      </c>
      <c r="M194" s="15" t="n">
        <v>46.9764</v>
      </c>
      <c r="N194" s="10" t="str">
        <f aca="false">IF(M194&lt;0,"Loss",IF(M194&lt;50,"Low Profit",IF(M194&lt;200,"Medium Profit","High Profit")))</f>
        <v>Low Profit</v>
      </c>
      <c r="O194" s="10" t="str">
        <f aca="false">IF(J194&gt;=500,"High Value","Standard")</f>
        <v>High Value</v>
      </c>
      <c r="P194" s="10" t="str">
        <f aca="false">H194&amp;" &gt; "&amp;I194&amp;" ("&amp;K194&amp;" units)"</f>
        <v>Furniture &gt; Bookcases (3 units)</v>
      </c>
      <c r="Q194" s="10" t="str">
        <f aca="false">VLOOKUP(G194,Region_Manager_Table,2,FALSE())</f>
        <v>Priya Menon</v>
      </c>
      <c r="R194" s="10" t="n">
        <f aca="false">INDEX(SLA_Days_Col,MATCH(A194,ShipMode_Col,0))</f>
        <v>2</v>
      </c>
    </row>
    <row r="195" customFormat="false" ht="15" hidden="false" customHeight="false" outlineLevel="0" collapsed="false">
      <c r="A195" s="16" t="s">
        <v>98</v>
      </c>
      <c r="B195" s="16" t="s">
        <v>80</v>
      </c>
      <c r="C195" s="16" t="s">
        <v>51</v>
      </c>
      <c r="D195" s="16" t="s">
        <v>111</v>
      </c>
      <c r="E195" s="16" t="s">
        <v>112</v>
      </c>
      <c r="F195" s="16" t="n">
        <v>10035</v>
      </c>
      <c r="G195" s="16" t="s">
        <v>93</v>
      </c>
      <c r="H195" s="16" t="s">
        <v>62</v>
      </c>
      <c r="I195" s="16" t="s">
        <v>70</v>
      </c>
      <c r="J195" s="17" t="n">
        <v>19.9</v>
      </c>
      <c r="K195" s="16" t="n">
        <v>5</v>
      </c>
      <c r="L195" s="18" t="n">
        <v>0</v>
      </c>
      <c r="M195" s="19" t="n">
        <v>6.567</v>
      </c>
      <c r="N195" s="16" t="str">
        <f aca="false">IF(M195&lt;0,"Loss",IF(M195&lt;50,"Low Profit",IF(M195&lt;200,"Medium Profit","High Profit")))</f>
        <v>Low Profit</v>
      </c>
      <c r="O195" s="16" t="str">
        <f aca="false">IF(J195&gt;=500,"High Value","Standard")</f>
        <v>Standard</v>
      </c>
      <c r="P195" s="16" t="str">
        <f aca="false">H195&amp;" &gt; "&amp;I195&amp;" ("&amp;K195&amp;" units)"</f>
        <v>Office Supplies &gt; Art (5 units)</v>
      </c>
      <c r="Q195" s="16" t="str">
        <f aca="false">VLOOKUP(G195,Region_Manager_Table,2,FALSE())</f>
        <v>Priya Menon</v>
      </c>
      <c r="R195" s="16" t="n">
        <f aca="false">INDEX(SLA_Days_Col,MATCH(A195,ShipMode_Col,0))</f>
        <v>2</v>
      </c>
    </row>
    <row r="196" customFormat="false" ht="15" hidden="false" customHeight="false" outlineLevel="0" collapsed="false">
      <c r="A196" s="10" t="s">
        <v>64</v>
      </c>
      <c r="B196" s="10" t="s">
        <v>58</v>
      </c>
      <c r="C196" s="10" t="s">
        <v>51</v>
      </c>
      <c r="D196" s="10" t="s">
        <v>165</v>
      </c>
      <c r="E196" s="10" t="s">
        <v>60</v>
      </c>
      <c r="F196" s="10" t="n">
        <v>92374</v>
      </c>
      <c r="G196" s="10" t="s">
        <v>61</v>
      </c>
      <c r="H196" s="10" t="s">
        <v>62</v>
      </c>
      <c r="I196" s="10" t="s">
        <v>96</v>
      </c>
      <c r="J196" s="13" t="n">
        <v>14.28</v>
      </c>
      <c r="K196" s="10" t="n">
        <v>7</v>
      </c>
      <c r="L196" s="14" t="n">
        <v>0</v>
      </c>
      <c r="M196" s="15" t="n">
        <v>6.7116</v>
      </c>
      <c r="N196" s="10" t="str">
        <f aca="false">IF(M196&lt;0,"Loss",IF(M196&lt;50,"Low Profit",IF(M196&lt;200,"Medium Profit","High Profit")))</f>
        <v>Low Profit</v>
      </c>
      <c r="O196" s="10" t="str">
        <f aca="false">IF(J196&gt;=500,"High Value","Standard")</f>
        <v>Standard</v>
      </c>
      <c r="P196" s="10" t="str">
        <f aca="false">H196&amp;" &gt; "&amp;I196&amp;" ("&amp;K196&amp;" units)"</f>
        <v>Office Supplies &gt; Envelopes (7 units)</v>
      </c>
      <c r="Q196" s="10" t="str">
        <f aca="false">VLOOKUP(G196,Region_Manager_Table,2,FALSE())</f>
        <v>Sana Sheikh</v>
      </c>
      <c r="R196" s="10" t="n">
        <f aca="false">INDEX(SLA_Days_Col,MATCH(A196,ShipMode_Col,0))</f>
        <v>6</v>
      </c>
    </row>
    <row r="197" customFormat="false" ht="15" hidden="false" customHeight="false" outlineLevel="0" collapsed="false">
      <c r="A197" s="16" t="s">
        <v>64</v>
      </c>
      <c r="B197" s="16" t="s">
        <v>50</v>
      </c>
      <c r="C197" s="16" t="s">
        <v>51</v>
      </c>
      <c r="D197" s="16" t="s">
        <v>166</v>
      </c>
      <c r="E197" s="16" t="s">
        <v>140</v>
      </c>
      <c r="F197" s="16" t="n">
        <v>45011</v>
      </c>
      <c r="G197" s="16" t="s">
        <v>93</v>
      </c>
      <c r="H197" s="16" t="s">
        <v>62</v>
      </c>
      <c r="I197" s="16" t="s">
        <v>70</v>
      </c>
      <c r="J197" s="17" t="n">
        <v>7.408</v>
      </c>
      <c r="K197" s="16" t="n">
        <v>2</v>
      </c>
      <c r="L197" s="18" t="n">
        <v>0.2</v>
      </c>
      <c r="M197" s="19" t="n">
        <v>1.2038</v>
      </c>
      <c r="N197" s="16" t="str">
        <f aca="false">IF(M197&lt;0,"Loss",IF(M197&lt;50,"Low Profit",IF(M197&lt;200,"Medium Profit","High Profit")))</f>
        <v>Low Profit</v>
      </c>
      <c r="O197" s="16" t="str">
        <f aca="false">IF(J197&gt;=500,"High Value","Standard")</f>
        <v>Standard</v>
      </c>
      <c r="P197" s="16" t="str">
        <f aca="false">H197&amp;" &gt; "&amp;I197&amp;" ("&amp;K197&amp;" units)"</f>
        <v>Office Supplies &gt; Art (2 units)</v>
      </c>
      <c r="Q197" s="16" t="str">
        <f aca="false">VLOOKUP(G197,Region_Manager_Table,2,FALSE())</f>
        <v>Priya Menon</v>
      </c>
      <c r="R197" s="16" t="n">
        <f aca="false">INDEX(SLA_Days_Col,MATCH(A197,ShipMode_Col,0))</f>
        <v>6</v>
      </c>
    </row>
    <row r="198" customFormat="false" ht="15" hidden="false" customHeight="false" outlineLevel="0" collapsed="false">
      <c r="A198" s="10" t="s">
        <v>64</v>
      </c>
      <c r="B198" s="10" t="s">
        <v>50</v>
      </c>
      <c r="C198" s="10" t="s">
        <v>51</v>
      </c>
      <c r="D198" s="10" t="s">
        <v>166</v>
      </c>
      <c r="E198" s="10" t="s">
        <v>140</v>
      </c>
      <c r="F198" s="10" t="n">
        <v>45011</v>
      </c>
      <c r="G198" s="10" t="s">
        <v>93</v>
      </c>
      <c r="H198" s="10" t="s">
        <v>62</v>
      </c>
      <c r="I198" s="10" t="s">
        <v>70</v>
      </c>
      <c r="J198" s="13" t="n">
        <v>6.048</v>
      </c>
      <c r="K198" s="10" t="n">
        <v>3</v>
      </c>
      <c r="L198" s="14" t="n">
        <v>0.2</v>
      </c>
      <c r="M198" s="15" t="n">
        <v>1.5876</v>
      </c>
      <c r="N198" s="10" t="str">
        <f aca="false">IF(M198&lt;0,"Loss",IF(M198&lt;50,"Low Profit",IF(M198&lt;200,"Medium Profit","High Profit")))</f>
        <v>Low Profit</v>
      </c>
      <c r="O198" s="10" t="str">
        <f aca="false">IF(J198&gt;=500,"High Value","Standard")</f>
        <v>Standard</v>
      </c>
      <c r="P198" s="10" t="str">
        <f aca="false">H198&amp;" &gt; "&amp;I198&amp;" ("&amp;K198&amp;" units)"</f>
        <v>Office Supplies &gt; Art (3 units)</v>
      </c>
      <c r="Q198" s="10" t="str">
        <f aca="false">VLOOKUP(G198,Region_Manager_Table,2,FALSE())</f>
        <v>Priya Menon</v>
      </c>
      <c r="R198" s="10" t="n">
        <f aca="false">INDEX(SLA_Days_Col,MATCH(A198,ShipMode_Col,0))</f>
        <v>6</v>
      </c>
    </row>
    <row r="199" customFormat="false" ht="15" hidden="false" customHeight="false" outlineLevel="0" collapsed="false">
      <c r="A199" s="16" t="s">
        <v>64</v>
      </c>
      <c r="B199" s="16" t="s">
        <v>80</v>
      </c>
      <c r="C199" s="16" t="s">
        <v>51</v>
      </c>
      <c r="D199" s="16" t="s">
        <v>167</v>
      </c>
      <c r="E199" s="16" t="s">
        <v>168</v>
      </c>
      <c r="F199" s="16" t="n">
        <v>7090</v>
      </c>
      <c r="G199" s="16" t="s">
        <v>93</v>
      </c>
      <c r="H199" s="16" t="s">
        <v>62</v>
      </c>
      <c r="I199" s="16" t="s">
        <v>68</v>
      </c>
      <c r="J199" s="17" t="n">
        <v>46.26</v>
      </c>
      <c r="K199" s="16" t="n">
        <v>3</v>
      </c>
      <c r="L199" s="18" t="n">
        <v>0</v>
      </c>
      <c r="M199" s="19" t="n">
        <v>12.0276</v>
      </c>
      <c r="N199" s="16" t="str">
        <f aca="false">IF(M199&lt;0,"Loss",IF(M199&lt;50,"Low Profit",IF(M199&lt;200,"Medium Profit","High Profit")))</f>
        <v>Low Profit</v>
      </c>
      <c r="O199" s="16" t="str">
        <f aca="false">IF(J199&gt;=500,"High Value","Standard")</f>
        <v>Standard</v>
      </c>
      <c r="P199" s="16" t="str">
        <f aca="false">H199&amp;" &gt; "&amp;I199&amp;" ("&amp;K199&amp;" units)"</f>
        <v>Office Supplies &gt; Storage (3 units)</v>
      </c>
      <c r="Q199" s="16" t="str">
        <f aca="false">VLOOKUP(G199,Region_Manager_Table,2,FALSE())</f>
        <v>Priya Menon</v>
      </c>
      <c r="R199" s="16" t="n">
        <f aca="false">INDEX(SLA_Days_Col,MATCH(A199,ShipMode_Col,0))</f>
        <v>6</v>
      </c>
    </row>
    <row r="200" customFormat="false" ht="15" hidden="false" customHeight="false" outlineLevel="0" collapsed="false">
      <c r="A200" s="10" t="s">
        <v>64</v>
      </c>
      <c r="B200" s="10" t="s">
        <v>58</v>
      </c>
      <c r="C200" s="10" t="s">
        <v>51</v>
      </c>
      <c r="D200" s="10" t="s">
        <v>91</v>
      </c>
      <c r="E200" s="10" t="s">
        <v>92</v>
      </c>
      <c r="F200" s="10" t="n">
        <v>19120</v>
      </c>
      <c r="G200" s="10" t="s">
        <v>93</v>
      </c>
      <c r="H200" s="10" t="s">
        <v>62</v>
      </c>
      <c r="I200" s="10" t="s">
        <v>73</v>
      </c>
      <c r="J200" s="13" t="n">
        <v>2.946</v>
      </c>
      <c r="K200" s="10" t="n">
        <v>2</v>
      </c>
      <c r="L200" s="14" t="n">
        <v>0.7</v>
      </c>
      <c r="M200" s="15" t="n">
        <v>-2.2586</v>
      </c>
      <c r="N200" s="10" t="str">
        <f aca="false">IF(M200&lt;0,"Loss",IF(M200&lt;50,"Low Profit",IF(M200&lt;200,"Medium Profit","High Profit")))</f>
        <v>Loss</v>
      </c>
      <c r="O200" s="10" t="str">
        <f aca="false">IF(J200&gt;=500,"High Value","Standard")</f>
        <v>Standard</v>
      </c>
      <c r="P200" s="10" t="str">
        <f aca="false">H200&amp;" &gt; "&amp;I200&amp;" ("&amp;K200&amp;" units)"</f>
        <v>Office Supplies &gt; Binders (2 units)</v>
      </c>
      <c r="Q200" s="10" t="str">
        <f aca="false">VLOOKUP(G200,Region_Manager_Table,2,FALSE())</f>
        <v>Priya Menon</v>
      </c>
      <c r="R200" s="10" t="n">
        <f aca="false">INDEX(SLA_Days_Col,MATCH(A200,ShipMode_Col,0))</f>
        <v>6</v>
      </c>
    </row>
    <row r="201" customFormat="false" ht="15" hidden="false" customHeight="false" outlineLevel="0" collapsed="false">
      <c r="A201" s="16" t="s">
        <v>64</v>
      </c>
      <c r="B201" s="16" t="s">
        <v>58</v>
      </c>
      <c r="C201" s="16" t="s">
        <v>51</v>
      </c>
      <c r="D201" s="16" t="s">
        <v>91</v>
      </c>
      <c r="E201" s="16" t="s">
        <v>92</v>
      </c>
      <c r="F201" s="16" t="n">
        <v>19120</v>
      </c>
      <c r="G201" s="16" t="s">
        <v>93</v>
      </c>
      <c r="H201" s="16" t="s">
        <v>62</v>
      </c>
      <c r="I201" s="16" t="s">
        <v>77</v>
      </c>
      <c r="J201" s="17" t="n">
        <v>16.056</v>
      </c>
      <c r="K201" s="16" t="n">
        <v>3</v>
      </c>
      <c r="L201" s="18" t="n">
        <v>0.2</v>
      </c>
      <c r="M201" s="19" t="n">
        <v>5.8203</v>
      </c>
      <c r="N201" s="16" t="str">
        <f aca="false">IF(M201&lt;0,"Loss",IF(M201&lt;50,"Low Profit",IF(M201&lt;200,"Medium Profit","High Profit")))</f>
        <v>Low Profit</v>
      </c>
      <c r="O201" s="16" t="str">
        <f aca="false">IF(J201&gt;=500,"High Value","Standard")</f>
        <v>Standard</v>
      </c>
      <c r="P201" s="16" t="str">
        <f aca="false">H201&amp;" &gt; "&amp;I201&amp;" ("&amp;K201&amp;" units)"</f>
        <v>Office Supplies &gt; Paper (3 units)</v>
      </c>
      <c r="Q201" s="16" t="str">
        <f aca="false">VLOOKUP(G201,Region_Manager_Table,2,FALSE())</f>
        <v>Priya Menon</v>
      </c>
      <c r="R201" s="16" t="n">
        <f aca="false">INDEX(SLA_Days_Col,MATCH(A201,ShipMode_Col,0))</f>
        <v>6</v>
      </c>
    </row>
    <row r="202" customFormat="false" ht="15" hidden="false" customHeight="false" outlineLevel="0" collapsed="false">
      <c r="A202" s="10" t="s">
        <v>64</v>
      </c>
      <c r="B202" s="10" t="s">
        <v>50</v>
      </c>
      <c r="C202" s="10" t="s">
        <v>51</v>
      </c>
      <c r="D202" s="10" t="s">
        <v>169</v>
      </c>
      <c r="E202" s="10" t="s">
        <v>140</v>
      </c>
      <c r="F202" s="10" t="n">
        <v>44312</v>
      </c>
      <c r="G202" s="10" t="s">
        <v>93</v>
      </c>
      <c r="H202" s="10" t="s">
        <v>62</v>
      </c>
      <c r="I202" s="10" t="s">
        <v>77</v>
      </c>
      <c r="J202" s="13" t="n">
        <v>21.744</v>
      </c>
      <c r="K202" s="10" t="n">
        <v>3</v>
      </c>
      <c r="L202" s="14" t="n">
        <v>0.2</v>
      </c>
      <c r="M202" s="15" t="n">
        <v>6.795</v>
      </c>
      <c r="N202" s="10" t="str">
        <f aca="false">IF(M202&lt;0,"Loss",IF(M202&lt;50,"Low Profit",IF(M202&lt;200,"Medium Profit","High Profit")))</f>
        <v>Low Profit</v>
      </c>
      <c r="O202" s="10" t="str">
        <f aca="false">IF(J202&gt;=500,"High Value","Standard")</f>
        <v>Standard</v>
      </c>
      <c r="P202" s="10" t="str">
        <f aca="false">H202&amp;" &gt; "&amp;I202&amp;" ("&amp;K202&amp;" units)"</f>
        <v>Office Supplies &gt; Paper (3 units)</v>
      </c>
      <c r="Q202" s="10" t="str">
        <f aca="false">VLOOKUP(G202,Region_Manager_Table,2,FALSE())</f>
        <v>Priya Menon</v>
      </c>
      <c r="R202" s="10" t="n">
        <f aca="false">INDEX(SLA_Days_Col,MATCH(A202,ShipMode_Col,0))</f>
        <v>6</v>
      </c>
    </row>
    <row r="203" customFormat="false" ht="15" hidden="false" customHeight="false" outlineLevel="0" collapsed="false">
      <c r="A203" s="16" t="s">
        <v>98</v>
      </c>
      <c r="B203" s="16" t="s">
        <v>50</v>
      </c>
      <c r="C203" s="16" t="s">
        <v>51</v>
      </c>
      <c r="D203" s="16" t="s">
        <v>170</v>
      </c>
      <c r="E203" s="16" t="s">
        <v>134</v>
      </c>
      <c r="F203" s="16" t="n">
        <v>80219</v>
      </c>
      <c r="G203" s="16" t="s">
        <v>61</v>
      </c>
      <c r="H203" s="16" t="s">
        <v>55</v>
      </c>
      <c r="I203" s="16" t="s">
        <v>67</v>
      </c>
      <c r="J203" s="17" t="n">
        <v>218.75</v>
      </c>
      <c r="K203" s="16" t="n">
        <v>2</v>
      </c>
      <c r="L203" s="18" t="n">
        <v>0.5</v>
      </c>
      <c r="M203" s="19" t="n">
        <v>-161.875</v>
      </c>
      <c r="N203" s="16" t="str">
        <f aca="false">IF(M203&lt;0,"Loss",IF(M203&lt;50,"Low Profit",IF(M203&lt;200,"Medium Profit","High Profit")))</f>
        <v>Loss</v>
      </c>
      <c r="O203" s="16" t="str">
        <f aca="false">IF(J203&gt;=500,"High Value","Standard")</f>
        <v>Standard</v>
      </c>
      <c r="P203" s="16" t="str">
        <f aca="false">H203&amp;" &gt; "&amp;I203&amp;" ("&amp;K203&amp;" units)"</f>
        <v>Furniture &gt; Tables (2 units)</v>
      </c>
      <c r="Q203" s="16" t="str">
        <f aca="false">VLOOKUP(G203,Region_Manager_Table,2,FALSE())</f>
        <v>Sana Sheikh</v>
      </c>
      <c r="R203" s="16" t="n">
        <f aca="false">INDEX(SLA_Days_Col,MATCH(A203,ShipMode_Col,0))</f>
        <v>2</v>
      </c>
    </row>
    <row r="204" customFormat="false" ht="15" hidden="false" customHeight="false" outlineLevel="0" collapsed="false">
      <c r="A204" s="10" t="s">
        <v>98</v>
      </c>
      <c r="B204" s="10" t="s">
        <v>50</v>
      </c>
      <c r="C204" s="10" t="s">
        <v>51</v>
      </c>
      <c r="D204" s="10" t="s">
        <v>170</v>
      </c>
      <c r="E204" s="10" t="s">
        <v>134</v>
      </c>
      <c r="F204" s="10" t="n">
        <v>80219</v>
      </c>
      <c r="G204" s="10" t="s">
        <v>61</v>
      </c>
      <c r="H204" s="10" t="s">
        <v>62</v>
      </c>
      <c r="I204" s="10" t="s">
        <v>74</v>
      </c>
      <c r="J204" s="13" t="n">
        <v>2.6</v>
      </c>
      <c r="K204" s="10" t="n">
        <v>1</v>
      </c>
      <c r="L204" s="14" t="n">
        <v>0.2</v>
      </c>
      <c r="M204" s="15" t="n">
        <v>0.2925</v>
      </c>
      <c r="N204" s="10" t="str">
        <f aca="false">IF(M204&lt;0,"Loss",IF(M204&lt;50,"Low Profit",IF(M204&lt;200,"Medium Profit","High Profit")))</f>
        <v>Low Profit</v>
      </c>
      <c r="O204" s="10" t="str">
        <f aca="false">IF(J204&gt;=500,"High Value","Standard")</f>
        <v>Standard</v>
      </c>
      <c r="P204" s="10" t="str">
        <f aca="false">H204&amp;" &gt; "&amp;I204&amp;" ("&amp;K204&amp;" units)"</f>
        <v>Office Supplies &gt; Appliances (1 units)</v>
      </c>
      <c r="Q204" s="10" t="str">
        <f aca="false">VLOOKUP(G204,Region_Manager_Table,2,FALSE())</f>
        <v>Sana Sheikh</v>
      </c>
      <c r="R204" s="10" t="n">
        <f aca="false">INDEX(SLA_Days_Col,MATCH(A204,ShipMode_Col,0))</f>
        <v>2</v>
      </c>
    </row>
    <row r="205" customFormat="false" ht="15" hidden="false" customHeight="false" outlineLevel="0" collapsed="false">
      <c r="A205" s="16" t="s">
        <v>49</v>
      </c>
      <c r="B205" s="16" t="s">
        <v>50</v>
      </c>
      <c r="C205" s="16" t="s">
        <v>51</v>
      </c>
      <c r="D205" s="16" t="s">
        <v>171</v>
      </c>
      <c r="E205" s="16" t="s">
        <v>82</v>
      </c>
      <c r="F205" s="16" t="n">
        <v>75220</v>
      </c>
      <c r="G205" s="16" t="s">
        <v>83</v>
      </c>
      <c r="H205" s="16" t="s">
        <v>62</v>
      </c>
      <c r="I205" s="16" t="s">
        <v>74</v>
      </c>
      <c r="J205" s="17" t="n">
        <v>66.284</v>
      </c>
      <c r="K205" s="16" t="n">
        <v>2</v>
      </c>
      <c r="L205" s="18" t="n">
        <v>0.8</v>
      </c>
      <c r="M205" s="19" t="n">
        <v>-178.9668</v>
      </c>
      <c r="N205" s="16" t="str">
        <f aca="false">IF(M205&lt;0,"Loss",IF(M205&lt;50,"Low Profit",IF(M205&lt;200,"Medium Profit","High Profit")))</f>
        <v>Loss</v>
      </c>
      <c r="O205" s="16" t="str">
        <f aca="false">IF(J205&gt;=500,"High Value","Standard")</f>
        <v>Standard</v>
      </c>
      <c r="P205" s="16" t="str">
        <f aca="false">H205&amp;" &gt; "&amp;I205&amp;" ("&amp;K205&amp;" units)"</f>
        <v>Office Supplies &gt; Appliances (2 units)</v>
      </c>
      <c r="Q205" s="16" t="str">
        <f aca="false">VLOOKUP(G205,Region_Manager_Table,2,FALSE())</f>
        <v>Aditya Rao</v>
      </c>
      <c r="R205" s="16" t="n">
        <f aca="false">INDEX(SLA_Days_Col,MATCH(A205,ShipMode_Col,0))</f>
        <v>4</v>
      </c>
    </row>
    <row r="206" customFormat="false" ht="15" hidden="false" customHeight="false" outlineLevel="0" collapsed="false">
      <c r="A206" s="10" t="s">
        <v>64</v>
      </c>
      <c r="B206" s="10" t="s">
        <v>58</v>
      </c>
      <c r="C206" s="10" t="s">
        <v>51</v>
      </c>
      <c r="D206" s="10" t="s">
        <v>151</v>
      </c>
      <c r="E206" s="10" t="s">
        <v>122</v>
      </c>
      <c r="F206" s="10" t="n">
        <v>37064</v>
      </c>
      <c r="G206" s="10" t="s">
        <v>54</v>
      </c>
      <c r="H206" s="10" t="s">
        <v>55</v>
      </c>
      <c r="I206" s="10" t="s">
        <v>69</v>
      </c>
      <c r="J206" s="13" t="n">
        <v>35.168</v>
      </c>
      <c r="K206" s="10" t="n">
        <v>7</v>
      </c>
      <c r="L206" s="14" t="n">
        <v>0.2</v>
      </c>
      <c r="M206" s="15" t="n">
        <v>9.6712</v>
      </c>
      <c r="N206" s="10" t="str">
        <f aca="false">IF(M206&lt;0,"Loss",IF(M206&lt;50,"Low Profit",IF(M206&lt;200,"Medium Profit","High Profit")))</f>
        <v>Low Profit</v>
      </c>
      <c r="O206" s="10" t="str">
        <f aca="false">IF(J206&gt;=500,"High Value","Standard")</f>
        <v>Standard</v>
      </c>
      <c r="P206" s="10" t="str">
        <f aca="false">H206&amp;" &gt; "&amp;I206&amp;" ("&amp;K206&amp;" units)"</f>
        <v>Furniture &gt; Furnishings (7 units)</v>
      </c>
      <c r="Q206" s="10" t="str">
        <f aca="false">VLOOKUP(G206,Region_Manager_Table,2,FALSE())</f>
        <v>Karthik Iyer</v>
      </c>
      <c r="R206" s="10" t="n">
        <f aca="false">INDEX(SLA_Days_Col,MATCH(A206,ShipMode_Col,0))</f>
        <v>6</v>
      </c>
    </row>
    <row r="207" customFormat="false" ht="15" hidden="false" customHeight="false" outlineLevel="0" collapsed="false">
      <c r="A207" s="16" t="s">
        <v>64</v>
      </c>
      <c r="B207" s="16" t="s">
        <v>50</v>
      </c>
      <c r="C207" s="16" t="s">
        <v>51</v>
      </c>
      <c r="D207" s="16" t="s">
        <v>172</v>
      </c>
      <c r="E207" s="16" t="s">
        <v>60</v>
      </c>
      <c r="F207" s="16" t="n">
        <v>90604</v>
      </c>
      <c r="G207" s="16" t="s">
        <v>61</v>
      </c>
      <c r="H207" s="16" t="s">
        <v>71</v>
      </c>
      <c r="I207" s="16" t="s">
        <v>72</v>
      </c>
      <c r="J207" s="17" t="n">
        <v>444.768</v>
      </c>
      <c r="K207" s="16" t="n">
        <v>4</v>
      </c>
      <c r="L207" s="18" t="n">
        <v>0.2</v>
      </c>
      <c r="M207" s="19" t="n">
        <v>44.4768</v>
      </c>
      <c r="N207" s="16" t="str">
        <f aca="false">IF(M207&lt;0,"Loss",IF(M207&lt;50,"Low Profit",IF(M207&lt;200,"Medium Profit","High Profit")))</f>
        <v>Low Profit</v>
      </c>
      <c r="O207" s="16" t="str">
        <f aca="false">IF(J207&gt;=500,"High Value","Standard")</f>
        <v>Standard</v>
      </c>
      <c r="P207" s="16" t="str">
        <f aca="false">H207&amp;" &gt; "&amp;I207&amp;" ("&amp;K207&amp;" units)"</f>
        <v>Technology &gt; Phones (4 units)</v>
      </c>
      <c r="Q207" s="16" t="str">
        <f aca="false">VLOOKUP(G207,Region_Manager_Table,2,FALSE())</f>
        <v>Sana Sheikh</v>
      </c>
      <c r="R207" s="16" t="n">
        <f aca="false">INDEX(SLA_Days_Col,MATCH(A207,ShipMode_Col,0))</f>
        <v>6</v>
      </c>
    </row>
    <row r="208" customFormat="false" ht="15" hidden="false" customHeight="false" outlineLevel="0" collapsed="false">
      <c r="A208" s="10" t="s">
        <v>64</v>
      </c>
      <c r="B208" s="10" t="s">
        <v>50</v>
      </c>
      <c r="C208" s="10" t="s">
        <v>51</v>
      </c>
      <c r="D208" s="10" t="s">
        <v>173</v>
      </c>
      <c r="E208" s="10" t="s">
        <v>106</v>
      </c>
      <c r="F208" s="10" t="n">
        <v>48601</v>
      </c>
      <c r="G208" s="10" t="s">
        <v>83</v>
      </c>
      <c r="H208" s="10" t="s">
        <v>62</v>
      </c>
      <c r="I208" s="10" t="s">
        <v>68</v>
      </c>
      <c r="J208" s="13" t="n">
        <v>83.92</v>
      </c>
      <c r="K208" s="10" t="n">
        <v>4</v>
      </c>
      <c r="L208" s="14" t="n">
        <v>0</v>
      </c>
      <c r="M208" s="15" t="n">
        <v>5.8744</v>
      </c>
      <c r="N208" s="10" t="str">
        <f aca="false">IF(M208&lt;0,"Loss",IF(M208&lt;50,"Low Profit",IF(M208&lt;200,"Medium Profit","High Profit")))</f>
        <v>Low Profit</v>
      </c>
      <c r="O208" s="10" t="str">
        <f aca="false">IF(J208&gt;=500,"High Value","Standard")</f>
        <v>Standard</v>
      </c>
      <c r="P208" s="10" t="str">
        <f aca="false">H208&amp;" &gt; "&amp;I208&amp;" ("&amp;K208&amp;" units)"</f>
        <v>Office Supplies &gt; Storage (4 units)</v>
      </c>
      <c r="Q208" s="10" t="str">
        <f aca="false">VLOOKUP(G208,Region_Manager_Table,2,FALSE())</f>
        <v>Aditya Rao</v>
      </c>
      <c r="R208" s="10" t="n">
        <f aca="false">INDEX(SLA_Days_Col,MATCH(A208,ShipMode_Col,0))</f>
        <v>6</v>
      </c>
    </row>
    <row r="209" customFormat="false" ht="15" hidden="false" customHeight="false" outlineLevel="0" collapsed="false">
      <c r="A209" s="16" t="s">
        <v>64</v>
      </c>
      <c r="B209" s="16" t="s">
        <v>50</v>
      </c>
      <c r="C209" s="16" t="s">
        <v>51</v>
      </c>
      <c r="D209" s="16" t="s">
        <v>173</v>
      </c>
      <c r="E209" s="16" t="s">
        <v>106</v>
      </c>
      <c r="F209" s="16" t="n">
        <v>48601</v>
      </c>
      <c r="G209" s="16" t="s">
        <v>83</v>
      </c>
      <c r="H209" s="16" t="s">
        <v>71</v>
      </c>
      <c r="I209" s="16" t="s">
        <v>72</v>
      </c>
      <c r="J209" s="17" t="n">
        <v>131.98</v>
      </c>
      <c r="K209" s="16" t="n">
        <v>2</v>
      </c>
      <c r="L209" s="18" t="n">
        <v>0</v>
      </c>
      <c r="M209" s="19" t="n">
        <v>35.6346</v>
      </c>
      <c r="N209" s="16" t="str">
        <f aca="false">IF(M209&lt;0,"Loss",IF(M209&lt;50,"Low Profit",IF(M209&lt;200,"Medium Profit","High Profit")))</f>
        <v>Low Profit</v>
      </c>
      <c r="O209" s="16" t="str">
        <f aca="false">IF(J209&gt;=500,"High Value","Standard")</f>
        <v>Standard</v>
      </c>
      <c r="P209" s="16" t="str">
        <f aca="false">H209&amp;" &gt; "&amp;I209&amp;" ("&amp;K209&amp;" units)"</f>
        <v>Technology &gt; Phones (2 units)</v>
      </c>
      <c r="Q209" s="16" t="str">
        <f aca="false">VLOOKUP(G209,Region_Manager_Table,2,FALSE())</f>
        <v>Aditya Rao</v>
      </c>
      <c r="R209" s="16" t="n">
        <f aca="false">INDEX(SLA_Days_Col,MATCH(A209,ShipMode_Col,0))</f>
        <v>6</v>
      </c>
    </row>
    <row r="210" customFormat="false" ht="15" hidden="false" customHeight="false" outlineLevel="0" collapsed="false">
      <c r="A210" s="10" t="s">
        <v>64</v>
      </c>
      <c r="B210" s="10" t="s">
        <v>50</v>
      </c>
      <c r="C210" s="10" t="s">
        <v>51</v>
      </c>
      <c r="D210" s="10" t="s">
        <v>173</v>
      </c>
      <c r="E210" s="10" t="s">
        <v>106</v>
      </c>
      <c r="F210" s="10" t="n">
        <v>48601</v>
      </c>
      <c r="G210" s="10" t="s">
        <v>83</v>
      </c>
      <c r="H210" s="10" t="s">
        <v>62</v>
      </c>
      <c r="I210" s="10" t="s">
        <v>73</v>
      </c>
      <c r="J210" s="13" t="n">
        <v>15.92</v>
      </c>
      <c r="K210" s="10" t="n">
        <v>4</v>
      </c>
      <c r="L210" s="14" t="n">
        <v>0</v>
      </c>
      <c r="M210" s="15" t="n">
        <v>7.4824</v>
      </c>
      <c r="N210" s="10" t="str">
        <f aca="false">IF(M210&lt;0,"Loss",IF(M210&lt;50,"Low Profit",IF(M210&lt;200,"Medium Profit","High Profit")))</f>
        <v>Low Profit</v>
      </c>
      <c r="O210" s="10" t="str">
        <f aca="false">IF(J210&gt;=500,"High Value","Standard")</f>
        <v>Standard</v>
      </c>
      <c r="P210" s="10" t="str">
        <f aca="false">H210&amp;" &gt; "&amp;I210&amp;" ("&amp;K210&amp;" units)"</f>
        <v>Office Supplies &gt; Binders (4 units)</v>
      </c>
      <c r="Q210" s="10" t="str">
        <f aca="false">VLOOKUP(G210,Region_Manager_Table,2,FALSE())</f>
        <v>Aditya Rao</v>
      </c>
      <c r="R210" s="10" t="n">
        <f aca="false">INDEX(SLA_Days_Col,MATCH(A210,ShipMode_Col,0))</f>
        <v>6</v>
      </c>
    </row>
    <row r="211" customFormat="false" ht="15" hidden="false" customHeight="false" outlineLevel="0" collapsed="false">
      <c r="A211" s="16" t="s">
        <v>64</v>
      </c>
      <c r="B211" s="16" t="s">
        <v>50</v>
      </c>
      <c r="C211" s="16" t="s">
        <v>51</v>
      </c>
      <c r="D211" s="16" t="s">
        <v>173</v>
      </c>
      <c r="E211" s="16" t="s">
        <v>106</v>
      </c>
      <c r="F211" s="16" t="n">
        <v>48601</v>
      </c>
      <c r="G211" s="16" t="s">
        <v>83</v>
      </c>
      <c r="H211" s="16" t="s">
        <v>62</v>
      </c>
      <c r="I211" s="16" t="s">
        <v>113</v>
      </c>
      <c r="J211" s="17" t="n">
        <v>52.29</v>
      </c>
      <c r="K211" s="16" t="n">
        <v>9</v>
      </c>
      <c r="L211" s="18" t="n">
        <v>0</v>
      </c>
      <c r="M211" s="19" t="n">
        <v>16.2099</v>
      </c>
      <c r="N211" s="16" t="str">
        <f aca="false">IF(M211&lt;0,"Loss",IF(M211&lt;50,"Low Profit",IF(M211&lt;200,"Medium Profit","High Profit")))</f>
        <v>Low Profit</v>
      </c>
      <c r="O211" s="16" t="str">
        <f aca="false">IF(J211&gt;=500,"High Value","Standard")</f>
        <v>Standard</v>
      </c>
      <c r="P211" s="16" t="str">
        <f aca="false">H211&amp;" &gt; "&amp;I211&amp;" ("&amp;K211&amp;" units)"</f>
        <v>Office Supplies &gt; Fasteners (9 units)</v>
      </c>
      <c r="Q211" s="16" t="str">
        <f aca="false">VLOOKUP(G211,Region_Manager_Table,2,FALSE())</f>
        <v>Aditya Rao</v>
      </c>
      <c r="R211" s="16" t="n">
        <f aca="false">INDEX(SLA_Days_Col,MATCH(A211,ShipMode_Col,0))</f>
        <v>6</v>
      </c>
    </row>
    <row r="212" customFormat="false" ht="15" hidden="false" customHeight="false" outlineLevel="0" collapsed="false">
      <c r="A212" s="10" t="s">
        <v>64</v>
      </c>
      <c r="B212" s="10" t="s">
        <v>50</v>
      </c>
      <c r="C212" s="10" t="s">
        <v>51</v>
      </c>
      <c r="D212" s="10" t="s">
        <v>173</v>
      </c>
      <c r="E212" s="10" t="s">
        <v>106</v>
      </c>
      <c r="F212" s="10" t="n">
        <v>48601</v>
      </c>
      <c r="G212" s="10" t="s">
        <v>83</v>
      </c>
      <c r="H212" s="10" t="s">
        <v>62</v>
      </c>
      <c r="I212" s="10" t="s">
        <v>68</v>
      </c>
      <c r="J212" s="13" t="n">
        <v>91.99</v>
      </c>
      <c r="K212" s="10" t="n">
        <v>1</v>
      </c>
      <c r="L212" s="14" t="n">
        <v>0</v>
      </c>
      <c r="M212" s="15" t="n">
        <v>3.6796</v>
      </c>
      <c r="N212" s="10" t="str">
        <f aca="false">IF(M212&lt;0,"Loss",IF(M212&lt;50,"Low Profit",IF(M212&lt;200,"Medium Profit","High Profit")))</f>
        <v>Low Profit</v>
      </c>
      <c r="O212" s="10" t="str">
        <f aca="false">IF(J212&gt;=500,"High Value","Standard")</f>
        <v>Standard</v>
      </c>
      <c r="P212" s="10" t="str">
        <f aca="false">H212&amp;" &gt; "&amp;I212&amp;" ("&amp;K212&amp;" units)"</f>
        <v>Office Supplies &gt; Storage (1 units)</v>
      </c>
      <c r="Q212" s="10" t="str">
        <f aca="false">VLOOKUP(G212,Region_Manager_Table,2,FALSE())</f>
        <v>Aditya Rao</v>
      </c>
      <c r="R212" s="10" t="n">
        <f aca="false">INDEX(SLA_Days_Col,MATCH(A212,ShipMode_Col,0))</f>
        <v>6</v>
      </c>
    </row>
    <row r="213" customFormat="false" ht="15" hidden="false" customHeight="false" outlineLevel="0" collapsed="false">
      <c r="A213" s="16" t="s">
        <v>49</v>
      </c>
      <c r="B213" s="16" t="s">
        <v>58</v>
      </c>
      <c r="C213" s="16" t="s">
        <v>51</v>
      </c>
      <c r="D213" s="16" t="s">
        <v>171</v>
      </c>
      <c r="E213" s="16" t="s">
        <v>82</v>
      </c>
      <c r="F213" s="16" t="n">
        <v>75220</v>
      </c>
      <c r="G213" s="16" t="s">
        <v>83</v>
      </c>
      <c r="H213" s="16" t="s">
        <v>71</v>
      </c>
      <c r="I213" s="16" t="s">
        <v>95</v>
      </c>
      <c r="J213" s="17" t="n">
        <v>20.8</v>
      </c>
      <c r="K213" s="16" t="n">
        <v>2</v>
      </c>
      <c r="L213" s="18" t="n">
        <v>0.2</v>
      </c>
      <c r="M213" s="19" t="n">
        <v>6.5</v>
      </c>
      <c r="N213" s="16" t="str">
        <f aca="false">IF(M213&lt;0,"Loss",IF(M213&lt;50,"Low Profit",IF(M213&lt;200,"Medium Profit","High Profit")))</f>
        <v>Low Profit</v>
      </c>
      <c r="O213" s="16" t="str">
        <f aca="false">IF(J213&gt;=500,"High Value","Standard")</f>
        <v>Standard</v>
      </c>
      <c r="P213" s="16" t="str">
        <f aca="false">H213&amp;" &gt; "&amp;I213&amp;" ("&amp;K213&amp;" units)"</f>
        <v>Technology &gt; Accessories (2 units)</v>
      </c>
      <c r="Q213" s="16" t="str">
        <f aca="false">VLOOKUP(G213,Region_Manager_Table,2,FALSE())</f>
        <v>Aditya Rao</v>
      </c>
      <c r="R213" s="16" t="n">
        <f aca="false">INDEX(SLA_Days_Col,MATCH(A213,ShipMode_Col,0))</f>
        <v>4</v>
      </c>
    </row>
    <row r="214" customFormat="false" ht="15" hidden="false" customHeight="false" outlineLevel="0" collapsed="false">
      <c r="A214" s="10" t="s">
        <v>64</v>
      </c>
      <c r="B214" s="10" t="s">
        <v>58</v>
      </c>
      <c r="C214" s="10" t="s">
        <v>51</v>
      </c>
      <c r="D214" s="10" t="s">
        <v>174</v>
      </c>
      <c r="E214" s="10" t="s">
        <v>140</v>
      </c>
      <c r="F214" s="10" t="n">
        <v>44256</v>
      </c>
      <c r="G214" s="10" t="s">
        <v>93</v>
      </c>
      <c r="H214" s="10" t="s">
        <v>62</v>
      </c>
      <c r="I214" s="10" t="s">
        <v>63</v>
      </c>
      <c r="J214" s="13" t="n">
        <v>23.68</v>
      </c>
      <c r="K214" s="10" t="n">
        <v>2</v>
      </c>
      <c r="L214" s="14" t="n">
        <v>0.2</v>
      </c>
      <c r="M214" s="15" t="n">
        <v>8.88</v>
      </c>
      <c r="N214" s="10" t="str">
        <f aca="false">IF(M214&lt;0,"Loss",IF(M214&lt;50,"Low Profit",IF(M214&lt;200,"Medium Profit","High Profit")))</f>
        <v>Low Profit</v>
      </c>
      <c r="O214" s="10" t="str">
        <f aca="false">IF(J214&gt;=500,"High Value","Standard")</f>
        <v>Standard</v>
      </c>
      <c r="P214" s="10" t="str">
        <f aca="false">H214&amp;" &gt; "&amp;I214&amp;" ("&amp;K214&amp;" units)"</f>
        <v>Office Supplies &gt; Labels (2 units)</v>
      </c>
      <c r="Q214" s="10" t="str">
        <f aca="false">VLOOKUP(G214,Region_Manager_Table,2,FALSE())</f>
        <v>Priya Menon</v>
      </c>
      <c r="R214" s="10" t="n">
        <f aca="false">INDEX(SLA_Days_Col,MATCH(A214,ShipMode_Col,0))</f>
        <v>6</v>
      </c>
    </row>
    <row r="215" customFormat="false" ht="15" hidden="false" customHeight="false" outlineLevel="0" collapsed="false">
      <c r="A215" s="16" t="s">
        <v>64</v>
      </c>
      <c r="B215" s="16" t="s">
        <v>58</v>
      </c>
      <c r="C215" s="16" t="s">
        <v>51</v>
      </c>
      <c r="D215" s="16" t="s">
        <v>174</v>
      </c>
      <c r="E215" s="16" t="s">
        <v>140</v>
      </c>
      <c r="F215" s="16" t="n">
        <v>44256</v>
      </c>
      <c r="G215" s="16" t="s">
        <v>93</v>
      </c>
      <c r="H215" s="16" t="s">
        <v>55</v>
      </c>
      <c r="I215" s="16" t="s">
        <v>56</v>
      </c>
      <c r="J215" s="17" t="n">
        <v>452.45</v>
      </c>
      <c r="K215" s="16" t="n">
        <v>5</v>
      </c>
      <c r="L215" s="18" t="n">
        <v>0.5</v>
      </c>
      <c r="M215" s="19" t="n">
        <v>-244.323</v>
      </c>
      <c r="N215" s="16" t="str">
        <f aca="false">IF(M215&lt;0,"Loss",IF(M215&lt;50,"Low Profit",IF(M215&lt;200,"Medium Profit","High Profit")))</f>
        <v>Loss</v>
      </c>
      <c r="O215" s="16" t="str">
        <f aca="false">IF(J215&gt;=500,"High Value","Standard")</f>
        <v>Standard</v>
      </c>
      <c r="P215" s="16" t="str">
        <f aca="false">H215&amp;" &gt; "&amp;I215&amp;" ("&amp;K215&amp;" units)"</f>
        <v>Furniture &gt; Bookcases (5 units)</v>
      </c>
      <c r="Q215" s="16" t="str">
        <f aca="false">VLOOKUP(G215,Region_Manager_Table,2,FALSE())</f>
        <v>Priya Menon</v>
      </c>
      <c r="R215" s="16" t="n">
        <f aca="false">INDEX(SLA_Days_Col,MATCH(A215,ShipMode_Col,0))</f>
        <v>6</v>
      </c>
    </row>
    <row r="216" customFormat="false" ht="15" hidden="false" customHeight="false" outlineLevel="0" collapsed="false">
      <c r="A216" s="10" t="s">
        <v>64</v>
      </c>
      <c r="B216" s="10" t="s">
        <v>58</v>
      </c>
      <c r="C216" s="10" t="s">
        <v>51</v>
      </c>
      <c r="D216" s="10" t="s">
        <v>174</v>
      </c>
      <c r="E216" s="10" t="s">
        <v>140</v>
      </c>
      <c r="F216" s="10" t="n">
        <v>44256</v>
      </c>
      <c r="G216" s="10" t="s">
        <v>93</v>
      </c>
      <c r="H216" s="10" t="s">
        <v>71</v>
      </c>
      <c r="I216" s="10" t="s">
        <v>72</v>
      </c>
      <c r="J216" s="13" t="n">
        <v>62.982</v>
      </c>
      <c r="K216" s="10" t="n">
        <v>3</v>
      </c>
      <c r="L216" s="14" t="n">
        <v>0.4</v>
      </c>
      <c r="M216" s="15" t="n">
        <v>-14.6958</v>
      </c>
      <c r="N216" s="10" t="str">
        <f aca="false">IF(M216&lt;0,"Loss",IF(M216&lt;50,"Low Profit",IF(M216&lt;200,"Medium Profit","High Profit")))</f>
        <v>Loss</v>
      </c>
      <c r="O216" s="10" t="str">
        <f aca="false">IF(J216&gt;=500,"High Value","Standard")</f>
        <v>Standard</v>
      </c>
      <c r="P216" s="10" t="str">
        <f aca="false">H216&amp;" &gt; "&amp;I216&amp;" ("&amp;K216&amp;" units)"</f>
        <v>Technology &gt; Phones (3 units)</v>
      </c>
      <c r="Q216" s="10" t="str">
        <f aca="false">VLOOKUP(G216,Region_Manager_Table,2,FALSE())</f>
        <v>Priya Menon</v>
      </c>
      <c r="R216" s="10" t="n">
        <f aca="false">INDEX(SLA_Days_Col,MATCH(A216,ShipMode_Col,0))</f>
        <v>6</v>
      </c>
    </row>
    <row r="217" customFormat="false" ht="15" hidden="false" customHeight="false" outlineLevel="0" collapsed="false">
      <c r="A217" s="16" t="s">
        <v>64</v>
      </c>
      <c r="B217" s="16" t="s">
        <v>58</v>
      </c>
      <c r="C217" s="16" t="s">
        <v>51</v>
      </c>
      <c r="D217" s="16" t="s">
        <v>174</v>
      </c>
      <c r="E217" s="16" t="s">
        <v>140</v>
      </c>
      <c r="F217" s="16" t="n">
        <v>44256</v>
      </c>
      <c r="G217" s="16" t="s">
        <v>93</v>
      </c>
      <c r="H217" s="16" t="s">
        <v>71</v>
      </c>
      <c r="I217" s="16" t="s">
        <v>159</v>
      </c>
      <c r="J217" s="17" t="n">
        <v>1188</v>
      </c>
      <c r="K217" s="16" t="n">
        <v>9</v>
      </c>
      <c r="L217" s="18" t="n">
        <v>0.7</v>
      </c>
      <c r="M217" s="19" t="n">
        <v>-950.4</v>
      </c>
      <c r="N217" s="16" t="str">
        <f aca="false">IF(M217&lt;0,"Loss",IF(M217&lt;50,"Low Profit",IF(M217&lt;200,"Medium Profit","High Profit")))</f>
        <v>Loss</v>
      </c>
      <c r="O217" s="16" t="str">
        <f aca="false">IF(J217&gt;=500,"High Value","Standard")</f>
        <v>High Value</v>
      </c>
      <c r="P217" s="16" t="str">
        <f aca="false">H217&amp;" &gt; "&amp;I217&amp;" ("&amp;K217&amp;" units)"</f>
        <v>Technology &gt; Machines (9 units)</v>
      </c>
      <c r="Q217" s="16" t="str">
        <f aca="false">VLOOKUP(G217,Region_Manager_Table,2,FALSE())</f>
        <v>Priya Menon</v>
      </c>
      <c r="R217" s="16" t="n">
        <f aca="false">INDEX(SLA_Days_Col,MATCH(A217,ShipMode_Col,0))</f>
        <v>6</v>
      </c>
    </row>
    <row r="218" customFormat="false" ht="15" hidden="false" customHeight="false" outlineLevel="0" collapsed="false">
      <c r="A218" s="10" t="s">
        <v>64</v>
      </c>
      <c r="B218" s="10" t="s">
        <v>58</v>
      </c>
      <c r="C218" s="10" t="s">
        <v>51</v>
      </c>
      <c r="D218" s="10" t="s">
        <v>174</v>
      </c>
      <c r="E218" s="10" t="s">
        <v>140</v>
      </c>
      <c r="F218" s="10" t="n">
        <v>44256</v>
      </c>
      <c r="G218" s="10" t="s">
        <v>93</v>
      </c>
      <c r="H218" s="10" t="s">
        <v>71</v>
      </c>
      <c r="I218" s="10" t="s">
        <v>95</v>
      </c>
      <c r="J218" s="13" t="n">
        <v>89.584</v>
      </c>
      <c r="K218" s="10" t="n">
        <v>2</v>
      </c>
      <c r="L218" s="14" t="n">
        <v>0.2</v>
      </c>
      <c r="M218" s="15" t="n">
        <v>4.4792</v>
      </c>
      <c r="N218" s="10" t="str">
        <f aca="false">IF(M218&lt;0,"Loss",IF(M218&lt;50,"Low Profit",IF(M218&lt;200,"Medium Profit","High Profit")))</f>
        <v>Low Profit</v>
      </c>
      <c r="O218" s="10" t="str">
        <f aca="false">IF(J218&gt;=500,"High Value","Standard")</f>
        <v>Standard</v>
      </c>
      <c r="P218" s="10" t="str">
        <f aca="false">H218&amp;" &gt; "&amp;I218&amp;" ("&amp;K218&amp;" units)"</f>
        <v>Technology &gt; Accessories (2 units)</v>
      </c>
      <c r="Q218" s="10" t="str">
        <f aca="false">VLOOKUP(G218,Region_Manager_Table,2,FALSE())</f>
        <v>Priya Menon</v>
      </c>
      <c r="R218" s="10" t="n">
        <f aca="false">INDEX(SLA_Days_Col,MATCH(A218,ShipMode_Col,0))</f>
        <v>6</v>
      </c>
    </row>
    <row r="219" customFormat="false" ht="15" hidden="false" customHeight="false" outlineLevel="0" collapsed="false">
      <c r="A219" s="16" t="s">
        <v>64</v>
      </c>
      <c r="B219" s="16" t="s">
        <v>50</v>
      </c>
      <c r="C219" s="16" t="s">
        <v>51</v>
      </c>
      <c r="D219" s="16" t="s">
        <v>59</v>
      </c>
      <c r="E219" s="16" t="s">
        <v>60</v>
      </c>
      <c r="F219" s="16" t="n">
        <v>90032</v>
      </c>
      <c r="G219" s="16" t="s">
        <v>61</v>
      </c>
      <c r="H219" s="16" t="s">
        <v>62</v>
      </c>
      <c r="I219" s="16" t="s">
        <v>68</v>
      </c>
      <c r="J219" s="17" t="n">
        <v>93.06</v>
      </c>
      <c r="K219" s="16" t="n">
        <v>6</v>
      </c>
      <c r="L219" s="18" t="n">
        <v>0</v>
      </c>
      <c r="M219" s="19" t="n">
        <v>26.0568</v>
      </c>
      <c r="N219" s="16" t="str">
        <f aca="false">IF(M219&lt;0,"Loss",IF(M219&lt;50,"Low Profit",IF(M219&lt;200,"Medium Profit","High Profit")))</f>
        <v>Low Profit</v>
      </c>
      <c r="O219" s="16" t="str">
        <f aca="false">IF(J219&gt;=500,"High Value","Standard")</f>
        <v>Standard</v>
      </c>
      <c r="P219" s="16" t="str">
        <f aca="false">H219&amp;" &gt; "&amp;I219&amp;" ("&amp;K219&amp;" units)"</f>
        <v>Office Supplies &gt; Storage (6 units)</v>
      </c>
      <c r="Q219" s="16" t="str">
        <f aca="false">VLOOKUP(G219,Region_Manager_Table,2,FALSE())</f>
        <v>Sana Sheikh</v>
      </c>
      <c r="R219" s="16" t="n">
        <f aca="false">INDEX(SLA_Days_Col,MATCH(A219,ShipMode_Col,0))</f>
        <v>6</v>
      </c>
    </row>
    <row r="220" customFormat="false" ht="15" hidden="false" customHeight="false" outlineLevel="0" collapsed="false">
      <c r="A220" s="10" t="s">
        <v>64</v>
      </c>
      <c r="B220" s="10" t="s">
        <v>50</v>
      </c>
      <c r="C220" s="10" t="s">
        <v>51</v>
      </c>
      <c r="D220" s="10" t="s">
        <v>59</v>
      </c>
      <c r="E220" s="10" t="s">
        <v>60</v>
      </c>
      <c r="F220" s="10" t="n">
        <v>90032</v>
      </c>
      <c r="G220" s="10" t="s">
        <v>61</v>
      </c>
      <c r="H220" s="10" t="s">
        <v>71</v>
      </c>
      <c r="I220" s="10" t="s">
        <v>72</v>
      </c>
      <c r="J220" s="13" t="n">
        <v>302.376</v>
      </c>
      <c r="K220" s="10" t="n">
        <v>3</v>
      </c>
      <c r="L220" s="14" t="n">
        <v>0.2</v>
      </c>
      <c r="M220" s="15" t="n">
        <v>22.6782</v>
      </c>
      <c r="N220" s="10" t="str">
        <f aca="false">IF(M220&lt;0,"Loss",IF(M220&lt;50,"Low Profit",IF(M220&lt;200,"Medium Profit","High Profit")))</f>
        <v>Low Profit</v>
      </c>
      <c r="O220" s="10" t="str">
        <f aca="false">IF(J220&gt;=500,"High Value","Standard")</f>
        <v>Standard</v>
      </c>
      <c r="P220" s="10" t="str">
        <f aca="false">H220&amp;" &gt; "&amp;I220&amp;" ("&amp;K220&amp;" units)"</f>
        <v>Technology &gt; Phones (3 units)</v>
      </c>
      <c r="Q220" s="10" t="str">
        <f aca="false">VLOOKUP(G220,Region_Manager_Table,2,FALSE())</f>
        <v>Sana Sheikh</v>
      </c>
      <c r="R220" s="10" t="n">
        <f aca="false">INDEX(SLA_Days_Col,MATCH(A220,ShipMode_Col,0))</f>
        <v>6</v>
      </c>
    </row>
    <row r="221" customFormat="false" ht="15" hidden="false" customHeight="false" outlineLevel="0" collapsed="false">
      <c r="A221" s="16" t="s">
        <v>98</v>
      </c>
      <c r="B221" s="16" t="s">
        <v>50</v>
      </c>
      <c r="C221" s="16" t="s">
        <v>51</v>
      </c>
      <c r="D221" s="16" t="s">
        <v>175</v>
      </c>
      <c r="E221" s="16" t="s">
        <v>140</v>
      </c>
      <c r="F221" s="16" t="n">
        <v>43017</v>
      </c>
      <c r="G221" s="16" t="s">
        <v>93</v>
      </c>
      <c r="H221" s="16" t="s">
        <v>62</v>
      </c>
      <c r="I221" s="16" t="s">
        <v>113</v>
      </c>
      <c r="J221" s="17" t="n">
        <v>5.584</v>
      </c>
      <c r="K221" s="16" t="n">
        <v>2</v>
      </c>
      <c r="L221" s="18" t="n">
        <v>0.2</v>
      </c>
      <c r="M221" s="19" t="n">
        <v>1.8148</v>
      </c>
      <c r="N221" s="16" t="str">
        <f aca="false">IF(M221&lt;0,"Loss",IF(M221&lt;50,"Low Profit",IF(M221&lt;200,"Medium Profit","High Profit")))</f>
        <v>Low Profit</v>
      </c>
      <c r="O221" s="16" t="str">
        <f aca="false">IF(J221&gt;=500,"High Value","Standard")</f>
        <v>Standard</v>
      </c>
      <c r="P221" s="16" t="str">
        <f aca="false">H221&amp;" &gt; "&amp;I221&amp;" ("&amp;K221&amp;" units)"</f>
        <v>Office Supplies &gt; Fasteners (2 units)</v>
      </c>
      <c r="Q221" s="16" t="str">
        <f aca="false">VLOOKUP(G221,Region_Manager_Table,2,FALSE())</f>
        <v>Priya Menon</v>
      </c>
      <c r="R221" s="16" t="n">
        <f aca="false">INDEX(SLA_Days_Col,MATCH(A221,ShipMode_Col,0))</f>
        <v>2</v>
      </c>
    </row>
    <row r="222" customFormat="false" ht="15" hidden="false" customHeight="false" outlineLevel="0" collapsed="false">
      <c r="A222" s="10" t="s">
        <v>98</v>
      </c>
      <c r="B222" s="10" t="s">
        <v>50</v>
      </c>
      <c r="C222" s="10" t="s">
        <v>51</v>
      </c>
      <c r="D222" s="10" t="s">
        <v>175</v>
      </c>
      <c r="E222" s="10" t="s">
        <v>140</v>
      </c>
      <c r="F222" s="10" t="n">
        <v>43017</v>
      </c>
      <c r="G222" s="10" t="s">
        <v>93</v>
      </c>
      <c r="H222" s="10" t="s">
        <v>62</v>
      </c>
      <c r="I222" s="10" t="s">
        <v>77</v>
      </c>
      <c r="J222" s="13" t="n">
        <v>22.704</v>
      </c>
      <c r="K222" s="10" t="n">
        <v>6</v>
      </c>
      <c r="L222" s="14" t="n">
        <v>0.2</v>
      </c>
      <c r="M222" s="15" t="n">
        <v>8.2302</v>
      </c>
      <c r="N222" s="10" t="str">
        <f aca="false">IF(M222&lt;0,"Loss",IF(M222&lt;50,"Low Profit",IF(M222&lt;200,"Medium Profit","High Profit")))</f>
        <v>Low Profit</v>
      </c>
      <c r="O222" s="10" t="str">
        <f aca="false">IF(J222&gt;=500,"High Value","Standard")</f>
        <v>Standard</v>
      </c>
      <c r="P222" s="10" t="str">
        <f aca="false">H222&amp;" &gt; "&amp;I222&amp;" ("&amp;K222&amp;" units)"</f>
        <v>Office Supplies &gt; Paper (6 units)</v>
      </c>
      <c r="Q222" s="10" t="str">
        <f aca="false">VLOOKUP(G222,Region_Manager_Table,2,FALSE())</f>
        <v>Priya Menon</v>
      </c>
      <c r="R222" s="10" t="n">
        <f aca="false">INDEX(SLA_Days_Col,MATCH(A222,ShipMode_Col,0))</f>
        <v>2</v>
      </c>
    </row>
    <row r="223" customFormat="false" ht="15" hidden="false" customHeight="false" outlineLevel="0" collapsed="false">
      <c r="A223" s="16" t="s">
        <v>98</v>
      </c>
      <c r="B223" s="16" t="s">
        <v>50</v>
      </c>
      <c r="C223" s="16" t="s">
        <v>51</v>
      </c>
      <c r="D223" s="16" t="s">
        <v>175</v>
      </c>
      <c r="E223" s="16" t="s">
        <v>140</v>
      </c>
      <c r="F223" s="16" t="n">
        <v>43017</v>
      </c>
      <c r="G223" s="16" t="s">
        <v>93</v>
      </c>
      <c r="H223" s="16" t="s">
        <v>62</v>
      </c>
      <c r="I223" s="16" t="s">
        <v>73</v>
      </c>
      <c r="J223" s="17" t="n">
        <v>19.776</v>
      </c>
      <c r="K223" s="16" t="n">
        <v>4</v>
      </c>
      <c r="L223" s="18" t="n">
        <v>0.7</v>
      </c>
      <c r="M223" s="19" t="n">
        <v>-13.8432</v>
      </c>
      <c r="N223" s="16" t="str">
        <f aca="false">IF(M223&lt;0,"Loss",IF(M223&lt;50,"Low Profit",IF(M223&lt;200,"Medium Profit","High Profit")))</f>
        <v>Loss</v>
      </c>
      <c r="O223" s="16" t="str">
        <f aca="false">IF(J223&gt;=500,"High Value","Standard")</f>
        <v>Standard</v>
      </c>
      <c r="P223" s="16" t="str">
        <f aca="false">H223&amp;" &gt; "&amp;I223&amp;" ("&amp;K223&amp;" units)"</f>
        <v>Office Supplies &gt; Binders (4 units)</v>
      </c>
      <c r="Q223" s="16" t="str">
        <f aca="false">VLOOKUP(G223,Region_Manager_Table,2,FALSE())</f>
        <v>Priya Menon</v>
      </c>
      <c r="R223" s="16" t="n">
        <f aca="false">INDEX(SLA_Days_Col,MATCH(A223,ShipMode_Col,0))</f>
        <v>2</v>
      </c>
    </row>
    <row r="224" customFormat="false" ht="15" hidden="false" customHeight="false" outlineLevel="0" collapsed="false">
      <c r="A224" s="10" t="s">
        <v>98</v>
      </c>
      <c r="B224" s="10" t="s">
        <v>50</v>
      </c>
      <c r="C224" s="10" t="s">
        <v>51</v>
      </c>
      <c r="D224" s="10" t="s">
        <v>175</v>
      </c>
      <c r="E224" s="10" t="s">
        <v>140</v>
      </c>
      <c r="F224" s="10" t="n">
        <v>43017</v>
      </c>
      <c r="G224" s="10" t="s">
        <v>93</v>
      </c>
      <c r="H224" s="10" t="s">
        <v>55</v>
      </c>
      <c r="I224" s="10" t="s">
        <v>69</v>
      </c>
      <c r="J224" s="13" t="n">
        <v>72.704</v>
      </c>
      <c r="K224" s="10" t="n">
        <v>4</v>
      </c>
      <c r="L224" s="14" t="n">
        <v>0.2</v>
      </c>
      <c r="M224" s="15" t="n">
        <v>19.0848</v>
      </c>
      <c r="N224" s="10" t="str">
        <f aca="false">IF(M224&lt;0,"Loss",IF(M224&lt;50,"Low Profit",IF(M224&lt;200,"Medium Profit","High Profit")))</f>
        <v>Low Profit</v>
      </c>
      <c r="O224" s="10" t="str">
        <f aca="false">IF(J224&gt;=500,"High Value","Standard")</f>
        <v>Standard</v>
      </c>
      <c r="P224" s="10" t="str">
        <f aca="false">H224&amp;" &gt; "&amp;I224&amp;" ("&amp;K224&amp;" units)"</f>
        <v>Furniture &gt; Furnishings (4 units)</v>
      </c>
      <c r="Q224" s="10" t="str">
        <f aca="false">VLOOKUP(G224,Region_Manager_Table,2,FALSE())</f>
        <v>Priya Menon</v>
      </c>
      <c r="R224" s="10" t="n">
        <f aca="false">INDEX(SLA_Days_Col,MATCH(A224,ShipMode_Col,0))</f>
        <v>2</v>
      </c>
    </row>
    <row r="225" customFormat="false" ht="15" hidden="false" customHeight="false" outlineLevel="0" collapsed="false">
      <c r="A225" s="16" t="s">
        <v>98</v>
      </c>
      <c r="B225" s="16" t="s">
        <v>50</v>
      </c>
      <c r="C225" s="16" t="s">
        <v>51</v>
      </c>
      <c r="D225" s="16" t="s">
        <v>175</v>
      </c>
      <c r="E225" s="16" t="s">
        <v>140</v>
      </c>
      <c r="F225" s="16" t="n">
        <v>43017</v>
      </c>
      <c r="G225" s="16" t="s">
        <v>93</v>
      </c>
      <c r="H225" s="16" t="s">
        <v>71</v>
      </c>
      <c r="I225" s="16" t="s">
        <v>159</v>
      </c>
      <c r="J225" s="17" t="n">
        <v>479.988</v>
      </c>
      <c r="K225" s="16" t="n">
        <v>4</v>
      </c>
      <c r="L225" s="18" t="n">
        <v>0.7</v>
      </c>
      <c r="M225" s="19" t="n">
        <v>-383.9904</v>
      </c>
      <c r="N225" s="16" t="str">
        <f aca="false">IF(M225&lt;0,"Loss",IF(M225&lt;50,"Low Profit",IF(M225&lt;200,"Medium Profit","High Profit")))</f>
        <v>Loss</v>
      </c>
      <c r="O225" s="16" t="str">
        <f aca="false">IF(J225&gt;=500,"High Value","Standard")</f>
        <v>Standard</v>
      </c>
      <c r="P225" s="16" t="str">
        <f aca="false">H225&amp;" &gt; "&amp;I225&amp;" ("&amp;K225&amp;" units)"</f>
        <v>Technology &gt; Machines (4 units)</v>
      </c>
      <c r="Q225" s="16" t="str">
        <f aca="false">VLOOKUP(G225,Region_Manager_Table,2,FALSE())</f>
        <v>Priya Menon</v>
      </c>
      <c r="R225" s="16" t="n">
        <f aca="false">INDEX(SLA_Days_Col,MATCH(A225,ShipMode_Col,0))</f>
        <v>2</v>
      </c>
    </row>
    <row r="226" customFormat="false" ht="15" hidden="false" customHeight="false" outlineLevel="0" collapsed="false">
      <c r="A226" s="10" t="s">
        <v>98</v>
      </c>
      <c r="B226" s="10" t="s">
        <v>50</v>
      </c>
      <c r="C226" s="10" t="s">
        <v>51</v>
      </c>
      <c r="D226" s="10" t="s">
        <v>175</v>
      </c>
      <c r="E226" s="10" t="s">
        <v>140</v>
      </c>
      <c r="F226" s="10" t="n">
        <v>43017</v>
      </c>
      <c r="G226" s="10" t="s">
        <v>93</v>
      </c>
      <c r="H226" s="10" t="s">
        <v>62</v>
      </c>
      <c r="I226" s="10" t="s">
        <v>70</v>
      </c>
      <c r="J226" s="13" t="n">
        <v>27.168</v>
      </c>
      <c r="K226" s="10" t="n">
        <v>2</v>
      </c>
      <c r="L226" s="14" t="n">
        <v>0.2</v>
      </c>
      <c r="M226" s="15" t="n">
        <v>2.7168</v>
      </c>
      <c r="N226" s="10" t="str">
        <f aca="false">IF(M226&lt;0,"Loss",IF(M226&lt;50,"Low Profit",IF(M226&lt;200,"Medium Profit","High Profit")))</f>
        <v>Low Profit</v>
      </c>
      <c r="O226" s="10" t="str">
        <f aca="false">IF(J226&gt;=500,"High Value","Standard")</f>
        <v>Standard</v>
      </c>
      <c r="P226" s="10" t="str">
        <f aca="false">H226&amp;" &gt; "&amp;I226&amp;" ("&amp;K226&amp;" units)"</f>
        <v>Office Supplies &gt; Art (2 units)</v>
      </c>
      <c r="Q226" s="10" t="str">
        <f aca="false">VLOOKUP(G226,Region_Manager_Table,2,FALSE())</f>
        <v>Priya Menon</v>
      </c>
      <c r="R226" s="10" t="n">
        <f aca="false">INDEX(SLA_Days_Col,MATCH(A226,ShipMode_Col,0))</f>
        <v>2</v>
      </c>
    </row>
    <row r="227" customFormat="false" ht="15" hidden="false" customHeight="false" outlineLevel="0" collapsed="false">
      <c r="A227" s="16" t="s">
        <v>64</v>
      </c>
      <c r="B227" s="16" t="s">
        <v>58</v>
      </c>
      <c r="C227" s="16" t="s">
        <v>51</v>
      </c>
      <c r="D227" s="16" t="s">
        <v>176</v>
      </c>
      <c r="E227" s="16" t="s">
        <v>106</v>
      </c>
      <c r="F227" s="16" t="n">
        <v>48227</v>
      </c>
      <c r="G227" s="16" t="s">
        <v>83</v>
      </c>
      <c r="H227" s="16" t="s">
        <v>62</v>
      </c>
      <c r="I227" s="16" t="s">
        <v>70</v>
      </c>
      <c r="J227" s="17" t="n">
        <v>2.2</v>
      </c>
      <c r="K227" s="16" t="n">
        <v>1</v>
      </c>
      <c r="L227" s="18" t="n">
        <v>0</v>
      </c>
      <c r="M227" s="19" t="n">
        <v>0.968</v>
      </c>
      <c r="N227" s="16" t="str">
        <f aca="false">IF(M227&lt;0,"Loss",IF(M227&lt;50,"Low Profit",IF(M227&lt;200,"Medium Profit","High Profit")))</f>
        <v>Low Profit</v>
      </c>
      <c r="O227" s="16" t="str">
        <f aca="false">IF(J227&gt;=500,"High Value","Standard")</f>
        <v>Standard</v>
      </c>
      <c r="P227" s="16" t="str">
        <f aca="false">H227&amp;" &gt; "&amp;I227&amp;" ("&amp;K227&amp;" units)"</f>
        <v>Office Supplies &gt; Art (1 units)</v>
      </c>
      <c r="Q227" s="16" t="str">
        <f aca="false">VLOOKUP(G227,Region_Manager_Table,2,FALSE())</f>
        <v>Aditya Rao</v>
      </c>
      <c r="R227" s="16" t="n">
        <f aca="false">INDEX(SLA_Days_Col,MATCH(A227,ShipMode_Col,0))</f>
        <v>6</v>
      </c>
    </row>
    <row r="228" customFormat="false" ht="15" hidden="false" customHeight="false" outlineLevel="0" collapsed="false">
      <c r="A228" s="10" t="s">
        <v>64</v>
      </c>
      <c r="B228" s="10" t="s">
        <v>58</v>
      </c>
      <c r="C228" s="10" t="s">
        <v>51</v>
      </c>
      <c r="D228" s="10" t="s">
        <v>176</v>
      </c>
      <c r="E228" s="10" t="s">
        <v>106</v>
      </c>
      <c r="F228" s="10" t="n">
        <v>48227</v>
      </c>
      <c r="G228" s="10" t="s">
        <v>83</v>
      </c>
      <c r="H228" s="10" t="s">
        <v>55</v>
      </c>
      <c r="I228" s="10" t="s">
        <v>67</v>
      </c>
      <c r="J228" s="13" t="n">
        <v>622.45</v>
      </c>
      <c r="K228" s="10" t="n">
        <v>5</v>
      </c>
      <c r="L228" s="14" t="n">
        <v>0</v>
      </c>
      <c r="M228" s="15" t="n">
        <v>136.939</v>
      </c>
      <c r="N228" s="10" t="str">
        <f aca="false">IF(M228&lt;0,"Loss",IF(M228&lt;50,"Low Profit",IF(M228&lt;200,"Medium Profit","High Profit")))</f>
        <v>Medium Profit</v>
      </c>
      <c r="O228" s="10" t="str">
        <f aca="false">IF(J228&gt;=500,"High Value","Standard")</f>
        <v>High Value</v>
      </c>
      <c r="P228" s="10" t="str">
        <f aca="false">H228&amp;" &gt; "&amp;I228&amp;" ("&amp;K228&amp;" units)"</f>
        <v>Furniture &gt; Tables (5 units)</v>
      </c>
      <c r="Q228" s="10" t="str">
        <f aca="false">VLOOKUP(G228,Region_Manager_Table,2,FALSE())</f>
        <v>Aditya Rao</v>
      </c>
      <c r="R228" s="10" t="n">
        <f aca="false">INDEX(SLA_Days_Col,MATCH(A228,ShipMode_Col,0))</f>
        <v>6</v>
      </c>
    </row>
    <row r="229" customFormat="false" ht="15" hidden="false" customHeight="false" outlineLevel="0" collapsed="false">
      <c r="A229" s="16" t="s">
        <v>64</v>
      </c>
      <c r="B229" s="16" t="s">
        <v>58</v>
      </c>
      <c r="C229" s="16" t="s">
        <v>51</v>
      </c>
      <c r="D229" s="16" t="s">
        <v>176</v>
      </c>
      <c r="E229" s="16" t="s">
        <v>106</v>
      </c>
      <c r="F229" s="16" t="n">
        <v>48227</v>
      </c>
      <c r="G229" s="16" t="s">
        <v>83</v>
      </c>
      <c r="H229" s="16" t="s">
        <v>62</v>
      </c>
      <c r="I229" s="16" t="s">
        <v>68</v>
      </c>
      <c r="J229" s="17" t="n">
        <v>21.98</v>
      </c>
      <c r="K229" s="16" t="n">
        <v>1</v>
      </c>
      <c r="L229" s="18" t="n">
        <v>0</v>
      </c>
      <c r="M229" s="19" t="n">
        <v>0.2198</v>
      </c>
      <c r="N229" s="16" t="str">
        <f aca="false">IF(M229&lt;0,"Loss",IF(M229&lt;50,"Low Profit",IF(M229&lt;200,"Medium Profit","High Profit")))</f>
        <v>Low Profit</v>
      </c>
      <c r="O229" s="16" t="str">
        <f aca="false">IF(J229&gt;=500,"High Value","Standard")</f>
        <v>Standard</v>
      </c>
      <c r="P229" s="16" t="str">
        <f aca="false">H229&amp;" &gt; "&amp;I229&amp;" ("&amp;K229&amp;" units)"</f>
        <v>Office Supplies &gt; Storage (1 units)</v>
      </c>
      <c r="Q229" s="16" t="str">
        <f aca="false">VLOOKUP(G229,Region_Manager_Table,2,FALSE())</f>
        <v>Aditya Rao</v>
      </c>
      <c r="R229" s="16" t="n">
        <f aca="false">INDEX(SLA_Days_Col,MATCH(A229,ShipMode_Col,0))</f>
        <v>6</v>
      </c>
    </row>
    <row r="230" customFormat="false" ht="15" hidden="false" customHeight="false" outlineLevel="0" collapsed="false">
      <c r="A230" s="10" t="s">
        <v>64</v>
      </c>
      <c r="B230" s="10" t="s">
        <v>50</v>
      </c>
      <c r="C230" s="10" t="s">
        <v>51</v>
      </c>
      <c r="D230" s="10" t="s">
        <v>126</v>
      </c>
      <c r="E230" s="10" t="s">
        <v>122</v>
      </c>
      <c r="F230" s="10" t="n">
        <v>38401</v>
      </c>
      <c r="G230" s="10" t="s">
        <v>54</v>
      </c>
      <c r="H230" s="10" t="s">
        <v>55</v>
      </c>
      <c r="I230" s="10" t="s">
        <v>57</v>
      </c>
      <c r="J230" s="13" t="n">
        <v>161.568</v>
      </c>
      <c r="K230" s="10" t="n">
        <v>2</v>
      </c>
      <c r="L230" s="14" t="n">
        <v>0.2</v>
      </c>
      <c r="M230" s="15" t="n">
        <v>-28.2744</v>
      </c>
      <c r="N230" s="10" t="str">
        <f aca="false">IF(M230&lt;0,"Loss",IF(M230&lt;50,"Low Profit",IF(M230&lt;200,"Medium Profit","High Profit")))</f>
        <v>Loss</v>
      </c>
      <c r="O230" s="10" t="str">
        <f aca="false">IF(J230&gt;=500,"High Value","Standard")</f>
        <v>Standard</v>
      </c>
      <c r="P230" s="10" t="str">
        <f aca="false">H230&amp;" &gt; "&amp;I230&amp;" ("&amp;K230&amp;" units)"</f>
        <v>Furniture &gt; Chairs (2 units)</v>
      </c>
      <c r="Q230" s="10" t="str">
        <f aca="false">VLOOKUP(G230,Region_Manager_Table,2,FALSE())</f>
        <v>Karthik Iyer</v>
      </c>
      <c r="R230" s="10" t="n">
        <f aca="false">INDEX(SLA_Days_Col,MATCH(A230,ShipMode_Col,0))</f>
        <v>6</v>
      </c>
    </row>
    <row r="231" customFormat="false" ht="15" hidden="false" customHeight="false" outlineLevel="0" collapsed="false">
      <c r="A231" s="16" t="s">
        <v>64</v>
      </c>
      <c r="B231" s="16" t="s">
        <v>50</v>
      </c>
      <c r="C231" s="16" t="s">
        <v>51</v>
      </c>
      <c r="D231" s="16" t="s">
        <v>126</v>
      </c>
      <c r="E231" s="16" t="s">
        <v>122</v>
      </c>
      <c r="F231" s="16" t="n">
        <v>38401</v>
      </c>
      <c r="G231" s="16" t="s">
        <v>54</v>
      </c>
      <c r="H231" s="16" t="s">
        <v>55</v>
      </c>
      <c r="I231" s="16" t="s">
        <v>57</v>
      </c>
      <c r="J231" s="17" t="n">
        <v>389.696</v>
      </c>
      <c r="K231" s="16" t="n">
        <v>8</v>
      </c>
      <c r="L231" s="18" t="n">
        <v>0.2</v>
      </c>
      <c r="M231" s="19" t="n">
        <v>43.8408</v>
      </c>
      <c r="N231" s="16" t="str">
        <f aca="false">IF(M231&lt;0,"Loss",IF(M231&lt;50,"Low Profit",IF(M231&lt;200,"Medium Profit","High Profit")))</f>
        <v>Low Profit</v>
      </c>
      <c r="O231" s="16" t="str">
        <f aca="false">IF(J231&gt;=500,"High Value","Standard")</f>
        <v>Standard</v>
      </c>
      <c r="P231" s="16" t="str">
        <f aca="false">H231&amp;" &gt; "&amp;I231&amp;" ("&amp;K231&amp;" units)"</f>
        <v>Furniture &gt; Chairs (8 units)</v>
      </c>
      <c r="Q231" s="16" t="str">
        <f aca="false">VLOOKUP(G231,Region_Manager_Table,2,FALSE())</f>
        <v>Karthik Iyer</v>
      </c>
      <c r="R231" s="16" t="n">
        <f aca="false">INDEX(SLA_Days_Col,MATCH(A231,ShipMode_Col,0))</f>
        <v>6</v>
      </c>
    </row>
    <row r="232" customFormat="false" ht="15" hidden="false" customHeight="false" outlineLevel="0" collapsed="false">
      <c r="A232" s="10" t="s">
        <v>64</v>
      </c>
      <c r="B232" s="10" t="s">
        <v>58</v>
      </c>
      <c r="C232" s="10" t="s">
        <v>51</v>
      </c>
      <c r="D232" s="10" t="s">
        <v>135</v>
      </c>
      <c r="E232" s="10" t="s">
        <v>76</v>
      </c>
      <c r="F232" s="10" t="n">
        <v>28205</v>
      </c>
      <c r="G232" s="10" t="s">
        <v>54</v>
      </c>
      <c r="H232" s="10" t="s">
        <v>62</v>
      </c>
      <c r="I232" s="10" t="s">
        <v>73</v>
      </c>
      <c r="J232" s="13" t="n">
        <v>18.648</v>
      </c>
      <c r="K232" s="10" t="n">
        <v>7</v>
      </c>
      <c r="L232" s="14" t="n">
        <v>0.7</v>
      </c>
      <c r="M232" s="15" t="n">
        <v>-12.432</v>
      </c>
      <c r="N232" s="10" t="str">
        <f aca="false">IF(M232&lt;0,"Loss",IF(M232&lt;50,"Low Profit",IF(M232&lt;200,"Medium Profit","High Profit")))</f>
        <v>Loss</v>
      </c>
      <c r="O232" s="10" t="str">
        <f aca="false">IF(J232&gt;=500,"High Value","Standard")</f>
        <v>Standard</v>
      </c>
      <c r="P232" s="10" t="str">
        <f aca="false">H232&amp;" &gt; "&amp;I232&amp;" ("&amp;K232&amp;" units)"</f>
        <v>Office Supplies &gt; Binders (7 units)</v>
      </c>
      <c r="Q232" s="10" t="str">
        <f aca="false">VLOOKUP(G232,Region_Manager_Table,2,FALSE())</f>
        <v>Karthik Iyer</v>
      </c>
      <c r="R232" s="10" t="n">
        <f aca="false">INDEX(SLA_Days_Col,MATCH(A232,ShipMode_Col,0))</f>
        <v>6</v>
      </c>
    </row>
    <row r="233" customFormat="false" ht="15" hidden="false" customHeight="false" outlineLevel="0" collapsed="false">
      <c r="A233" s="16" t="s">
        <v>64</v>
      </c>
      <c r="B233" s="16" t="s">
        <v>80</v>
      </c>
      <c r="C233" s="16" t="s">
        <v>51</v>
      </c>
      <c r="D233" s="16" t="s">
        <v>177</v>
      </c>
      <c r="E233" s="16" t="s">
        <v>66</v>
      </c>
      <c r="F233" s="16" t="n">
        <v>33614</v>
      </c>
      <c r="G233" s="16" t="s">
        <v>54</v>
      </c>
      <c r="H233" s="16" t="s">
        <v>55</v>
      </c>
      <c r="I233" s="16" t="s">
        <v>67</v>
      </c>
      <c r="J233" s="17" t="n">
        <v>233.86</v>
      </c>
      <c r="K233" s="16" t="n">
        <v>2</v>
      </c>
      <c r="L233" s="18" t="n">
        <v>0.45</v>
      </c>
      <c r="M233" s="19" t="n">
        <v>-102.048</v>
      </c>
      <c r="N233" s="16" t="str">
        <f aca="false">IF(M233&lt;0,"Loss",IF(M233&lt;50,"Low Profit",IF(M233&lt;200,"Medium Profit","High Profit")))</f>
        <v>Loss</v>
      </c>
      <c r="O233" s="16" t="str">
        <f aca="false">IF(J233&gt;=500,"High Value","Standard")</f>
        <v>Standard</v>
      </c>
      <c r="P233" s="16" t="str">
        <f aca="false">H233&amp;" &gt; "&amp;I233&amp;" ("&amp;K233&amp;" units)"</f>
        <v>Furniture &gt; Tables (2 units)</v>
      </c>
      <c r="Q233" s="16" t="str">
        <f aca="false">VLOOKUP(G233,Region_Manager_Table,2,FALSE())</f>
        <v>Karthik Iyer</v>
      </c>
      <c r="R233" s="16" t="n">
        <f aca="false">INDEX(SLA_Days_Col,MATCH(A233,ShipMode_Col,0))</f>
        <v>6</v>
      </c>
    </row>
    <row r="234" customFormat="false" ht="15" hidden="false" customHeight="false" outlineLevel="0" collapsed="false">
      <c r="A234" s="10" t="s">
        <v>64</v>
      </c>
      <c r="B234" s="10" t="s">
        <v>80</v>
      </c>
      <c r="C234" s="10" t="s">
        <v>51</v>
      </c>
      <c r="D234" s="10" t="s">
        <v>177</v>
      </c>
      <c r="E234" s="10" t="s">
        <v>66</v>
      </c>
      <c r="F234" s="10" t="n">
        <v>33614</v>
      </c>
      <c r="G234" s="10" t="s">
        <v>54</v>
      </c>
      <c r="H234" s="10" t="s">
        <v>55</v>
      </c>
      <c r="I234" s="10" t="s">
        <v>67</v>
      </c>
      <c r="J234" s="13" t="n">
        <v>620.6145</v>
      </c>
      <c r="K234" s="10" t="n">
        <v>3</v>
      </c>
      <c r="L234" s="14" t="n">
        <v>0.45</v>
      </c>
      <c r="M234" s="15" t="n">
        <v>-248.2458</v>
      </c>
      <c r="N234" s="10" t="str">
        <f aca="false">IF(M234&lt;0,"Loss",IF(M234&lt;50,"Low Profit",IF(M234&lt;200,"Medium Profit","High Profit")))</f>
        <v>Loss</v>
      </c>
      <c r="O234" s="10" t="str">
        <f aca="false">IF(J234&gt;=500,"High Value","Standard")</f>
        <v>High Value</v>
      </c>
      <c r="P234" s="10" t="str">
        <f aca="false">H234&amp;" &gt; "&amp;I234&amp;" ("&amp;K234&amp;" units)"</f>
        <v>Furniture &gt; Tables (3 units)</v>
      </c>
      <c r="Q234" s="10" t="str">
        <f aca="false">VLOOKUP(G234,Region_Manager_Table,2,FALSE())</f>
        <v>Karthik Iyer</v>
      </c>
      <c r="R234" s="10" t="n">
        <f aca="false">INDEX(SLA_Days_Col,MATCH(A234,ShipMode_Col,0))</f>
        <v>6</v>
      </c>
    </row>
    <row r="235" customFormat="false" ht="15" hidden="false" customHeight="false" outlineLevel="0" collapsed="false">
      <c r="A235" s="16" t="s">
        <v>64</v>
      </c>
      <c r="B235" s="16" t="s">
        <v>80</v>
      </c>
      <c r="C235" s="16" t="s">
        <v>51</v>
      </c>
      <c r="D235" s="16" t="s">
        <v>177</v>
      </c>
      <c r="E235" s="16" t="s">
        <v>66</v>
      </c>
      <c r="F235" s="16" t="n">
        <v>33614</v>
      </c>
      <c r="G235" s="16" t="s">
        <v>54</v>
      </c>
      <c r="H235" s="16" t="s">
        <v>62</v>
      </c>
      <c r="I235" s="16" t="s">
        <v>73</v>
      </c>
      <c r="J235" s="17" t="n">
        <v>5.328</v>
      </c>
      <c r="K235" s="16" t="n">
        <v>2</v>
      </c>
      <c r="L235" s="18" t="n">
        <v>0.7</v>
      </c>
      <c r="M235" s="19" t="n">
        <v>-3.552</v>
      </c>
      <c r="N235" s="16" t="str">
        <f aca="false">IF(M235&lt;0,"Loss",IF(M235&lt;50,"Low Profit",IF(M235&lt;200,"Medium Profit","High Profit")))</f>
        <v>Loss</v>
      </c>
      <c r="O235" s="16" t="str">
        <f aca="false">IF(J235&gt;=500,"High Value","Standard")</f>
        <v>Standard</v>
      </c>
      <c r="P235" s="16" t="str">
        <f aca="false">H235&amp;" &gt; "&amp;I235&amp;" ("&amp;K235&amp;" units)"</f>
        <v>Office Supplies &gt; Binders (2 units)</v>
      </c>
      <c r="Q235" s="16" t="str">
        <f aca="false">VLOOKUP(G235,Region_Manager_Table,2,FALSE())</f>
        <v>Karthik Iyer</v>
      </c>
      <c r="R235" s="16" t="n">
        <f aca="false">INDEX(SLA_Days_Col,MATCH(A235,ShipMode_Col,0))</f>
        <v>6</v>
      </c>
    </row>
    <row r="236" customFormat="false" ht="15" hidden="false" customHeight="false" outlineLevel="0" collapsed="false">
      <c r="A236" s="10" t="s">
        <v>64</v>
      </c>
      <c r="B236" s="10" t="s">
        <v>80</v>
      </c>
      <c r="C236" s="10" t="s">
        <v>51</v>
      </c>
      <c r="D236" s="10" t="s">
        <v>177</v>
      </c>
      <c r="E236" s="10" t="s">
        <v>66</v>
      </c>
      <c r="F236" s="10" t="n">
        <v>33614</v>
      </c>
      <c r="G236" s="10" t="s">
        <v>54</v>
      </c>
      <c r="H236" s="10" t="s">
        <v>55</v>
      </c>
      <c r="I236" s="10" t="s">
        <v>69</v>
      </c>
      <c r="J236" s="13" t="n">
        <v>258.072</v>
      </c>
      <c r="K236" s="10" t="n">
        <v>3</v>
      </c>
      <c r="L236" s="14" t="n">
        <v>0.2</v>
      </c>
      <c r="M236" s="15" t="n">
        <v>0</v>
      </c>
      <c r="N236" s="10" t="str">
        <f aca="false">IF(M236&lt;0,"Loss",IF(M236&lt;50,"Low Profit",IF(M236&lt;200,"Medium Profit","High Profit")))</f>
        <v>Low Profit</v>
      </c>
      <c r="O236" s="10" t="str">
        <f aca="false">IF(J236&gt;=500,"High Value","Standard")</f>
        <v>Standard</v>
      </c>
      <c r="P236" s="10" t="str">
        <f aca="false">H236&amp;" &gt; "&amp;I236&amp;" ("&amp;K236&amp;" units)"</f>
        <v>Furniture &gt; Furnishings (3 units)</v>
      </c>
      <c r="Q236" s="10" t="str">
        <f aca="false">VLOOKUP(G236,Region_Manager_Table,2,FALSE())</f>
        <v>Karthik Iyer</v>
      </c>
      <c r="R236" s="10" t="n">
        <f aca="false">INDEX(SLA_Days_Col,MATCH(A236,ShipMode_Col,0))</f>
        <v>6</v>
      </c>
    </row>
    <row r="237" customFormat="false" ht="15" hidden="false" customHeight="false" outlineLevel="0" collapsed="false">
      <c r="A237" s="16" t="s">
        <v>64</v>
      </c>
      <c r="B237" s="16" t="s">
        <v>80</v>
      </c>
      <c r="C237" s="16" t="s">
        <v>51</v>
      </c>
      <c r="D237" s="16" t="s">
        <v>177</v>
      </c>
      <c r="E237" s="16" t="s">
        <v>66</v>
      </c>
      <c r="F237" s="16" t="n">
        <v>33614</v>
      </c>
      <c r="G237" s="16" t="s">
        <v>54</v>
      </c>
      <c r="H237" s="16" t="s">
        <v>71</v>
      </c>
      <c r="I237" s="16" t="s">
        <v>95</v>
      </c>
      <c r="J237" s="17" t="n">
        <v>617.976</v>
      </c>
      <c r="K237" s="16" t="n">
        <v>3</v>
      </c>
      <c r="L237" s="18" t="n">
        <v>0.2</v>
      </c>
      <c r="M237" s="19" t="n">
        <v>-7.7247</v>
      </c>
      <c r="N237" s="16" t="str">
        <f aca="false">IF(M237&lt;0,"Loss",IF(M237&lt;50,"Low Profit",IF(M237&lt;200,"Medium Profit","High Profit")))</f>
        <v>Loss</v>
      </c>
      <c r="O237" s="16" t="str">
        <f aca="false">IF(J237&gt;=500,"High Value","Standard")</f>
        <v>High Value</v>
      </c>
      <c r="P237" s="16" t="str">
        <f aca="false">H237&amp;" &gt; "&amp;I237&amp;" ("&amp;K237&amp;" units)"</f>
        <v>Technology &gt; Accessories (3 units)</v>
      </c>
      <c r="Q237" s="16" t="str">
        <f aca="false">VLOOKUP(G237,Region_Manager_Table,2,FALSE())</f>
        <v>Karthik Iyer</v>
      </c>
      <c r="R237" s="16" t="n">
        <f aca="false">INDEX(SLA_Days_Col,MATCH(A237,ShipMode_Col,0))</f>
        <v>6</v>
      </c>
    </row>
    <row r="238" customFormat="false" ht="15" hidden="false" customHeight="false" outlineLevel="0" collapsed="false">
      <c r="A238" s="10" t="s">
        <v>64</v>
      </c>
      <c r="B238" s="10" t="s">
        <v>58</v>
      </c>
      <c r="C238" s="10" t="s">
        <v>51</v>
      </c>
      <c r="D238" s="10" t="s">
        <v>178</v>
      </c>
      <c r="E238" s="10" t="s">
        <v>60</v>
      </c>
      <c r="F238" s="10" t="n">
        <v>95051</v>
      </c>
      <c r="G238" s="10" t="s">
        <v>61</v>
      </c>
      <c r="H238" s="10" t="s">
        <v>62</v>
      </c>
      <c r="I238" s="10" t="s">
        <v>77</v>
      </c>
      <c r="J238" s="13" t="n">
        <v>10.56</v>
      </c>
      <c r="K238" s="10" t="n">
        <v>2</v>
      </c>
      <c r="L238" s="14" t="n">
        <v>0</v>
      </c>
      <c r="M238" s="15" t="n">
        <v>4.752</v>
      </c>
      <c r="N238" s="10" t="str">
        <f aca="false">IF(M238&lt;0,"Loss",IF(M238&lt;50,"Low Profit",IF(M238&lt;200,"Medium Profit","High Profit")))</f>
        <v>Low Profit</v>
      </c>
      <c r="O238" s="10" t="str">
        <f aca="false">IF(J238&gt;=500,"High Value","Standard")</f>
        <v>Standard</v>
      </c>
      <c r="P238" s="10" t="str">
        <f aca="false">H238&amp;" &gt; "&amp;I238&amp;" ("&amp;K238&amp;" units)"</f>
        <v>Office Supplies &gt; Paper (2 units)</v>
      </c>
      <c r="Q238" s="10" t="str">
        <f aca="false">VLOOKUP(G238,Region_Manager_Table,2,FALSE())</f>
        <v>Sana Sheikh</v>
      </c>
      <c r="R238" s="10" t="n">
        <f aca="false">INDEX(SLA_Days_Col,MATCH(A238,ShipMode_Col,0))</f>
        <v>6</v>
      </c>
    </row>
    <row r="239" customFormat="false" ht="15" hidden="false" customHeight="false" outlineLevel="0" collapsed="false">
      <c r="A239" s="16" t="s">
        <v>49</v>
      </c>
      <c r="B239" s="16" t="s">
        <v>50</v>
      </c>
      <c r="C239" s="16" t="s">
        <v>51</v>
      </c>
      <c r="D239" s="16" t="s">
        <v>115</v>
      </c>
      <c r="E239" s="16" t="s">
        <v>101</v>
      </c>
      <c r="F239" s="16" t="n">
        <v>60610</v>
      </c>
      <c r="G239" s="16" t="s">
        <v>83</v>
      </c>
      <c r="H239" s="16" t="s">
        <v>62</v>
      </c>
      <c r="I239" s="16" t="s">
        <v>77</v>
      </c>
      <c r="J239" s="17" t="n">
        <v>25.92</v>
      </c>
      <c r="K239" s="16" t="n">
        <v>5</v>
      </c>
      <c r="L239" s="18" t="n">
        <v>0.2</v>
      </c>
      <c r="M239" s="19" t="n">
        <v>9.396</v>
      </c>
      <c r="N239" s="16" t="str">
        <f aca="false">IF(M239&lt;0,"Loss",IF(M239&lt;50,"Low Profit",IF(M239&lt;200,"Medium Profit","High Profit")))</f>
        <v>Low Profit</v>
      </c>
      <c r="O239" s="16" t="str">
        <f aca="false">IF(J239&gt;=500,"High Value","Standard")</f>
        <v>Standard</v>
      </c>
      <c r="P239" s="16" t="str">
        <f aca="false">H239&amp;" &gt; "&amp;I239&amp;" ("&amp;K239&amp;" units)"</f>
        <v>Office Supplies &gt; Paper (5 units)</v>
      </c>
      <c r="Q239" s="16" t="str">
        <f aca="false">VLOOKUP(G239,Region_Manager_Table,2,FALSE())</f>
        <v>Aditya Rao</v>
      </c>
      <c r="R239" s="16" t="n">
        <f aca="false">INDEX(SLA_Days_Col,MATCH(A239,ShipMode_Col,0))</f>
        <v>4</v>
      </c>
    </row>
    <row r="240" customFormat="false" ht="15" hidden="false" customHeight="false" outlineLevel="0" collapsed="false">
      <c r="A240" s="10" t="s">
        <v>49</v>
      </c>
      <c r="B240" s="10" t="s">
        <v>50</v>
      </c>
      <c r="C240" s="10" t="s">
        <v>51</v>
      </c>
      <c r="D240" s="10" t="s">
        <v>115</v>
      </c>
      <c r="E240" s="10" t="s">
        <v>101</v>
      </c>
      <c r="F240" s="10" t="n">
        <v>60610</v>
      </c>
      <c r="G240" s="10" t="s">
        <v>83</v>
      </c>
      <c r="H240" s="10" t="s">
        <v>55</v>
      </c>
      <c r="I240" s="10" t="s">
        <v>69</v>
      </c>
      <c r="J240" s="13" t="n">
        <v>419.68</v>
      </c>
      <c r="K240" s="10" t="n">
        <v>5</v>
      </c>
      <c r="L240" s="14" t="n">
        <v>0.6</v>
      </c>
      <c r="M240" s="15" t="n">
        <v>-356.728</v>
      </c>
      <c r="N240" s="10" t="str">
        <f aca="false">IF(M240&lt;0,"Loss",IF(M240&lt;50,"Low Profit",IF(M240&lt;200,"Medium Profit","High Profit")))</f>
        <v>Loss</v>
      </c>
      <c r="O240" s="10" t="str">
        <f aca="false">IF(J240&gt;=500,"High Value","Standard")</f>
        <v>Standard</v>
      </c>
      <c r="P240" s="10" t="str">
        <f aca="false">H240&amp;" &gt; "&amp;I240&amp;" ("&amp;K240&amp;" units)"</f>
        <v>Furniture &gt; Furnishings (5 units)</v>
      </c>
      <c r="Q240" s="10" t="str">
        <f aca="false">VLOOKUP(G240,Region_Manager_Table,2,FALSE())</f>
        <v>Aditya Rao</v>
      </c>
      <c r="R240" s="10" t="n">
        <f aca="false">INDEX(SLA_Days_Col,MATCH(A240,ShipMode_Col,0))</f>
        <v>4</v>
      </c>
    </row>
    <row r="241" customFormat="false" ht="15" hidden="false" customHeight="false" outlineLevel="0" collapsed="false">
      <c r="A241" s="16" t="s">
        <v>49</v>
      </c>
      <c r="B241" s="16" t="s">
        <v>50</v>
      </c>
      <c r="C241" s="16" t="s">
        <v>51</v>
      </c>
      <c r="D241" s="16" t="s">
        <v>115</v>
      </c>
      <c r="E241" s="16" t="s">
        <v>101</v>
      </c>
      <c r="F241" s="16" t="n">
        <v>60610</v>
      </c>
      <c r="G241" s="16" t="s">
        <v>83</v>
      </c>
      <c r="H241" s="16" t="s">
        <v>55</v>
      </c>
      <c r="I241" s="16" t="s">
        <v>69</v>
      </c>
      <c r="J241" s="17" t="n">
        <v>11.688</v>
      </c>
      <c r="K241" s="16" t="n">
        <v>3</v>
      </c>
      <c r="L241" s="18" t="n">
        <v>0.6</v>
      </c>
      <c r="M241" s="19" t="n">
        <v>-4.6752</v>
      </c>
      <c r="N241" s="16" t="str">
        <f aca="false">IF(M241&lt;0,"Loss",IF(M241&lt;50,"Low Profit",IF(M241&lt;200,"Medium Profit","High Profit")))</f>
        <v>Loss</v>
      </c>
      <c r="O241" s="16" t="str">
        <f aca="false">IF(J241&gt;=500,"High Value","Standard")</f>
        <v>Standard</v>
      </c>
      <c r="P241" s="16" t="str">
        <f aca="false">H241&amp;" &gt; "&amp;I241&amp;" ("&amp;K241&amp;" units)"</f>
        <v>Furniture &gt; Furnishings (3 units)</v>
      </c>
      <c r="Q241" s="16" t="str">
        <f aca="false">VLOOKUP(G241,Region_Manager_Table,2,FALSE())</f>
        <v>Aditya Rao</v>
      </c>
      <c r="R241" s="16" t="n">
        <f aca="false">INDEX(SLA_Days_Col,MATCH(A241,ShipMode_Col,0))</f>
        <v>4</v>
      </c>
    </row>
    <row r="242" customFormat="false" ht="15" hidden="false" customHeight="false" outlineLevel="0" collapsed="false">
      <c r="A242" s="10" t="s">
        <v>49</v>
      </c>
      <c r="B242" s="10" t="s">
        <v>50</v>
      </c>
      <c r="C242" s="10" t="s">
        <v>51</v>
      </c>
      <c r="D242" s="10" t="s">
        <v>115</v>
      </c>
      <c r="E242" s="10" t="s">
        <v>101</v>
      </c>
      <c r="F242" s="10" t="n">
        <v>60610</v>
      </c>
      <c r="G242" s="10" t="s">
        <v>83</v>
      </c>
      <c r="H242" s="10" t="s">
        <v>71</v>
      </c>
      <c r="I242" s="10" t="s">
        <v>72</v>
      </c>
      <c r="J242" s="13" t="n">
        <v>31.984</v>
      </c>
      <c r="K242" s="10" t="n">
        <v>2</v>
      </c>
      <c r="L242" s="14" t="n">
        <v>0.2</v>
      </c>
      <c r="M242" s="15" t="n">
        <v>11.1944</v>
      </c>
      <c r="N242" s="10" t="str">
        <f aca="false">IF(M242&lt;0,"Loss",IF(M242&lt;50,"Low Profit",IF(M242&lt;200,"Medium Profit","High Profit")))</f>
        <v>Low Profit</v>
      </c>
      <c r="O242" s="10" t="str">
        <f aca="false">IF(J242&gt;=500,"High Value","Standard")</f>
        <v>Standard</v>
      </c>
      <c r="P242" s="10" t="str">
        <f aca="false">H242&amp;" &gt; "&amp;I242&amp;" ("&amp;K242&amp;" units)"</f>
        <v>Technology &gt; Phones (2 units)</v>
      </c>
      <c r="Q242" s="10" t="str">
        <f aca="false">VLOOKUP(G242,Region_Manager_Table,2,FALSE())</f>
        <v>Aditya Rao</v>
      </c>
      <c r="R242" s="10" t="n">
        <f aca="false">INDEX(SLA_Days_Col,MATCH(A242,ShipMode_Col,0))</f>
        <v>4</v>
      </c>
    </row>
    <row r="243" customFormat="false" ht="15" hidden="false" customHeight="false" outlineLevel="0" collapsed="false">
      <c r="A243" s="16" t="s">
        <v>49</v>
      </c>
      <c r="B243" s="16" t="s">
        <v>50</v>
      </c>
      <c r="C243" s="16" t="s">
        <v>51</v>
      </c>
      <c r="D243" s="16" t="s">
        <v>115</v>
      </c>
      <c r="E243" s="16" t="s">
        <v>101</v>
      </c>
      <c r="F243" s="16" t="n">
        <v>60610</v>
      </c>
      <c r="G243" s="16" t="s">
        <v>83</v>
      </c>
      <c r="H243" s="16" t="s">
        <v>55</v>
      </c>
      <c r="I243" s="16" t="s">
        <v>67</v>
      </c>
      <c r="J243" s="17" t="n">
        <v>177.225</v>
      </c>
      <c r="K243" s="16" t="n">
        <v>5</v>
      </c>
      <c r="L243" s="18" t="n">
        <v>0.5</v>
      </c>
      <c r="M243" s="19" t="n">
        <v>-120.513</v>
      </c>
      <c r="N243" s="16" t="str">
        <f aca="false">IF(M243&lt;0,"Loss",IF(M243&lt;50,"Low Profit",IF(M243&lt;200,"Medium Profit","High Profit")))</f>
        <v>Loss</v>
      </c>
      <c r="O243" s="16" t="str">
        <f aca="false">IF(J243&gt;=500,"High Value","Standard")</f>
        <v>Standard</v>
      </c>
      <c r="P243" s="16" t="str">
        <f aca="false">H243&amp;" &gt; "&amp;I243&amp;" ("&amp;K243&amp;" units)"</f>
        <v>Furniture &gt; Tables (5 units)</v>
      </c>
      <c r="Q243" s="16" t="str">
        <f aca="false">VLOOKUP(G243,Region_Manager_Table,2,FALSE())</f>
        <v>Aditya Rao</v>
      </c>
      <c r="R243" s="16" t="n">
        <f aca="false">INDEX(SLA_Days_Col,MATCH(A243,ShipMode_Col,0))</f>
        <v>4</v>
      </c>
    </row>
    <row r="244" customFormat="false" ht="15" hidden="false" customHeight="false" outlineLevel="0" collapsed="false">
      <c r="A244" s="10" t="s">
        <v>49</v>
      </c>
      <c r="B244" s="10" t="s">
        <v>50</v>
      </c>
      <c r="C244" s="10" t="s">
        <v>51</v>
      </c>
      <c r="D244" s="10" t="s">
        <v>115</v>
      </c>
      <c r="E244" s="10" t="s">
        <v>101</v>
      </c>
      <c r="F244" s="10" t="n">
        <v>60610</v>
      </c>
      <c r="G244" s="10" t="s">
        <v>83</v>
      </c>
      <c r="H244" s="10" t="s">
        <v>55</v>
      </c>
      <c r="I244" s="10" t="s">
        <v>69</v>
      </c>
      <c r="J244" s="13" t="n">
        <v>4.044</v>
      </c>
      <c r="K244" s="10" t="n">
        <v>3</v>
      </c>
      <c r="L244" s="14" t="n">
        <v>0.6</v>
      </c>
      <c r="M244" s="15" t="n">
        <v>-2.8308</v>
      </c>
      <c r="N244" s="10" t="str">
        <f aca="false">IF(M244&lt;0,"Loss",IF(M244&lt;50,"Low Profit",IF(M244&lt;200,"Medium Profit","High Profit")))</f>
        <v>Loss</v>
      </c>
      <c r="O244" s="10" t="str">
        <f aca="false">IF(J244&gt;=500,"High Value","Standard")</f>
        <v>Standard</v>
      </c>
      <c r="P244" s="10" t="str">
        <f aca="false">H244&amp;" &gt; "&amp;I244&amp;" ("&amp;K244&amp;" units)"</f>
        <v>Furniture &gt; Furnishings (3 units)</v>
      </c>
      <c r="Q244" s="10" t="str">
        <f aca="false">VLOOKUP(G244,Region_Manager_Table,2,FALSE())</f>
        <v>Aditya Rao</v>
      </c>
      <c r="R244" s="10" t="n">
        <f aca="false">INDEX(SLA_Days_Col,MATCH(A244,ShipMode_Col,0))</f>
        <v>4</v>
      </c>
    </row>
    <row r="245" customFormat="false" ht="15" hidden="false" customHeight="false" outlineLevel="0" collapsed="false">
      <c r="A245" s="16" t="s">
        <v>49</v>
      </c>
      <c r="B245" s="16" t="s">
        <v>50</v>
      </c>
      <c r="C245" s="16" t="s">
        <v>51</v>
      </c>
      <c r="D245" s="16" t="s">
        <v>115</v>
      </c>
      <c r="E245" s="16" t="s">
        <v>101</v>
      </c>
      <c r="F245" s="16" t="n">
        <v>60610</v>
      </c>
      <c r="G245" s="16" t="s">
        <v>83</v>
      </c>
      <c r="H245" s="16" t="s">
        <v>62</v>
      </c>
      <c r="I245" s="16" t="s">
        <v>70</v>
      </c>
      <c r="J245" s="17" t="n">
        <v>7.408</v>
      </c>
      <c r="K245" s="16" t="n">
        <v>2</v>
      </c>
      <c r="L245" s="18" t="n">
        <v>0.2</v>
      </c>
      <c r="M245" s="19" t="n">
        <v>1.2038</v>
      </c>
      <c r="N245" s="16" t="str">
        <f aca="false">IF(M245&lt;0,"Loss",IF(M245&lt;50,"Low Profit",IF(M245&lt;200,"Medium Profit","High Profit")))</f>
        <v>Low Profit</v>
      </c>
      <c r="O245" s="16" t="str">
        <f aca="false">IF(J245&gt;=500,"High Value","Standard")</f>
        <v>Standard</v>
      </c>
      <c r="P245" s="16" t="str">
        <f aca="false">H245&amp;" &gt; "&amp;I245&amp;" ("&amp;K245&amp;" units)"</f>
        <v>Office Supplies &gt; Art (2 units)</v>
      </c>
      <c r="Q245" s="16" t="str">
        <f aca="false">VLOOKUP(G245,Region_Manager_Table,2,FALSE())</f>
        <v>Aditya Rao</v>
      </c>
      <c r="R245" s="16" t="n">
        <f aca="false">INDEX(SLA_Days_Col,MATCH(A245,ShipMode_Col,0))</f>
        <v>4</v>
      </c>
    </row>
    <row r="246" customFormat="false" ht="15" hidden="false" customHeight="false" outlineLevel="0" collapsed="false">
      <c r="A246" s="10" t="s">
        <v>49</v>
      </c>
      <c r="B246" s="10" t="s">
        <v>80</v>
      </c>
      <c r="C246" s="10" t="s">
        <v>51</v>
      </c>
      <c r="D246" s="10" t="s">
        <v>179</v>
      </c>
      <c r="E246" s="10" t="s">
        <v>104</v>
      </c>
      <c r="F246" s="10" t="n">
        <v>55044</v>
      </c>
      <c r="G246" s="10" t="s">
        <v>83</v>
      </c>
      <c r="H246" s="10" t="s">
        <v>55</v>
      </c>
      <c r="I246" s="10" t="s">
        <v>57</v>
      </c>
      <c r="J246" s="13" t="n">
        <v>2001.86</v>
      </c>
      <c r="K246" s="10" t="n">
        <v>7</v>
      </c>
      <c r="L246" s="14" t="n">
        <v>0</v>
      </c>
      <c r="M246" s="15" t="n">
        <v>580.5394</v>
      </c>
      <c r="N246" s="10" t="str">
        <f aca="false">IF(M246&lt;0,"Loss",IF(M246&lt;50,"Low Profit",IF(M246&lt;200,"Medium Profit","High Profit")))</f>
        <v>High Profit</v>
      </c>
      <c r="O246" s="10" t="str">
        <f aca="false">IF(J246&gt;=500,"High Value","Standard")</f>
        <v>High Value</v>
      </c>
      <c r="P246" s="10" t="str">
        <f aca="false">H246&amp;" &gt; "&amp;I246&amp;" ("&amp;K246&amp;" units)"</f>
        <v>Furniture &gt; Chairs (7 units)</v>
      </c>
      <c r="Q246" s="10" t="str">
        <f aca="false">VLOOKUP(G246,Region_Manager_Table,2,FALSE())</f>
        <v>Aditya Rao</v>
      </c>
      <c r="R246" s="10" t="n">
        <f aca="false">INDEX(SLA_Days_Col,MATCH(A246,ShipMode_Col,0))</f>
        <v>4</v>
      </c>
    </row>
    <row r="247" customFormat="false" ht="15" hidden="false" customHeight="false" outlineLevel="0" collapsed="false">
      <c r="A247" s="16" t="s">
        <v>49</v>
      </c>
      <c r="B247" s="16" t="s">
        <v>80</v>
      </c>
      <c r="C247" s="16" t="s">
        <v>51</v>
      </c>
      <c r="D247" s="16" t="s">
        <v>179</v>
      </c>
      <c r="E247" s="16" t="s">
        <v>104</v>
      </c>
      <c r="F247" s="16" t="n">
        <v>55044</v>
      </c>
      <c r="G247" s="16" t="s">
        <v>83</v>
      </c>
      <c r="H247" s="16" t="s">
        <v>62</v>
      </c>
      <c r="I247" s="16" t="s">
        <v>68</v>
      </c>
      <c r="J247" s="17" t="n">
        <v>166.72</v>
      </c>
      <c r="K247" s="16" t="n">
        <v>2</v>
      </c>
      <c r="L247" s="18" t="n">
        <v>0</v>
      </c>
      <c r="M247" s="19" t="n">
        <v>41.68</v>
      </c>
      <c r="N247" s="16" t="str">
        <f aca="false">IF(M247&lt;0,"Loss",IF(M247&lt;50,"Low Profit",IF(M247&lt;200,"Medium Profit","High Profit")))</f>
        <v>Low Profit</v>
      </c>
      <c r="O247" s="16" t="str">
        <f aca="false">IF(J247&gt;=500,"High Value","Standard")</f>
        <v>Standard</v>
      </c>
      <c r="P247" s="16" t="str">
        <f aca="false">H247&amp;" &gt; "&amp;I247&amp;" ("&amp;K247&amp;" units)"</f>
        <v>Office Supplies &gt; Storage (2 units)</v>
      </c>
      <c r="Q247" s="16" t="str">
        <f aca="false">VLOOKUP(G247,Region_Manager_Table,2,FALSE())</f>
        <v>Aditya Rao</v>
      </c>
      <c r="R247" s="16" t="n">
        <f aca="false">INDEX(SLA_Days_Col,MATCH(A247,ShipMode_Col,0))</f>
        <v>4</v>
      </c>
    </row>
    <row r="248" customFormat="false" ht="15" hidden="false" customHeight="false" outlineLevel="0" collapsed="false">
      <c r="A248" s="10" t="s">
        <v>49</v>
      </c>
      <c r="B248" s="10" t="s">
        <v>80</v>
      </c>
      <c r="C248" s="10" t="s">
        <v>51</v>
      </c>
      <c r="D248" s="10" t="s">
        <v>179</v>
      </c>
      <c r="E248" s="10" t="s">
        <v>104</v>
      </c>
      <c r="F248" s="10" t="n">
        <v>55044</v>
      </c>
      <c r="G248" s="10" t="s">
        <v>83</v>
      </c>
      <c r="H248" s="10" t="s">
        <v>62</v>
      </c>
      <c r="I248" s="10" t="s">
        <v>77</v>
      </c>
      <c r="J248" s="13" t="n">
        <v>47.88</v>
      </c>
      <c r="K248" s="10" t="n">
        <v>6</v>
      </c>
      <c r="L248" s="14" t="n">
        <v>0</v>
      </c>
      <c r="M248" s="15" t="n">
        <v>23.94</v>
      </c>
      <c r="N248" s="10" t="str">
        <f aca="false">IF(M248&lt;0,"Loss",IF(M248&lt;50,"Low Profit",IF(M248&lt;200,"Medium Profit","High Profit")))</f>
        <v>Low Profit</v>
      </c>
      <c r="O248" s="10" t="str">
        <f aca="false">IF(J248&gt;=500,"High Value","Standard")</f>
        <v>Standard</v>
      </c>
      <c r="P248" s="10" t="str">
        <f aca="false">H248&amp;" &gt; "&amp;I248&amp;" ("&amp;K248&amp;" units)"</f>
        <v>Office Supplies &gt; Paper (6 units)</v>
      </c>
      <c r="Q248" s="10" t="str">
        <f aca="false">VLOOKUP(G248,Region_Manager_Table,2,FALSE())</f>
        <v>Aditya Rao</v>
      </c>
      <c r="R248" s="10" t="n">
        <f aca="false">INDEX(SLA_Days_Col,MATCH(A248,ShipMode_Col,0))</f>
        <v>4</v>
      </c>
    </row>
    <row r="249" customFormat="false" ht="15" hidden="false" customHeight="false" outlineLevel="0" collapsed="false">
      <c r="A249" s="16" t="s">
        <v>49</v>
      </c>
      <c r="B249" s="16" t="s">
        <v>80</v>
      </c>
      <c r="C249" s="16" t="s">
        <v>51</v>
      </c>
      <c r="D249" s="16" t="s">
        <v>179</v>
      </c>
      <c r="E249" s="16" t="s">
        <v>104</v>
      </c>
      <c r="F249" s="16" t="n">
        <v>55044</v>
      </c>
      <c r="G249" s="16" t="s">
        <v>83</v>
      </c>
      <c r="H249" s="16" t="s">
        <v>62</v>
      </c>
      <c r="I249" s="16" t="s">
        <v>74</v>
      </c>
      <c r="J249" s="17" t="n">
        <v>1503.25</v>
      </c>
      <c r="K249" s="16" t="n">
        <v>5</v>
      </c>
      <c r="L249" s="18" t="n">
        <v>0</v>
      </c>
      <c r="M249" s="19" t="n">
        <v>496.0725</v>
      </c>
      <c r="N249" s="16" t="str">
        <f aca="false">IF(M249&lt;0,"Loss",IF(M249&lt;50,"Low Profit",IF(M249&lt;200,"Medium Profit","High Profit")))</f>
        <v>High Profit</v>
      </c>
      <c r="O249" s="16" t="str">
        <f aca="false">IF(J249&gt;=500,"High Value","Standard")</f>
        <v>High Value</v>
      </c>
      <c r="P249" s="16" t="str">
        <f aca="false">H249&amp;" &gt; "&amp;I249&amp;" ("&amp;K249&amp;" units)"</f>
        <v>Office Supplies &gt; Appliances (5 units)</v>
      </c>
      <c r="Q249" s="16" t="str">
        <f aca="false">VLOOKUP(G249,Region_Manager_Table,2,FALSE())</f>
        <v>Aditya Rao</v>
      </c>
      <c r="R249" s="16" t="n">
        <f aca="false">INDEX(SLA_Days_Col,MATCH(A249,ShipMode_Col,0))</f>
        <v>4</v>
      </c>
    </row>
    <row r="250" customFormat="false" ht="15" hidden="false" customHeight="false" outlineLevel="0" collapsed="false">
      <c r="A250" s="10" t="s">
        <v>49</v>
      </c>
      <c r="B250" s="10" t="s">
        <v>80</v>
      </c>
      <c r="C250" s="10" t="s">
        <v>51</v>
      </c>
      <c r="D250" s="10" t="s">
        <v>179</v>
      </c>
      <c r="E250" s="10" t="s">
        <v>104</v>
      </c>
      <c r="F250" s="10" t="n">
        <v>55044</v>
      </c>
      <c r="G250" s="10" t="s">
        <v>83</v>
      </c>
      <c r="H250" s="10" t="s">
        <v>62</v>
      </c>
      <c r="I250" s="10" t="s">
        <v>77</v>
      </c>
      <c r="J250" s="13" t="n">
        <v>25.92</v>
      </c>
      <c r="K250" s="10" t="n">
        <v>4</v>
      </c>
      <c r="L250" s="14" t="n">
        <v>0</v>
      </c>
      <c r="M250" s="15" t="n">
        <v>12.4416</v>
      </c>
      <c r="N250" s="10" t="str">
        <f aca="false">IF(M250&lt;0,"Loss",IF(M250&lt;50,"Low Profit",IF(M250&lt;200,"Medium Profit","High Profit")))</f>
        <v>Low Profit</v>
      </c>
      <c r="O250" s="10" t="str">
        <f aca="false">IF(J250&gt;=500,"High Value","Standard")</f>
        <v>Standard</v>
      </c>
      <c r="P250" s="10" t="str">
        <f aca="false">H250&amp;" &gt; "&amp;I250&amp;" ("&amp;K250&amp;" units)"</f>
        <v>Office Supplies &gt; Paper (4 units)</v>
      </c>
      <c r="Q250" s="10" t="str">
        <f aca="false">VLOOKUP(G250,Region_Manager_Table,2,FALSE())</f>
        <v>Aditya Rao</v>
      </c>
      <c r="R250" s="10" t="n">
        <f aca="false">INDEX(SLA_Days_Col,MATCH(A250,ShipMode_Col,0))</f>
        <v>4</v>
      </c>
    </row>
    <row r="251" customFormat="false" ht="15" hidden="false" customHeight="false" outlineLevel="0" collapsed="false">
      <c r="A251" s="16" t="s">
        <v>49</v>
      </c>
      <c r="B251" s="16" t="s">
        <v>50</v>
      </c>
      <c r="C251" s="16" t="s">
        <v>51</v>
      </c>
      <c r="D251" s="16" t="s">
        <v>88</v>
      </c>
      <c r="E251" s="16" t="s">
        <v>60</v>
      </c>
      <c r="F251" s="16" t="n">
        <v>94109</v>
      </c>
      <c r="G251" s="16" t="s">
        <v>61</v>
      </c>
      <c r="H251" s="16" t="s">
        <v>55</v>
      </c>
      <c r="I251" s="16" t="s">
        <v>57</v>
      </c>
      <c r="J251" s="17" t="n">
        <v>321.568</v>
      </c>
      <c r="K251" s="16" t="n">
        <v>2</v>
      </c>
      <c r="L251" s="18" t="n">
        <v>0.2</v>
      </c>
      <c r="M251" s="19" t="n">
        <v>28.1372</v>
      </c>
      <c r="N251" s="16" t="str">
        <f aca="false">IF(M251&lt;0,"Loss",IF(M251&lt;50,"Low Profit",IF(M251&lt;200,"Medium Profit","High Profit")))</f>
        <v>Low Profit</v>
      </c>
      <c r="O251" s="16" t="str">
        <f aca="false">IF(J251&gt;=500,"High Value","Standard")</f>
        <v>Standard</v>
      </c>
      <c r="P251" s="16" t="str">
        <f aca="false">H251&amp;" &gt; "&amp;I251&amp;" ("&amp;K251&amp;" units)"</f>
        <v>Furniture &gt; Chairs (2 units)</v>
      </c>
      <c r="Q251" s="16" t="str">
        <f aca="false">VLOOKUP(G251,Region_Manager_Table,2,FALSE())</f>
        <v>Sana Sheikh</v>
      </c>
      <c r="R251" s="16" t="n">
        <f aca="false">INDEX(SLA_Days_Col,MATCH(A251,ShipMode_Col,0))</f>
        <v>4</v>
      </c>
    </row>
    <row r="252" customFormat="false" ht="15" hidden="false" customHeight="false" outlineLevel="0" collapsed="false">
      <c r="A252" s="10" t="s">
        <v>64</v>
      </c>
      <c r="B252" s="10" t="s">
        <v>50</v>
      </c>
      <c r="C252" s="10" t="s">
        <v>51</v>
      </c>
      <c r="D252" s="10" t="s">
        <v>180</v>
      </c>
      <c r="E252" s="10" t="s">
        <v>60</v>
      </c>
      <c r="F252" s="10" t="n">
        <v>92037</v>
      </c>
      <c r="G252" s="10" t="s">
        <v>61</v>
      </c>
      <c r="H252" s="10" t="s">
        <v>62</v>
      </c>
      <c r="I252" s="10" t="s">
        <v>77</v>
      </c>
      <c r="J252" s="13" t="n">
        <v>7.61</v>
      </c>
      <c r="K252" s="10" t="n">
        <v>1</v>
      </c>
      <c r="L252" s="14" t="n">
        <v>0</v>
      </c>
      <c r="M252" s="15" t="n">
        <v>3.5767</v>
      </c>
      <c r="N252" s="10" t="str">
        <f aca="false">IF(M252&lt;0,"Loss",IF(M252&lt;50,"Low Profit",IF(M252&lt;200,"Medium Profit","High Profit")))</f>
        <v>Low Profit</v>
      </c>
      <c r="O252" s="10" t="str">
        <f aca="false">IF(J252&gt;=500,"High Value","Standard")</f>
        <v>Standard</v>
      </c>
      <c r="P252" s="10" t="str">
        <f aca="false">H252&amp;" &gt; "&amp;I252&amp;" ("&amp;K252&amp;" units)"</f>
        <v>Office Supplies &gt; Paper (1 units)</v>
      </c>
      <c r="Q252" s="10" t="str">
        <f aca="false">VLOOKUP(G252,Region_Manager_Table,2,FALSE())</f>
        <v>Sana Sheikh</v>
      </c>
      <c r="R252" s="10" t="n">
        <f aca="false">INDEX(SLA_Days_Col,MATCH(A252,ShipMode_Col,0))</f>
        <v>6</v>
      </c>
    </row>
    <row r="253" customFormat="false" ht="15" hidden="false" customHeight="false" outlineLevel="0" collapsed="false">
      <c r="A253" s="16" t="s">
        <v>64</v>
      </c>
      <c r="B253" s="16" t="s">
        <v>50</v>
      </c>
      <c r="C253" s="16" t="s">
        <v>51</v>
      </c>
      <c r="D253" s="16" t="s">
        <v>180</v>
      </c>
      <c r="E253" s="16" t="s">
        <v>60</v>
      </c>
      <c r="F253" s="16" t="n">
        <v>92037</v>
      </c>
      <c r="G253" s="16" t="s">
        <v>61</v>
      </c>
      <c r="H253" s="16" t="s">
        <v>71</v>
      </c>
      <c r="I253" s="16" t="s">
        <v>95</v>
      </c>
      <c r="J253" s="17" t="n">
        <v>3347.37</v>
      </c>
      <c r="K253" s="16" t="n">
        <v>13</v>
      </c>
      <c r="L253" s="18" t="n">
        <v>0</v>
      </c>
      <c r="M253" s="19" t="n">
        <v>636.0003</v>
      </c>
      <c r="N253" s="16" t="str">
        <f aca="false">IF(M253&lt;0,"Loss",IF(M253&lt;50,"Low Profit",IF(M253&lt;200,"Medium Profit","High Profit")))</f>
        <v>High Profit</v>
      </c>
      <c r="O253" s="16" t="str">
        <f aca="false">IF(J253&gt;=500,"High Value","Standard")</f>
        <v>High Value</v>
      </c>
      <c r="P253" s="16" t="str">
        <f aca="false">H253&amp;" &gt; "&amp;I253&amp;" ("&amp;K253&amp;" units)"</f>
        <v>Technology &gt; Accessories (13 units)</v>
      </c>
      <c r="Q253" s="16" t="str">
        <f aca="false">VLOOKUP(G253,Region_Manager_Table,2,FALSE())</f>
        <v>Sana Sheikh</v>
      </c>
      <c r="R253" s="16" t="n">
        <f aca="false">INDEX(SLA_Days_Col,MATCH(A253,ShipMode_Col,0))</f>
        <v>6</v>
      </c>
    </row>
    <row r="254" customFormat="false" ht="15" hidden="false" customHeight="false" outlineLevel="0" collapsed="false">
      <c r="A254" s="10" t="s">
        <v>98</v>
      </c>
      <c r="B254" s="10" t="s">
        <v>50</v>
      </c>
      <c r="C254" s="10" t="s">
        <v>51</v>
      </c>
      <c r="D254" s="10" t="s">
        <v>111</v>
      </c>
      <c r="E254" s="10" t="s">
        <v>112</v>
      </c>
      <c r="F254" s="10" t="n">
        <v>10024</v>
      </c>
      <c r="G254" s="10" t="s">
        <v>93</v>
      </c>
      <c r="H254" s="10" t="s">
        <v>62</v>
      </c>
      <c r="I254" s="10" t="s">
        <v>68</v>
      </c>
      <c r="J254" s="13" t="n">
        <v>80.58</v>
      </c>
      <c r="K254" s="10" t="n">
        <v>6</v>
      </c>
      <c r="L254" s="14" t="n">
        <v>0</v>
      </c>
      <c r="M254" s="15" t="n">
        <v>22.5624</v>
      </c>
      <c r="N254" s="10" t="str">
        <f aca="false">IF(M254&lt;0,"Loss",IF(M254&lt;50,"Low Profit",IF(M254&lt;200,"Medium Profit","High Profit")))</f>
        <v>Low Profit</v>
      </c>
      <c r="O254" s="10" t="str">
        <f aca="false">IF(J254&gt;=500,"High Value","Standard")</f>
        <v>Standard</v>
      </c>
      <c r="P254" s="10" t="str">
        <f aca="false">H254&amp;" &gt; "&amp;I254&amp;" ("&amp;K254&amp;" units)"</f>
        <v>Office Supplies &gt; Storage (6 units)</v>
      </c>
      <c r="Q254" s="10" t="str">
        <f aca="false">VLOOKUP(G254,Region_Manager_Table,2,FALSE())</f>
        <v>Priya Menon</v>
      </c>
      <c r="R254" s="10" t="n">
        <f aca="false">INDEX(SLA_Days_Col,MATCH(A254,ShipMode_Col,0))</f>
        <v>2</v>
      </c>
    </row>
    <row r="255" customFormat="false" ht="15" hidden="false" customHeight="false" outlineLevel="0" collapsed="false">
      <c r="A255" s="16" t="s">
        <v>98</v>
      </c>
      <c r="B255" s="16" t="s">
        <v>50</v>
      </c>
      <c r="C255" s="16" t="s">
        <v>51</v>
      </c>
      <c r="D255" s="16" t="s">
        <v>111</v>
      </c>
      <c r="E255" s="16" t="s">
        <v>112</v>
      </c>
      <c r="F255" s="16" t="n">
        <v>10024</v>
      </c>
      <c r="G255" s="16" t="s">
        <v>93</v>
      </c>
      <c r="H255" s="16" t="s">
        <v>62</v>
      </c>
      <c r="I255" s="16" t="s">
        <v>96</v>
      </c>
      <c r="J255" s="17" t="n">
        <v>361.92</v>
      </c>
      <c r="K255" s="16" t="n">
        <v>4</v>
      </c>
      <c r="L255" s="18" t="n">
        <v>0</v>
      </c>
      <c r="M255" s="19" t="n">
        <v>162.864</v>
      </c>
      <c r="N255" s="16" t="str">
        <f aca="false">IF(M255&lt;0,"Loss",IF(M255&lt;50,"Low Profit",IF(M255&lt;200,"Medium Profit","High Profit")))</f>
        <v>Medium Profit</v>
      </c>
      <c r="O255" s="16" t="str">
        <f aca="false">IF(J255&gt;=500,"High Value","Standard")</f>
        <v>Standard</v>
      </c>
      <c r="P255" s="16" t="str">
        <f aca="false">H255&amp;" &gt; "&amp;I255&amp;" ("&amp;K255&amp;" units)"</f>
        <v>Office Supplies &gt; Envelopes (4 units)</v>
      </c>
      <c r="Q255" s="16" t="str">
        <f aca="false">VLOOKUP(G255,Region_Manager_Table,2,FALSE())</f>
        <v>Priya Menon</v>
      </c>
      <c r="R255" s="16" t="n">
        <f aca="false">INDEX(SLA_Days_Col,MATCH(A255,ShipMode_Col,0))</f>
        <v>2</v>
      </c>
    </row>
    <row r="256" customFormat="false" ht="15" hidden="false" customHeight="false" outlineLevel="0" collapsed="false">
      <c r="A256" s="10" t="s">
        <v>64</v>
      </c>
      <c r="B256" s="10" t="s">
        <v>58</v>
      </c>
      <c r="C256" s="10" t="s">
        <v>51</v>
      </c>
      <c r="D256" s="10" t="s">
        <v>115</v>
      </c>
      <c r="E256" s="10" t="s">
        <v>101</v>
      </c>
      <c r="F256" s="10" t="n">
        <v>60623</v>
      </c>
      <c r="G256" s="10" t="s">
        <v>83</v>
      </c>
      <c r="H256" s="10" t="s">
        <v>55</v>
      </c>
      <c r="I256" s="10" t="s">
        <v>69</v>
      </c>
      <c r="J256" s="13" t="n">
        <v>12.132</v>
      </c>
      <c r="K256" s="10" t="n">
        <v>9</v>
      </c>
      <c r="L256" s="14" t="n">
        <v>0.6</v>
      </c>
      <c r="M256" s="15" t="n">
        <v>-8.4924</v>
      </c>
      <c r="N256" s="10" t="str">
        <f aca="false">IF(M256&lt;0,"Loss",IF(M256&lt;50,"Low Profit",IF(M256&lt;200,"Medium Profit","High Profit")))</f>
        <v>Loss</v>
      </c>
      <c r="O256" s="10" t="str">
        <f aca="false">IF(J256&gt;=500,"High Value","Standard")</f>
        <v>Standard</v>
      </c>
      <c r="P256" s="10" t="str">
        <f aca="false">H256&amp;" &gt; "&amp;I256&amp;" ("&amp;K256&amp;" units)"</f>
        <v>Furniture &gt; Furnishings (9 units)</v>
      </c>
      <c r="Q256" s="10" t="str">
        <f aca="false">VLOOKUP(G256,Region_Manager_Table,2,FALSE())</f>
        <v>Aditya Rao</v>
      </c>
      <c r="R256" s="10" t="n">
        <f aca="false">INDEX(SLA_Days_Col,MATCH(A256,ShipMode_Col,0))</f>
        <v>6</v>
      </c>
    </row>
    <row r="257" customFormat="false" ht="15" hidden="false" customHeight="false" outlineLevel="0" collapsed="false">
      <c r="A257" s="16" t="s">
        <v>64</v>
      </c>
      <c r="B257" s="16" t="s">
        <v>58</v>
      </c>
      <c r="C257" s="16" t="s">
        <v>51</v>
      </c>
      <c r="D257" s="16" t="s">
        <v>115</v>
      </c>
      <c r="E257" s="16" t="s">
        <v>101</v>
      </c>
      <c r="F257" s="16" t="n">
        <v>60623</v>
      </c>
      <c r="G257" s="16" t="s">
        <v>83</v>
      </c>
      <c r="H257" s="16" t="s">
        <v>62</v>
      </c>
      <c r="I257" s="16" t="s">
        <v>68</v>
      </c>
      <c r="J257" s="17" t="n">
        <v>82.368</v>
      </c>
      <c r="K257" s="16" t="n">
        <v>2</v>
      </c>
      <c r="L257" s="18" t="n">
        <v>0.2</v>
      </c>
      <c r="M257" s="19" t="n">
        <v>-19.5624</v>
      </c>
      <c r="N257" s="16" t="str">
        <f aca="false">IF(M257&lt;0,"Loss",IF(M257&lt;50,"Low Profit",IF(M257&lt;200,"Medium Profit","High Profit")))</f>
        <v>Loss</v>
      </c>
      <c r="O257" s="16" t="str">
        <f aca="false">IF(J257&gt;=500,"High Value","Standard")</f>
        <v>Standard</v>
      </c>
      <c r="P257" s="16" t="str">
        <f aca="false">H257&amp;" &gt; "&amp;I257&amp;" ("&amp;K257&amp;" units)"</f>
        <v>Office Supplies &gt; Storage (2 units)</v>
      </c>
      <c r="Q257" s="16" t="str">
        <f aca="false">VLOOKUP(G257,Region_Manager_Table,2,FALSE())</f>
        <v>Aditya Rao</v>
      </c>
      <c r="R257" s="16" t="n">
        <f aca="false">INDEX(SLA_Days_Col,MATCH(A257,ShipMode_Col,0))</f>
        <v>6</v>
      </c>
    </row>
    <row r="258" customFormat="false" ht="15" hidden="false" customHeight="false" outlineLevel="0" collapsed="false">
      <c r="A258" s="10" t="s">
        <v>64</v>
      </c>
      <c r="B258" s="10" t="s">
        <v>58</v>
      </c>
      <c r="C258" s="10" t="s">
        <v>51</v>
      </c>
      <c r="D258" s="10" t="s">
        <v>115</v>
      </c>
      <c r="E258" s="10" t="s">
        <v>101</v>
      </c>
      <c r="F258" s="10" t="n">
        <v>60623</v>
      </c>
      <c r="G258" s="10" t="s">
        <v>83</v>
      </c>
      <c r="H258" s="10" t="s">
        <v>62</v>
      </c>
      <c r="I258" s="10" t="s">
        <v>68</v>
      </c>
      <c r="J258" s="13" t="n">
        <v>53.92</v>
      </c>
      <c r="K258" s="10" t="n">
        <v>5</v>
      </c>
      <c r="L258" s="14" t="n">
        <v>0.2</v>
      </c>
      <c r="M258" s="15" t="n">
        <v>4.044</v>
      </c>
      <c r="N258" s="10" t="str">
        <f aca="false">IF(M258&lt;0,"Loss",IF(M258&lt;50,"Low Profit",IF(M258&lt;200,"Medium Profit","High Profit")))</f>
        <v>Low Profit</v>
      </c>
      <c r="O258" s="10" t="str">
        <f aca="false">IF(J258&gt;=500,"High Value","Standard")</f>
        <v>Standard</v>
      </c>
      <c r="P258" s="10" t="str">
        <f aca="false">H258&amp;" &gt; "&amp;I258&amp;" ("&amp;K258&amp;" units)"</f>
        <v>Office Supplies &gt; Storage (5 units)</v>
      </c>
      <c r="Q258" s="10" t="str">
        <f aca="false">VLOOKUP(G258,Region_Manager_Table,2,FALSE())</f>
        <v>Aditya Rao</v>
      </c>
      <c r="R258" s="10" t="n">
        <f aca="false">INDEX(SLA_Days_Col,MATCH(A258,ShipMode_Col,0))</f>
        <v>6</v>
      </c>
    </row>
    <row r="259" customFormat="false" ht="15" hidden="false" customHeight="false" outlineLevel="0" collapsed="false">
      <c r="A259" s="16" t="s">
        <v>64</v>
      </c>
      <c r="B259" s="16" t="s">
        <v>58</v>
      </c>
      <c r="C259" s="16" t="s">
        <v>51</v>
      </c>
      <c r="D259" s="16" t="s">
        <v>115</v>
      </c>
      <c r="E259" s="16" t="s">
        <v>101</v>
      </c>
      <c r="F259" s="16" t="n">
        <v>60623</v>
      </c>
      <c r="G259" s="16" t="s">
        <v>83</v>
      </c>
      <c r="H259" s="16" t="s">
        <v>71</v>
      </c>
      <c r="I259" s="16" t="s">
        <v>72</v>
      </c>
      <c r="J259" s="17" t="n">
        <v>647.904</v>
      </c>
      <c r="K259" s="16" t="n">
        <v>6</v>
      </c>
      <c r="L259" s="18" t="n">
        <v>0.2</v>
      </c>
      <c r="M259" s="19" t="n">
        <v>56.6916</v>
      </c>
      <c r="N259" s="16" t="str">
        <f aca="false">IF(M259&lt;0,"Loss",IF(M259&lt;50,"Low Profit",IF(M259&lt;200,"Medium Profit","High Profit")))</f>
        <v>Medium Profit</v>
      </c>
      <c r="O259" s="16" t="str">
        <f aca="false">IF(J259&gt;=500,"High Value","Standard")</f>
        <v>High Value</v>
      </c>
      <c r="P259" s="16" t="str">
        <f aca="false">H259&amp;" &gt; "&amp;I259&amp;" ("&amp;K259&amp;" units)"</f>
        <v>Technology &gt; Phones (6 units)</v>
      </c>
      <c r="Q259" s="16" t="str">
        <f aca="false">VLOOKUP(G259,Region_Manager_Table,2,FALSE())</f>
        <v>Aditya Rao</v>
      </c>
      <c r="R259" s="16" t="n">
        <f aca="false">INDEX(SLA_Days_Col,MATCH(A259,ShipMode_Col,0))</f>
        <v>6</v>
      </c>
    </row>
    <row r="260" customFormat="false" ht="15" hidden="false" customHeight="false" outlineLevel="0" collapsed="false">
      <c r="A260" s="10" t="s">
        <v>49</v>
      </c>
      <c r="B260" s="10" t="s">
        <v>50</v>
      </c>
      <c r="C260" s="10" t="s">
        <v>51</v>
      </c>
      <c r="D260" s="10" t="s">
        <v>111</v>
      </c>
      <c r="E260" s="10" t="s">
        <v>112</v>
      </c>
      <c r="F260" s="10" t="n">
        <v>10009</v>
      </c>
      <c r="G260" s="10" t="s">
        <v>93</v>
      </c>
      <c r="H260" s="10" t="s">
        <v>71</v>
      </c>
      <c r="I260" s="10" t="s">
        <v>95</v>
      </c>
      <c r="J260" s="13" t="n">
        <v>20.37</v>
      </c>
      <c r="K260" s="10" t="n">
        <v>3</v>
      </c>
      <c r="L260" s="14" t="n">
        <v>0</v>
      </c>
      <c r="M260" s="15" t="n">
        <v>6.9258</v>
      </c>
      <c r="N260" s="10" t="str">
        <f aca="false">IF(M260&lt;0,"Loss",IF(M260&lt;50,"Low Profit",IF(M260&lt;200,"Medium Profit","High Profit")))</f>
        <v>Low Profit</v>
      </c>
      <c r="O260" s="10" t="str">
        <f aca="false">IF(J260&gt;=500,"High Value","Standard")</f>
        <v>Standard</v>
      </c>
      <c r="P260" s="10" t="str">
        <f aca="false">H260&amp;" &gt; "&amp;I260&amp;" ("&amp;K260&amp;" units)"</f>
        <v>Technology &gt; Accessories (3 units)</v>
      </c>
      <c r="Q260" s="10" t="str">
        <f aca="false">VLOOKUP(G260,Region_Manager_Table,2,FALSE())</f>
        <v>Priya Menon</v>
      </c>
      <c r="R260" s="10" t="n">
        <f aca="false">INDEX(SLA_Days_Col,MATCH(A260,ShipMode_Col,0))</f>
        <v>4</v>
      </c>
    </row>
    <row r="261" customFormat="false" ht="15" hidden="false" customHeight="false" outlineLevel="0" collapsed="false">
      <c r="A261" s="16" t="s">
        <v>49</v>
      </c>
      <c r="B261" s="16" t="s">
        <v>50</v>
      </c>
      <c r="C261" s="16" t="s">
        <v>51</v>
      </c>
      <c r="D261" s="16" t="s">
        <v>111</v>
      </c>
      <c r="E261" s="16" t="s">
        <v>112</v>
      </c>
      <c r="F261" s="16" t="n">
        <v>10009</v>
      </c>
      <c r="G261" s="16" t="s">
        <v>93</v>
      </c>
      <c r="H261" s="16" t="s">
        <v>62</v>
      </c>
      <c r="I261" s="16" t="s">
        <v>68</v>
      </c>
      <c r="J261" s="17" t="n">
        <v>221.55</v>
      </c>
      <c r="K261" s="16" t="n">
        <v>3</v>
      </c>
      <c r="L261" s="18" t="n">
        <v>0</v>
      </c>
      <c r="M261" s="19" t="n">
        <v>6.6465</v>
      </c>
      <c r="N261" s="16" t="str">
        <f aca="false">IF(M261&lt;0,"Loss",IF(M261&lt;50,"Low Profit",IF(M261&lt;200,"Medium Profit","High Profit")))</f>
        <v>Low Profit</v>
      </c>
      <c r="O261" s="16" t="str">
        <f aca="false">IF(J261&gt;=500,"High Value","Standard")</f>
        <v>Standard</v>
      </c>
      <c r="P261" s="16" t="str">
        <f aca="false">H261&amp;" &gt; "&amp;I261&amp;" ("&amp;K261&amp;" units)"</f>
        <v>Office Supplies &gt; Storage (3 units)</v>
      </c>
      <c r="Q261" s="16" t="str">
        <f aca="false">VLOOKUP(G261,Region_Manager_Table,2,FALSE())</f>
        <v>Priya Menon</v>
      </c>
      <c r="R261" s="16" t="n">
        <f aca="false">INDEX(SLA_Days_Col,MATCH(A261,ShipMode_Col,0))</f>
        <v>4</v>
      </c>
    </row>
    <row r="262" customFormat="false" ht="15" hidden="false" customHeight="false" outlineLevel="0" collapsed="false">
      <c r="A262" s="10" t="s">
        <v>49</v>
      </c>
      <c r="B262" s="10" t="s">
        <v>50</v>
      </c>
      <c r="C262" s="10" t="s">
        <v>51</v>
      </c>
      <c r="D262" s="10" t="s">
        <v>111</v>
      </c>
      <c r="E262" s="10" t="s">
        <v>112</v>
      </c>
      <c r="F262" s="10" t="n">
        <v>10009</v>
      </c>
      <c r="G262" s="10" t="s">
        <v>93</v>
      </c>
      <c r="H262" s="10" t="s">
        <v>62</v>
      </c>
      <c r="I262" s="10" t="s">
        <v>73</v>
      </c>
      <c r="J262" s="13" t="n">
        <v>17.52</v>
      </c>
      <c r="K262" s="10" t="n">
        <v>5</v>
      </c>
      <c r="L262" s="14" t="n">
        <v>0.2</v>
      </c>
      <c r="M262" s="15" t="n">
        <v>6.132</v>
      </c>
      <c r="N262" s="10" t="str">
        <f aca="false">IF(M262&lt;0,"Loss",IF(M262&lt;50,"Low Profit",IF(M262&lt;200,"Medium Profit","High Profit")))</f>
        <v>Low Profit</v>
      </c>
      <c r="O262" s="10" t="str">
        <f aca="false">IF(J262&gt;=500,"High Value","Standard")</f>
        <v>Standard</v>
      </c>
      <c r="P262" s="10" t="str">
        <f aca="false">H262&amp;" &gt; "&amp;I262&amp;" ("&amp;K262&amp;" units)"</f>
        <v>Office Supplies &gt; Binders (5 units)</v>
      </c>
      <c r="Q262" s="10" t="str">
        <f aca="false">VLOOKUP(G262,Region_Manager_Table,2,FALSE())</f>
        <v>Priya Menon</v>
      </c>
      <c r="R262" s="10" t="n">
        <f aca="false">INDEX(SLA_Days_Col,MATCH(A262,ShipMode_Col,0))</f>
        <v>4</v>
      </c>
    </row>
    <row r="263" customFormat="false" ht="15" hidden="false" customHeight="false" outlineLevel="0" collapsed="false">
      <c r="A263" s="16" t="s">
        <v>64</v>
      </c>
      <c r="B263" s="16" t="s">
        <v>58</v>
      </c>
      <c r="C263" s="16" t="s">
        <v>51</v>
      </c>
      <c r="D263" s="16" t="s">
        <v>149</v>
      </c>
      <c r="E263" s="16" t="s">
        <v>82</v>
      </c>
      <c r="F263" s="16" t="n">
        <v>77506</v>
      </c>
      <c r="G263" s="16" t="s">
        <v>83</v>
      </c>
      <c r="H263" s="16" t="s">
        <v>62</v>
      </c>
      <c r="I263" s="16" t="s">
        <v>74</v>
      </c>
      <c r="J263" s="17" t="n">
        <v>1.624</v>
      </c>
      <c r="K263" s="16" t="n">
        <v>2</v>
      </c>
      <c r="L263" s="18" t="n">
        <v>0.8</v>
      </c>
      <c r="M263" s="19" t="n">
        <v>-4.466</v>
      </c>
      <c r="N263" s="16" t="str">
        <f aca="false">IF(M263&lt;0,"Loss",IF(M263&lt;50,"Low Profit",IF(M263&lt;200,"Medium Profit","High Profit")))</f>
        <v>Loss</v>
      </c>
      <c r="O263" s="16" t="str">
        <f aca="false">IF(J263&gt;=500,"High Value","Standard")</f>
        <v>Standard</v>
      </c>
      <c r="P263" s="16" t="str">
        <f aca="false">H263&amp;" &gt; "&amp;I263&amp;" ("&amp;K263&amp;" units)"</f>
        <v>Office Supplies &gt; Appliances (2 units)</v>
      </c>
      <c r="Q263" s="16" t="str">
        <f aca="false">VLOOKUP(G263,Region_Manager_Table,2,FALSE())</f>
        <v>Aditya Rao</v>
      </c>
      <c r="R263" s="16" t="n">
        <f aca="false">INDEX(SLA_Days_Col,MATCH(A263,ShipMode_Col,0))</f>
        <v>6</v>
      </c>
    </row>
    <row r="264" customFormat="false" ht="15" hidden="false" customHeight="false" outlineLevel="0" collapsed="false">
      <c r="A264" s="10" t="s">
        <v>49</v>
      </c>
      <c r="B264" s="10" t="s">
        <v>58</v>
      </c>
      <c r="C264" s="10" t="s">
        <v>51</v>
      </c>
      <c r="D264" s="10" t="s">
        <v>97</v>
      </c>
      <c r="E264" s="10" t="s">
        <v>82</v>
      </c>
      <c r="F264" s="10" t="n">
        <v>77036</v>
      </c>
      <c r="G264" s="10" t="s">
        <v>83</v>
      </c>
      <c r="H264" s="10" t="s">
        <v>71</v>
      </c>
      <c r="I264" s="10" t="s">
        <v>159</v>
      </c>
      <c r="J264" s="13" t="n">
        <v>3059.982</v>
      </c>
      <c r="K264" s="10" t="n">
        <v>3</v>
      </c>
      <c r="L264" s="14" t="n">
        <v>0.4</v>
      </c>
      <c r="M264" s="15" t="n">
        <v>-509.997</v>
      </c>
      <c r="N264" s="10" t="str">
        <f aca="false">IF(M264&lt;0,"Loss",IF(M264&lt;50,"Low Profit",IF(M264&lt;200,"Medium Profit","High Profit")))</f>
        <v>Loss</v>
      </c>
      <c r="O264" s="10" t="str">
        <f aca="false">IF(J264&gt;=500,"High Value","Standard")</f>
        <v>High Value</v>
      </c>
      <c r="P264" s="10" t="str">
        <f aca="false">H264&amp;" &gt; "&amp;I264&amp;" ("&amp;K264&amp;" units)"</f>
        <v>Technology &gt; Machines (3 units)</v>
      </c>
      <c r="Q264" s="10" t="str">
        <f aca="false">VLOOKUP(G264,Region_Manager_Table,2,FALSE())</f>
        <v>Aditya Rao</v>
      </c>
      <c r="R264" s="10" t="n">
        <f aca="false">INDEX(SLA_Days_Col,MATCH(A264,ShipMode_Col,0))</f>
        <v>4</v>
      </c>
    </row>
    <row r="265" customFormat="false" ht="15" hidden="false" customHeight="false" outlineLevel="0" collapsed="false">
      <c r="A265" s="16" t="s">
        <v>49</v>
      </c>
      <c r="B265" s="16" t="s">
        <v>58</v>
      </c>
      <c r="C265" s="16" t="s">
        <v>51</v>
      </c>
      <c r="D265" s="16" t="s">
        <v>97</v>
      </c>
      <c r="E265" s="16" t="s">
        <v>82</v>
      </c>
      <c r="F265" s="16" t="n">
        <v>77036</v>
      </c>
      <c r="G265" s="16" t="s">
        <v>83</v>
      </c>
      <c r="H265" s="16" t="s">
        <v>71</v>
      </c>
      <c r="I265" s="16" t="s">
        <v>159</v>
      </c>
      <c r="J265" s="17" t="n">
        <v>2519.958</v>
      </c>
      <c r="K265" s="16" t="n">
        <v>7</v>
      </c>
      <c r="L265" s="18" t="n">
        <v>0.4</v>
      </c>
      <c r="M265" s="19" t="n">
        <v>-251.9958</v>
      </c>
      <c r="N265" s="16" t="str">
        <f aca="false">IF(M265&lt;0,"Loss",IF(M265&lt;50,"Low Profit",IF(M265&lt;200,"Medium Profit","High Profit")))</f>
        <v>Loss</v>
      </c>
      <c r="O265" s="16" t="str">
        <f aca="false">IF(J265&gt;=500,"High Value","Standard")</f>
        <v>High Value</v>
      </c>
      <c r="P265" s="16" t="str">
        <f aca="false">H265&amp;" &gt; "&amp;I265&amp;" ("&amp;K265&amp;" units)"</f>
        <v>Technology &gt; Machines (7 units)</v>
      </c>
      <c r="Q265" s="16" t="str">
        <f aca="false">VLOOKUP(G265,Region_Manager_Table,2,FALSE())</f>
        <v>Aditya Rao</v>
      </c>
      <c r="R265" s="16" t="n">
        <f aca="false">INDEX(SLA_Days_Col,MATCH(A265,ShipMode_Col,0))</f>
        <v>4</v>
      </c>
    </row>
    <row r="266" customFormat="false" ht="15" hidden="false" customHeight="false" outlineLevel="0" collapsed="false">
      <c r="A266" s="10" t="s">
        <v>64</v>
      </c>
      <c r="B266" s="10" t="s">
        <v>50</v>
      </c>
      <c r="C266" s="10" t="s">
        <v>51</v>
      </c>
      <c r="D266" s="10" t="s">
        <v>115</v>
      </c>
      <c r="E266" s="10" t="s">
        <v>101</v>
      </c>
      <c r="F266" s="10" t="n">
        <v>60610</v>
      </c>
      <c r="G266" s="10" t="s">
        <v>83</v>
      </c>
      <c r="H266" s="10" t="s">
        <v>71</v>
      </c>
      <c r="I266" s="10" t="s">
        <v>72</v>
      </c>
      <c r="J266" s="13" t="n">
        <v>328.224</v>
      </c>
      <c r="K266" s="10" t="n">
        <v>4</v>
      </c>
      <c r="L266" s="14" t="n">
        <v>0.2</v>
      </c>
      <c r="M266" s="15" t="n">
        <v>28.7196</v>
      </c>
      <c r="N266" s="10" t="str">
        <f aca="false">IF(M266&lt;0,"Loss",IF(M266&lt;50,"Low Profit",IF(M266&lt;200,"Medium Profit","High Profit")))</f>
        <v>Low Profit</v>
      </c>
      <c r="O266" s="10" t="str">
        <f aca="false">IF(J266&gt;=500,"High Value","Standard")</f>
        <v>Standard</v>
      </c>
      <c r="P266" s="10" t="str">
        <f aca="false">H266&amp;" &gt; "&amp;I266&amp;" ("&amp;K266&amp;" units)"</f>
        <v>Technology &gt; Phones (4 units)</v>
      </c>
      <c r="Q266" s="10" t="str">
        <f aca="false">VLOOKUP(G266,Region_Manager_Table,2,FALSE())</f>
        <v>Aditya Rao</v>
      </c>
      <c r="R266" s="10" t="n">
        <f aca="false">INDEX(SLA_Days_Col,MATCH(A266,ShipMode_Col,0))</f>
        <v>6</v>
      </c>
    </row>
    <row r="267" customFormat="false" ht="15" hidden="false" customHeight="false" outlineLevel="0" collapsed="false">
      <c r="A267" s="16" t="s">
        <v>64</v>
      </c>
      <c r="B267" s="16" t="s">
        <v>50</v>
      </c>
      <c r="C267" s="16" t="s">
        <v>51</v>
      </c>
      <c r="D267" s="16" t="s">
        <v>181</v>
      </c>
      <c r="E267" s="16" t="s">
        <v>60</v>
      </c>
      <c r="F267" s="16" t="n">
        <v>94513</v>
      </c>
      <c r="G267" s="16" t="s">
        <v>61</v>
      </c>
      <c r="H267" s="16" t="s">
        <v>71</v>
      </c>
      <c r="I267" s="16" t="s">
        <v>95</v>
      </c>
      <c r="J267" s="17" t="n">
        <v>79.9</v>
      </c>
      <c r="K267" s="16" t="n">
        <v>2</v>
      </c>
      <c r="L267" s="18" t="n">
        <v>0</v>
      </c>
      <c r="M267" s="19" t="n">
        <v>35.156</v>
      </c>
      <c r="N267" s="16" t="str">
        <f aca="false">IF(M267&lt;0,"Loss",IF(M267&lt;50,"Low Profit",IF(M267&lt;200,"Medium Profit","High Profit")))</f>
        <v>Low Profit</v>
      </c>
      <c r="O267" s="16" t="str">
        <f aca="false">IF(J267&gt;=500,"High Value","Standard")</f>
        <v>Standard</v>
      </c>
      <c r="P267" s="16" t="str">
        <f aca="false">H267&amp;" &gt; "&amp;I267&amp;" ("&amp;K267&amp;" units)"</f>
        <v>Technology &gt; Accessories (2 units)</v>
      </c>
      <c r="Q267" s="16" t="str">
        <f aca="false">VLOOKUP(G267,Region_Manager_Table,2,FALSE())</f>
        <v>Sana Sheikh</v>
      </c>
      <c r="R267" s="16" t="n">
        <f aca="false">INDEX(SLA_Days_Col,MATCH(A267,ShipMode_Col,0))</f>
        <v>6</v>
      </c>
    </row>
    <row r="268" customFormat="false" ht="15" hidden="false" customHeight="false" outlineLevel="0" collapsed="false">
      <c r="A268" s="10" t="s">
        <v>64</v>
      </c>
      <c r="B268" s="10" t="s">
        <v>58</v>
      </c>
      <c r="C268" s="10" t="s">
        <v>51</v>
      </c>
      <c r="D268" s="10" t="s">
        <v>182</v>
      </c>
      <c r="E268" s="10" t="s">
        <v>76</v>
      </c>
      <c r="F268" s="10" t="n">
        <v>27514</v>
      </c>
      <c r="G268" s="10" t="s">
        <v>54</v>
      </c>
      <c r="H268" s="10" t="s">
        <v>62</v>
      </c>
      <c r="I268" s="10" t="s">
        <v>70</v>
      </c>
      <c r="J268" s="13" t="n">
        <v>14.016</v>
      </c>
      <c r="K268" s="10" t="n">
        <v>3</v>
      </c>
      <c r="L268" s="14" t="n">
        <v>0.2</v>
      </c>
      <c r="M268" s="15" t="n">
        <v>4.7304</v>
      </c>
      <c r="N268" s="10" t="str">
        <f aca="false">IF(M268&lt;0,"Loss",IF(M268&lt;50,"Low Profit",IF(M268&lt;200,"Medium Profit","High Profit")))</f>
        <v>Low Profit</v>
      </c>
      <c r="O268" s="10" t="str">
        <f aca="false">IF(J268&gt;=500,"High Value","Standard")</f>
        <v>Standard</v>
      </c>
      <c r="P268" s="10" t="str">
        <f aca="false">H268&amp;" &gt; "&amp;I268&amp;" ("&amp;K268&amp;" units)"</f>
        <v>Office Supplies &gt; Art (3 units)</v>
      </c>
      <c r="Q268" s="10" t="str">
        <f aca="false">VLOOKUP(G268,Region_Manager_Table,2,FALSE())</f>
        <v>Karthik Iyer</v>
      </c>
      <c r="R268" s="10" t="n">
        <f aca="false">INDEX(SLA_Days_Col,MATCH(A268,ShipMode_Col,0))</f>
        <v>6</v>
      </c>
    </row>
    <row r="269" customFormat="false" ht="15" hidden="false" customHeight="false" outlineLevel="0" collapsed="false">
      <c r="A269" s="16" t="s">
        <v>64</v>
      </c>
      <c r="B269" s="16" t="s">
        <v>50</v>
      </c>
      <c r="C269" s="16" t="s">
        <v>51</v>
      </c>
      <c r="D269" s="16" t="s">
        <v>183</v>
      </c>
      <c r="E269" s="16" t="s">
        <v>168</v>
      </c>
      <c r="F269" s="16" t="n">
        <v>7960</v>
      </c>
      <c r="G269" s="16" t="s">
        <v>93</v>
      </c>
      <c r="H269" s="16" t="s">
        <v>62</v>
      </c>
      <c r="I269" s="16" t="s">
        <v>113</v>
      </c>
      <c r="J269" s="17" t="n">
        <v>7.56</v>
      </c>
      <c r="K269" s="16" t="n">
        <v>6</v>
      </c>
      <c r="L269" s="18" t="n">
        <v>0</v>
      </c>
      <c r="M269" s="19" t="n">
        <v>0.3024</v>
      </c>
      <c r="N269" s="16" t="str">
        <f aca="false">IF(M269&lt;0,"Loss",IF(M269&lt;50,"Low Profit",IF(M269&lt;200,"Medium Profit","High Profit")))</f>
        <v>Low Profit</v>
      </c>
      <c r="O269" s="16" t="str">
        <f aca="false">IF(J269&gt;=500,"High Value","Standard")</f>
        <v>Standard</v>
      </c>
      <c r="P269" s="16" t="str">
        <f aca="false">H269&amp;" &gt; "&amp;I269&amp;" ("&amp;K269&amp;" units)"</f>
        <v>Office Supplies &gt; Fasteners (6 units)</v>
      </c>
      <c r="Q269" s="16" t="str">
        <f aca="false">VLOOKUP(G269,Region_Manager_Table,2,FALSE())</f>
        <v>Priya Menon</v>
      </c>
      <c r="R269" s="16" t="n">
        <f aca="false">INDEX(SLA_Days_Col,MATCH(A269,ShipMode_Col,0))</f>
        <v>6</v>
      </c>
    </row>
    <row r="270" customFormat="false" ht="15" hidden="false" customHeight="false" outlineLevel="0" collapsed="false">
      <c r="A270" s="10" t="s">
        <v>64</v>
      </c>
      <c r="B270" s="10" t="s">
        <v>58</v>
      </c>
      <c r="C270" s="10" t="s">
        <v>51</v>
      </c>
      <c r="D270" s="10" t="s">
        <v>184</v>
      </c>
      <c r="E270" s="10" t="s">
        <v>140</v>
      </c>
      <c r="F270" s="10" t="n">
        <v>45231</v>
      </c>
      <c r="G270" s="10" t="s">
        <v>93</v>
      </c>
      <c r="H270" s="10" t="s">
        <v>62</v>
      </c>
      <c r="I270" s="10" t="s">
        <v>68</v>
      </c>
      <c r="J270" s="13" t="n">
        <v>37.208</v>
      </c>
      <c r="K270" s="10" t="n">
        <v>1</v>
      </c>
      <c r="L270" s="14" t="n">
        <v>0.2</v>
      </c>
      <c r="M270" s="15" t="n">
        <v>-7.4416</v>
      </c>
      <c r="N270" s="10" t="str">
        <f aca="false">IF(M270&lt;0,"Loss",IF(M270&lt;50,"Low Profit",IF(M270&lt;200,"Medium Profit","High Profit")))</f>
        <v>Loss</v>
      </c>
      <c r="O270" s="10" t="str">
        <f aca="false">IF(J270&gt;=500,"High Value","Standard")</f>
        <v>Standard</v>
      </c>
      <c r="P270" s="10" t="str">
        <f aca="false">H270&amp;" &gt; "&amp;I270&amp;" ("&amp;K270&amp;" units)"</f>
        <v>Office Supplies &gt; Storage (1 units)</v>
      </c>
      <c r="Q270" s="10" t="str">
        <f aca="false">VLOOKUP(G270,Region_Manager_Table,2,FALSE())</f>
        <v>Priya Menon</v>
      </c>
      <c r="R270" s="10" t="n">
        <f aca="false">INDEX(SLA_Days_Col,MATCH(A270,ShipMode_Col,0))</f>
        <v>6</v>
      </c>
    </row>
    <row r="271" customFormat="false" ht="15" hidden="false" customHeight="false" outlineLevel="0" collapsed="false">
      <c r="A271" s="16" t="s">
        <v>64</v>
      </c>
      <c r="B271" s="16" t="s">
        <v>58</v>
      </c>
      <c r="C271" s="16" t="s">
        <v>51</v>
      </c>
      <c r="D271" s="16" t="s">
        <v>184</v>
      </c>
      <c r="E271" s="16" t="s">
        <v>140</v>
      </c>
      <c r="F271" s="16" t="n">
        <v>45231</v>
      </c>
      <c r="G271" s="16" t="s">
        <v>93</v>
      </c>
      <c r="H271" s="16" t="s">
        <v>62</v>
      </c>
      <c r="I271" s="16" t="s">
        <v>96</v>
      </c>
      <c r="J271" s="17" t="n">
        <v>57.576</v>
      </c>
      <c r="K271" s="16" t="n">
        <v>3</v>
      </c>
      <c r="L271" s="18" t="n">
        <v>0.2</v>
      </c>
      <c r="M271" s="19" t="n">
        <v>21.591</v>
      </c>
      <c r="N271" s="16" t="str">
        <f aca="false">IF(M271&lt;0,"Loss",IF(M271&lt;50,"Low Profit",IF(M271&lt;200,"Medium Profit","High Profit")))</f>
        <v>Low Profit</v>
      </c>
      <c r="O271" s="16" t="str">
        <f aca="false">IF(J271&gt;=500,"High Value","Standard")</f>
        <v>Standard</v>
      </c>
      <c r="P271" s="16" t="str">
        <f aca="false">H271&amp;" &gt; "&amp;I271&amp;" ("&amp;K271&amp;" units)"</f>
        <v>Office Supplies &gt; Envelopes (3 units)</v>
      </c>
      <c r="Q271" s="16" t="str">
        <f aca="false">VLOOKUP(G271,Region_Manager_Table,2,FALSE())</f>
        <v>Priya Menon</v>
      </c>
      <c r="R271" s="16" t="n">
        <f aca="false">INDEX(SLA_Days_Col,MATCH(A271,ShipMode_Col,0))</f>
        <v>6</v>
      </c>
    </row>
    <row r="272" customFormat="false" ht="15" hidden="false" customHeight="false" outlineLevel="0" collapsed="false">
      <c r="A272" s="10" t="s">
        <v>49</v>
      </c>
      <c r="B272" s="10" t="s">
        <v>58</v>
      </c>
      <c r="C272" s="10" t="s">
        <v>51</v>
      </c>
      <c r="D272" s="10" t="s">
        <v>88</v>
      </c>
      <c r="E272" s="10" t="s">
        <v>60</v>
      </c>
      <c r="F272" s="10" t="n">
        <v>94110</v>
      </c>
      <c r="G272" s="10" t="s">
        <v>61</v>
      </c>
      <c r="H272" s="10" t="s">
        <v>62</v>
      </c>
      <c r="I272" s="10" t="s">
        <v>68</v>
      </c>
      <c r="J272" s="13" t="n">
        <v>725.84</v>
      </c>
      <c r="K272" s="10" t="n">
        <v>4</v>
      </c>
      <c r="L272" s="14" t="n">
        <v>0</v>
      </c>
      <c r="M272" s="15" t="n">
        <v>210.4936</v>
      </c>
      <c r="N272" s="10" t="str">
        <f aca="false">IF(M272&lt;0,"Loss",IF(M272&lt;50,"Low Profit",IF(M272&lt;200,"Medium Profit","High Profit")))</f>
        <v>High Profit</v>
      </c>
      <c r="O272" s="10" t="str">
        <f aca="false">IF(J272&gt;=500,"High Value","Standard")</f>
        <v>High Value</v>
      </c>
      <c r="P272" s="10" t="str">
        <f aca="false">H272&amp;" &gt; "&amp;I272&amp;" ("&amp;K272&amp;" units)"</f>
        <v>Office Supplies &gt; Storage (4 units)</v>
      </c>
      <c r="Q272" s="10" t="str">
        <f aca="false">VLOOKUP(G272,Region_Manager_Table,2,FALSE())</f>
        <v>Sana Sheikh</v>
      </c>
      <c r="R272" s="10" t="n">
        <f aca="false">INDEX(SLA_Days_Col,MATCH(A272,ShipMode_Col,0))</f>
        <v>4</v>
      </c>
    </row>
    <row r="273" customFormat="false" ht="15" hidden="false" customHeight="false" outlineLevel="0" collapsed="false">
      <c r="A273" s="16" t="s">
        <v>98</v>
      </c>
      <c r="B273" s="16" t="s">
        <v>50</v>
      </c>
      <c r="C273" s="16" t="s">
        <v>51</v>
      </c>
      <c r="D273" s="16" t="s">
        <v>88</v>
      </c>
      <c r="E273" s="16" t="s">
        <v>60</v>
      </c>
      <c r="F273" s="16" t="n">
        <v>94109</v>
      </c>
      <c r="G273" s="16" t="s">
        <v>61</v>
      </c>
      <c r="H273" s="16" t="s">
        <v>71</v>
      </c>
      <c r="I273" s="16" t="s">
        <v>95</v>
      </c>
      <c r="J273" s="17" t="n">
        <v>209.93</v>
      </c>
      <c r="K273" s="16" t="n">
        <v>7</v>
      </c>
      <c r="L273" s="18" t="n">
        <v>0</v>
      </c>
      <c r="M273" s="19" t="n">
        <v>92.3692</v>
      </c>
      <c r="N273" s="16" t="str">
        <f aca="false">IF(M273&lt;0,"Loss",IF(M273&lt;50,"Low Profit",IF(M273&lt;200,"Medium Profit","High Profit")))</f>
        <v>Medium Profit</v>
      </c>
      <c r="O273" s="16" t="str">
        <f aca="false">IF(J273&gt;=500,"High Value","Standard")</f>
        <v>Standard</v>
      </c>
      <c r="P273" s="16" t="str">
        <f aca="false">H273&amp;" &gt; "&amp;I273&amp;" ("&amp;K273&amp;" units)"</f>
        <v>Technology &gt; Accessories (7 units)</v>
      </c>
      <c r="Q273" s="16" t="str">
        <f aca="false">VLOOKUP(G273,Region_Manager_Table,2,FALSE())</f>
        <v>Sana Sheikh</v>
      </c>
      <c r="R273" s="16" t="n">
        <f aca="false">INDEX(SLA_Days_Col,MATCH(A273,ShipMode_Col,0))</f>
        <v>2</v>
      </c>
    </row>
    <row r="274" customFormat="false" ht="15" hidden="false" customHeight="false" outlineLevel="0" collapsed="false">
      <c r="A274" s="10" t="s">
        <v>98</v>
      </c>
      <c r="B274" s="10" t="s">
        <v>50</v>
      </c>
      <c r="C274" s="10" t="s">
        <v>51</v>
      </c>
      <c r="D274" s="10" t="s">
        <v>88</v>
      </c>
      <c r="E274" s="10" t="s">
        <v>60</v>
      </c>
      <c r="F274" s="10" t="n">
        <v>94109</v>
      </c>
      <c r="G274" s="10" t="s">
        <v>61</v>
      </c>
      <c r="H274" s="10" t="s">
        <v>55</v>
      </c>
      <c r="I274" s="10" t="s">
        <v>69</v>
      </c>
      <c r="J274" s="13" t="n">
        <v>5.28</v>
      </c>
      <c r="K274" s="10" t="n">
        <v>3</v>
      </c>
      <c r="L274" s="14" t="n">
        <v>0</v>
      </c>
      <c r="M274" s="15" t="n">
        <v>2.3232</v>
      </c>
      <c r="N274" s="10" t="str">
        <f aca="false">IF(M274&lt;0,"Loss",IF(M274&lt;50,"Low Profit",IF(M274&lt;200,"Medium Profit","High Profit")))</f>
        <v>Low Profit</v>
      </c>
      <c r="O274" s="10" t="str">
        <f aca="false">IF(J274&gt;=500,"High Value","Standard")</f>
        <v>Standard</v>
      </c>
      <c r="P274" s="10" t="str">
        <f aca="false">H274&amp;" &gt; "&amp;I274&amp;" ("&amp;K274&amp;" units)"</f>
        <v>Furniture &gt; Furnishings (3 units)</v>
      </c>
      <c r="Q274" s="10" t="str">
        <f aca="false">VLOOKUP(G274,Region_Manager_Table,2,FALSE())</f>
        <v>Sana Sheikh</v>
      </c>
      <c r="R274" s="10" t="n">
        <f aca="false">INDEX(SLA_Days_Col,MATCH(A274,ShipMode_Col,0))</f>
        <v>2</v>
      </c>
    </row>
    <row r="275" customFormat="false" ht="15" hidden="false" customHeight="false" outlineLevel="0" collapsed="false">
      <c r="A275" s="16" t="s">
        <v>98</v>
      </c>
      <c r="B275" s="16" t="s">
        <v>50</v>
      </c>
      <c r="C275" s="16" t="s">
        <v>51</v>
      </c>
      <c r="D275" s="16" t="s">
        <v>88</v>
      </c>
      <c r="E275" s="16" t="s">
        <v>60</v>
      </c>
      <c r="F275" s="16" t="n">
        <v>94109</v>
      </c>
      <c r="G275" s="16" t="s">
        <v>61</v>
      </c>
      <c r="H275" s="16" t="s">
        <v>62</v>
      </c>
      <c r="I275" s="16" t="s">
        <v>73</v>
      </c>
      <c r="J275" s="17" t="n">
        <v>10.92</v>
      </c>
      <c r="K275" s="16" t="n">
        <v>3</v>
      </c>
      <c r="L275" s="18" t="n">
        <v>0.2</v>
      </c>
      <c r="M275" s="19" t="n">
        <v>4.095</v>
      </c>
      <c r="N275" s="16" t="str">
        <f aca="false">IF(M275&lt;0,"Loss",IF(M275&lt;50,"Low Profit",IF(M275&lt;200,"Medium Profit","High Profit")))</f>
        <v>Low Profit</v>
      </c>
      <c r="O275" s="16" t="str">
        <f aca="false">IF(J275&gt;=500,"High Value","Standard")</f>
        <v>Standard</v>
      </c>
      <c r="P275" s="16" t="str">
        <f aca="false">H275&amp;" &gt; "&amp;I275&amp;" ("&amp;K275&amp;" units)"</f>
        <v>Office Supplies &gt; Binders (3 units)</v>
      </c>
      <c r="Q275" s="16" t="str">
        <f aca="false">VLOOKUP(G275,Region_Manager_Table,2,FALSE())</f>
        <v>Sana Sheikh</v>
      </c>
      <c r="R275" s="16" t="n">
        <f aca="false">INDEX(SLA_Days_Col,MATCH(A275,ShipMode_Col,0))</f>
        <v>2</v>
      </c>
    </row>
    <row r="276" customFormat="false" ht="15" hidden="false" customHeight="false" outlineLevel="0" collapsed="false">
      <c r="A276" s="10" t="s">
        <v>98</v>
      </c>
      <c r="B276" s="10" t="s">
        <v>58</v>
      </c>
      <c r="C276" s="10" t="s">
        <v>51</v>
      </c>
      <c r="D276" s="10" t="s">
        <v>185</v>
      </c>
      <c r="E276" s="10" t="s">
        <v>60</v>
      </c>
      <c r="F276" s="10" t="n">
        <v>90301</v>
      </c>
      <c r="G276" s="10" t="s">
        <v>61</v>
      </c>
      <c r="H276" s="10" t="s">
        <v>62</v>
      </c>
      <c r="I276" s="10" t="s">
        <v>77</v>
      </c>
      <c r="J276" s="13" t="n">
        <v>8.82</v>
      </c>
      <c r="K276" s="10" t="n">
        <v>2</v>
      </c>
      <c r="L276" s="14" t="n">
        <v>0</v>
      </c>
      <c r="M276" s="15" t="n">
        <v>4.0572</v>
      </c>
      <c r="N276" s="10" t="str">
        <f aca="false">IF(M276&lt;0,"Loss",IF(M276&lt;50,"Low Profit",IF(M276&lt;200,"Medium Profit","High Profit")))</f>
        <v>Low Profit</v>
      </c>
      <c r="O276" s="10" t="str">
        <f aca="false">IF(J276&gt;=500,"High Value","Standard")</f>
        <v>Standard</v>
      </c>
      <c r="P276" s="10" t="str">
        <f aca="false">H276&amp;" &gt; "&amp;I276&amp;" ("&amp;K276&amp;" units)"</f>
        <v>Office Supplies &gt; Paper (2 units)</v>
      </c>
      <c r="Q276" s="10" t="str">
        <f aca="false">VLOOKUP(G276,Region_Manager_Table,2,FALSE())</f>
        <v>Sana Sheikh</v>
      </c>
      <c r="R276" s="10" t="n">
        <f aca="false">INDEX(SLA_Days_Col,MATCH(A276,ShipMode_Col,0))</f>
        <v>2</v>
      </c>
    </row>
    <row r="277" customFormat="false" ht="15" hidden="false" customHeight="false" outlineLevel="0" collapsed="false">
      <c r="A277" s="16" t="s">
        <v>98</v>
      </c>
      <c r="B277" s="16" t="s">
        <v>58</v>
      </c>
      <c r="C277" s="16" t="s">
        <v>51</v>
      </c>
      <c r="D277" s="16" t="s">
        <v>185</v>
      </c>
      <c r="E277" s="16" t="s">
        <v>60</v>
      </c>
      <c r="F277" s="16" t="n">
        <v>90301</v>
      </c>
      <c r="G277" s="16" t="s">
        <v>61</v>
      </c>
      <c r="H277" s="16" t="s">
        <v>62</v>
      </c>
      <c r="I277" s="16" t="s">
        <v>70</v>
      </c>
      <c r="J277" s="17" t="n">
        <v>5.98</v>
      </c>
      <c r="K277" s="16" t="n">
        <v>1</v>
      </c>
      <c r="L277" s="18" t="n">
        <v>0</v>
      </c>
      <c r="M277" s="19" t="n">
        <v>1.5548</v>
      </c>
      <c r="N277" s="16" t="str">
        <f aca="false">IF(M277&lt;0,"Loss",IF(M277&lt;50,"Low Profit",IF(M277&lt;200,"Medium Profit","High Profit")))</f>
        <v>Low Profit</v>
      </c>
      <c r="O277" s="16" t="str">
        <f aca="false">IF(J277&gt;=500,"High Value","Standard")</f>
        <v>Standard</v>
      </c>
      <c r="P277" s="16" t="str">
        <f aca="false">H277&amp;" &gt; "&amp;I277&amp;" ("&amp;K277&amp;" units)"</f>
        <v>Office Supplies &gt; Art (1 units)</v>
      </c>
      <c r="Q277" s="16" t="str">
        <f aca="false">VLOOKUP(G277,Region_Manager_Table,2,FALSE())</f>
        <v>Sana Sheikh</v>
      </c>
      <c r="R277" s="16" t="n">
        <f aca="false">INDEX(SLA_Days_Col,MATCH(A277,ShipMode_Col,0))</f>
        <v>2</v>
      </c>
    </row>
    <row r="278" customFormat="false" ht="15" hidden="false" customHeight="false" outlineLevel="0" collapsed="false">
      <c r="A278" s="10" t="s">
        <v>64</v>
      </c>
      <c r="B278" s="10" t="s">
        <v>58</v>
      </c>
      <c r="C278" s="10" t="s">
        <v>51</v>
      </c>
      <c r="D278" s="10" t="s">
        <v>91</v>
      </c>
      <c r="E278" s="10" t="s">
        <v>92</v>
      </c>
      <c r="F278" s="10" t="n">
        <v>19140</v>
      </c>
      <c r="G278" s="10" t="s">
        <v>93</v>
      </c>
      <c r="H278" s="10" t="s">
        <v>62</v>
      </c>
      <c r="I278" s="10" t="s">
        <v>77</v>
      </c>
      <c r="J278" s="13" t="n">
        <v>11.648</v>
      </c>
      <c r="K278" s="10" t="n">
        <v>2</v>
      </c>
      <c r="L278" s="14" t="n">
        <v>0.2</v>
      </c>
      <c r="M278" s="15" t="n">
        <v>4.0768</v>
      </c>
      <c r="N278" s="10" t="str">
        <f aca="false">IF(M278&lt;0,"Loss",IF(M278&lt;50,"Low Profit",IF(M278&lt;200,"Medium Profit","High Profit")))</f>
        <v>Low Profit</v>
      </c>
      <c r="O278" s="10" t="str">
        <f aca="false">IF(J278&gt;=500,"High Value","Standard")</f>
        <v>Standard</v>
      </c>
      <c r="P278" s="10" t="str">
        <f aca="false">H278&amp;" &gt; "&amp;I278&amp;" ("&amp;K278&amp;" units)"</f>
        <v>Office Supplies &gt; Paper (2 units)</v>
      </c>
      <c r="Q278" s="10" t="str">
        <f aca="false">VLOOKUP(G278,Region_Manager_Table,2,FALSE())</f>
        <v>Priya Menon</v>
      </c>
      <c r="R278" s="10" t="n">
        <f aca="false">INDEX(SLA_Days_Col,MATCH(A278,ShipMode_Col,0))</f>
        <v>6</v>
      </c>
    </row>
    <row r="279" customFormat="false" ht="15" hidden="false" customHeight="false" outlineLevel="0" collapsed="false">
      <c r="A279" s="16" t="s">
        <v>64</v>
      </c>
      <c r="B279" s="16" t="s">
        <v>58</v>
      </c>
      <c r="C279" s="16" t="s">
        <v>51</v>
      </c>
      <c r="D279" s="16" t="s">
        <v>91</v>
      </c>
      <c r="E279" s="16" t="s">
        <v>92</v>
      </c>
      <c r="F279" s="16" t="n">
        <v>19140</v>
      </c>
      <c r="G279" s="16" t="s">
        <v>93</v>
      </c>
      <c r="H279" s="16" t="s">
        <v>62</v>
      </c>
      <c r="I279" s="16" t="s">
        <v>77</v>
      </c>
      <c r="J279" s="17" t="n">
        <v>18.176</v>
      </c>
      <c r="K279" s="16" t="n">
        <v>4</v>
      </c>
      <c r="L279" s="18" t="n">
        <v>0.2</v>
      </c>
      <c r="M279" s="19" t="n">
        <v>5.9072</v>
      </c>
      <c r="N279" s="16" t="str">
        <f aca="false">IF(M279&lt;0,"Loss",IF(M279&lt;50,"Low Profit",IF(M279&lt;200,"Medium Profit","High Profit")))</f>
        <v>Low Profit</v>
      </c>
      <c r="O279" s="16" t="str">
        <f aca="false">IF(J279&gt;=500,"High Value","Standard")</f>
        <v>Standard</v>
      </c>
      <c r="P279" s="16" t="str">
        <f aca="false">H279&amp;" &gt; "&amp;I279&amp;" ("&amp;K279&amp;" units)"</f>
        <v>Office Supplies &gt; Paper (4 units)</v>
      </c>
      <c r="Q279" s="16" t="str">
        <f aca="false">VLOOKUP(G279,Region_Manager_Table,2,FALSE())</f>
        <v>Priya Menon</v>
      </c>
      <c r="R279" s="16" t="n">
        <f aca="false">INDEX(SLA_Days_Col,MATCH(A279,ShipMode_Col,0))</f>
        <v>6</v>
      </c>
    </row>
    <row r="280" customFormat="false" ht="15" hidden="false" customHeight="false" outlineLevel="0" collapsed="false">
      <c r="A280" s="10" t="s">
        <v>64</v>
      </c>
      <c r="B280" s="10" t="s">
        <v>58</v>
      </c>
      <c r="C280" s="10" t="s">
        <v>51</v>
      </c>
      <c r="D280" s="10" t="s">
        <v>91</v>
      </c>
      <c r="E280" s="10" t="s">
        <v>92</v>
      </c>
      <c r="F280" s="10" t="n">
        <v>19140</v>
      </c>
      <c r="G280" s="10" t="s">
        <v>93</v>
      </c>
      <c r="H280" s="10" t="s">
        <v>62</v>
      </c>
      <c r="I280" s="10" t="s">
        <v>68</v>
      </c>
      <c r="J280" s="13" t="n">
        <v>59.712</v>
      </c>
      <c r="K280" s="10" t="n">
        <v>6</v>
      </c>
      <c r="L280" s="14" t="n">
        <v>0.2</v>
      </c>
      <c r="M280" s="15" t="n">
        <v>5.9712</v>
      </c>
      <c r="N280" s="10" t="str">
        <f aca="false">IF(M280&lt;0,"Loss",IF(M280&lt;50,"Low Profit",IF(M280&lt;200,"Medium Profit","High Profit")))</f>
        <v>Low Profit</v>
      </c>
      <c r="O280" s="10" t="str">
        <f aca="false">IF(J280&gt;=500,"High Value","Standard")</f>
        <v>Standard</v>
      </c>
      <c r="P280" s="10" t="str">
        <f aca="false">H280&amp;" &gt; "&amp;I280&amp;" ("&amp;K280&amp;" units)"</f>
        <v>Office Supplies &gt; Storage (6 units)</v>
      </c>
      <c r="Q280" s="10" t="str">
        <f aca="false">VLOOKUP(G280,Region_Manager_Table,2,FALSE())</f>
        <v>Priya Menon</v>
      </c>
      <c r="R280" s="10" t="n">
        <f aca="false">INDEX(SLA_Days_Col,MATCH(A280,ShipMode_Col,0))</f>
        <v>6</v>
      </c>
    </row>
    <row r="281" customFormat="false" ht="15" hidden="false" customHeight="false" outlineLevel="0" collapsed="false">
      <c r="A281" s="16" t="s">
        <v>64</v>
      </c>
      <c r="B281" s="16" t="s">
        <v>58</v>
      </c>
      <c r="C281" s="16" t="s">
        <v>51</v>
      </c>
      <c r="D281" s="16" t="s">
        <v>91</v>
      </c>
      <c r="E281" s="16" t="s">
        <v>92</v>
      </c>
      <c r="F281" s="16" t="n">
        <v>19140</v>
      </c>
      <c r="G281" s="16" t="s">
        <v>93</v>
      </c>
      <c r="H281" s="16" t="s">
        <v>62</v>
      </c>
      <c r="I281" s="16" t="s">
        <v>63</v>
      </c>
      <c r="J281" s="17" t="n">
        <v>24.84</v>
      </c>
      <c r="K281" s="16" t="n">
        <v>3</v>
      </c>
      <c r="L281" s="18" t="n">
        <v>0.2</v>
      </c>
      <c r="M281" s="19" t="n">
        <v>8.694</v>
      </c>
      <c r="N281" s="16" t="str">
        <f aca="false">IF(M281&lt;0,"Loss",IF(M281&lt;50,"Low Profit",IF(M281&lt;200,"Medium Profit","High Profit")))</f>
        <v>Low Profit</v>
      </c>
      <c r="O281" s="16" t="str">
        <f aca="false">IF(J281&gt;=500,"High Value","Standard")</f>
        <v>Standard</v>
      </c>
      <c r="P281" s="16" t="str">
        <f aca="false">H281&amp;" &gt; "&amp;I281&amp;" ("&amp;K281&amp;" units)"</f>
        <v>Office Supplies &gt; Labels (3 units)</v>
      </c>
      <c r="Q281" s="16" t="str">
        <f aca="false">VLOOKUP(G281,Region_Manager_Table,2,FALSE())</f>
        <v>Priya Menon</v>
      </c>
      <c r="R281" s="16" t="n">
        <f aca="false">INDEX(SLA_Days_Col,MATCH(A281,ShipMode_Col,0))</f>
        <v>6</v>
      </c>
    </row>
    <row r="282" customFormat="false" ht="15" hidden="false" customHeight="false" outlineLevel="0" collapsed="false">
      <c r="A282" s="10" t="s">
        <v>49</v>
      </c>
      <c r="B282" s="10" t="s">
        <v>50</v>
      </c>
      <c r="C282" s="10" t="s">
        <v>51</v>
      </c>
      <c r="D282" s="10" t="s">
        <v>97</v>
      </c>
      <c r="E282" s="10" t="s">
        <v>82</v>
      </c>
      <c r="F282" s="10" t="n">
        <v>77070</v>
      </c>
      <c r="G282" s="10" t="s">
        <v>83</v>
      </c>
      <c r="H282" s="10" t="s">
        <v>62</v>
      </c>
      <c r="I282" s="10" t="s">
        <v>73</v>
      </c>
      <c r="J282" s="13" t="n">
        <v>2.08</v>
      </c>
      <c r="K282" s="10" t="n">
        <v>5</v>
      </c>
      <c r="L282" s="14" t="n">
        <v>0.8</v>
      </c>
      <c r="M282" s="15" t="n">
        <v>-3.432</v>
      </c>
      <c r="N282" s="10" t="str">
        <f aca="false">IF(M282&lt;0,"Loss",IF(M282&lt;50,"Low Profit",IF(M282&lt;200,"Medium Profit","High Profit")))</f>
        <v>Loss</v>
      </c>
      <c r="O282" s="10" t="str">
        <f aca="false">IF(J282&gt;=500,"High Value","Standard")</f>
        <v>Standard</v>
      </c>
      <c r="P282" s="10" t="str">
        <f aca="false">H282&amp;" &gt; "&amp;I282&amp;" ("&amp;K282&amp;" units)"</f>
        <v>Office Supplies &gt; Binders (5 units)</v>
      </c>
      <c r="Q282" s="10" t="str">
        <f aca="false">VLOOKUP(G282,Region_Manager_Table,2,FALSE())</f>
        <v>Aditya Rao</v>
      </c>
      <c r="R282" s="10" t="n">
        <f aca="false">INDEX(SLA_Days_Col,MATCH(A282,ShipMode_Col,0))</f>
        <v>4</v>
      </c>
    </row>
    <row r="283" customFormat="false" ht="15" hidden="false" customHeight="false" outlineLevel="0" collapsed="false">
      <c r="A283" s="16" t="s">
        <v>49</v>
      </c>
      <c r="B283" s="16" t="s">
        <v>50</v>
      </c>
      <c r="C283" s="16" t="s">
        <v>51</v>
      </c>
      <c r="D283" s="16" t="s">
        <v>97</v>
      </c>
      <c r="E283" s="16" t="s">
        <v>82</v>
      </c>
      <c r="F283" s="16" t="n">
        <v>77070</v>
      </c>
      <c r="G283" s="16" t="s">
        <v>83</v>
      </c>
      <c r="H283" s="16" t="s">
        <v>71</v>
      </c>
      <c r="I283" s="16" t="s">
        <v>72</v>
      </c>
      <c r="J283" s="17" t="n">
        <v>1114.4</v>
      </c>
      <c r="K283" s="16" t="n">
        <v>7</v>
      </c>
      <c r="L283" s="18" t="n">
        <v>0.2</v>
      </c>
      <c r="M283" s="19" t="n">
        <v>376.11</v>
      </c>
      <c r="N283" s="16" t="str">
        <f aca="false">IF(M283&lt;0,"Loss",IF(M283&lt;50,"Low Profit",IF(M283&lt;200,"Medium Profit","High Profit")))</f>
        <v>High Profit</v>
      </c>
      <c r="O283" s="16" t="str">
        <f aca="false">IF(J283&gt;=500,"High Value","Standard")</f>
        <v>High Value</v>
      </c>
      <c r="P283" s="16" t="str">
        <f aca="false">H283&amp;" &gt; "&amp;I283&amp;" ("&amp;K283&amp;" units)"</f>
        <v>Technology &gt; Phones (7 units)</v>
      </c>
      <c r="Q283" s="16" t="str">
        <f aca="false">VLOOKUP(G283,Region_Manager_Table,2,FALSE())</f>
        <v>Aditya Rao</v>
      </c>
      <c r="R283" s="16" t="n">
        <f aca="false">INDEX(SLA_Days_Col,MATCH(A283,ShipMode_Col,0))</f>
        <v>4</v>
      </c>
    </row>
    <row r="284" customFormat="false" ht="15" hidden="false" customHeight="false" outlineLevel="0" collapsed="false">
      <c r="A284" s="10" t="s">
        <v>64</v>
      </c>
      <c r="B284" s="10" t="s">
        <v>50</v>
      </c>
      <c r="C284" s="10" t="s">
        <v>51</v>
      </c>
      <c r="D284" s="10" t="s">
        <v>59</v>
      </c>
      <c r="E284" s="10" t="s">
        <v>60</v>
      </c>
      <c r="F284" s="10" t="n">
        <v>90004</v>
      </c>
      <c r="G284" s="10" t="s">
        <v>61</v>
      </c>
      <c r="H284" s="10" t="s">
        <v>55</v>
      </c>
      <c r="I284" s="10" t="s">
        <v>67</v>
      </c>
      <c r="J284" s="13" t="n">
        <v>1038.84</v>
      </c>
      <c r="K284" s="10" t="n">
        <v>5</v>
      </c>
      <c r="L284" s="14" t="n">
        <v>0.2</v>
      </c>
      <c r="M284" s="15" t="n">
        <v>51.942</v>
      </c>
      <c r="N284" s="10" t="str">
        <f aca="false">IF(M284&lt;0,"Loss",IF(M284&lt;50,"Low Profit",IF(M284&lt;200,"Medium Profit","High Profit")))</f>
        <v>Medium Profit</v>
      </c>
      <c r="O284" s="10" t="str">
        <f aca="false">IF(J284&gt;=500,"High Value","Standard")</f>
        <v>High Value</v>
      </c>
      <c r="P284" s="10" t="str">
        <f aca="false">H284&amp;" &gt; "&amp;I284&amp;" ("&amp;K284&amp;" units)"</f>
        <v>Furniture &gt; Tables (5 units)</v>
      </c>
      <c r="Q284" s="10" t="str">
        <f aca="false">VLOOKUP(G284,Region_Manager_Table,2,FALSE())</f>
        <v>Sana Sheikh</v>
      </c>
      <c r="R284" s="10" t="n">
        <f aca="false">INDEX(SLA_Days_Col,MATCH(A284,ShipMode_Col,0))</f>
        <v>6</v>
      </c>
    </row>
    <row r="285" customFormat="false" ht="15" hidden="false" customHeight="false" outlineLevel="0" collapsed="false">
      <c r="A285" s="16" t="s">
        <v>64</v>
      </c>
      <c r="B285" s="16" t="s">
        <v>50</v>
      </c>
      <c r="C285" s="16" t="s">
        <v>51</v>
      </c>
      <c r="D285" s="16" t="s">
        <v>130</v>
      </c>
      <c r="E285" s="16" t="s">
        <v>131</v>
      </c>
      <c r="F285" s="16" t="n">
        <v>97206</v>
      </c>
      <c r="G285" s="16" t="s">
        <v>61</v>
      </c>
      <c r="H285" s="16" t="s">
        <v>62</v>
      </c>
      <c r="I285" s="16" t="s">
        <v>77</v>
      </c>
      <c r="J285" s="17" t="n">
        <v>141.76</v>
      </c>
      <c r="K285" s="16" t="n">
        <v>5</v>
      </c>
      <c r="L285" s="18" t="n">
        <v>0.2</v>
      </c>
      <c r="M285" s="19" t="n">
        <v>47.844</v>
      </c>
      <c r="N285" s="16" t="str">
        <f aca="false">IF(M285&lt;0,"Loss",IF(M285&lt;50,"Low Profit",IF(M285&lt;200,"Medium Profit","High Profit")))</f>
        <v>Low Profit</v>
      </c>
      <c r="O285" s="16" t="str">
        <f aca="false">IF(J285&gt;=500,"High Value","Standard")</f>
        <v>Standard</v>
      </c>
      <c r="P285" s="16" t="str">
        <f aca="false">H285&amp;" &gt; "&amp;I285&amp;" ("&amp;K285&amp;" units)"</f>
        <v>Office Supplies &gt; Paper (5 units)</v>
      </c>
      <c r="Q285" s="16" t="str">
        <f aca="false">VLOOKUP(G285,Region_Manager_Table,2,FALSE())</f>
        <v>Sana Sheikh</v>
      </c>
      <c r="R285" s="16" t="n">
        <f aca="false">INDEX(SLA_Days_Col,MATCH(A285,ShipMode_Col,0))</f>
        <v>6</v>
      </c>
    </row>
    <row r="286" customFormat="false" ht="15" hidden="false" customHeight="false" outlineLevel="0" collapsed="false">
      <c r="A286" s="10" t="s">
        <v>64</v>
      </c>
      <c r="B286" s="10" t="s">
        <v>50</v>
      </c>
      <c r="C286" s="10" t="s">
        <v>51</v>
      </c>
      <c r="D286" s="10" t="s">
        <v>130</v>
      </c>
      <c r="E286" s="10" t="s">
        <v>131</v>
      </c>
      <c r="F286" s="10" t="n">
        <v>97206</v>
      </c>
      <c r="G286" s="10" t="s">
        <v>61</v>
      </c>
      <c r="H286" s="10" t="s">
        <v>71</v>
      </c>
      <c r="I286" s="10" t="s">
        <v>95</v>
      </c>
      <c r="J286" s="13" t="n">
        <v>239.8</v>
      </c>
      <c r="K286" s="10" t="n">
        <v>5</v>
      </c>
      <c r="L286" s="14" t="n">
        <v>0.2</v>
      </c>
      <c r="M286" s="15" t="n">
        <v>47.96</v>
      </c>
      <c r="N286" s="10" t="str">
        <f aca="false">IF(M286&lt;0,"Loss",IF(M286&lt;50,"Low Profit",IF(M286&lt;200,"Medium Profit","High Profit")))</f>
        <v>Low Profit</v>
      </c>
      <c r="O286" s="10" t="str">
        <f aca="false">IF(J286&gt;=500,"High Value","Standard")</f>
        <v>Standard</v>
      </c>
      <c r="P286" s="10" t="str">
        <f aca="false">H286&amp;" &gt; "&amp;I286&amp;" ("&amp;K286&amp;" units)"</f>
        <v>Technology &gt; Accessories (5 units)</v>
      </c>
      <c r="Q286" s="10" t="str">
        <f aca="false">VLOOKUP(G286,Region_Manager_Table,2,FALSE())</f>
        <v>Sana Sheikh</v>
      </c>
      <c r="R286" s="10" t="n">
        <f aca="false">INDEX(SLA_Days_Col,MATCH(A286,ShipMode_Col,0))</f>
        <v>6</v>
      </c>
    </row>
    <row r="287" customFormat="false" ht="15" hidden="false" customHeight="false" outlineLevel="0" collapsed="false">
      <c r="A287" s="16" t="s">
        <v>64</v>
      </c>
      <c r="B287" s="16" t="s">
        <v>50</v>
      </c>
      <c r="C287" s="16" t="s">
        <v>51</v>
      </c>
      <c r="D287" s="16" t="s">
        <v>130</v>
      </c>
      <c r="E287" s="16" t="s">
        <v>131</v>
      </c>
      <c r="F287" s="16" t="n">
        <v>97206</v>
      </c>
      <c r="G287" s="16" t="s">
        <v>61</v>
      </c>
      <c r="H287" s="16" t="s">
        <v>62</v>
      </c>
      <c r="I287" s="16" t="s">
        <v>77</v>
      </c>
      <c r="J287" s="17" t="n">
        <v>31.104</v>
      </c>
      <c r="K287" s="16" t="n">
        <v>6</v>
      </c>
      <c r="L287" s="18" t="n">
        <v>0.2</v>
      </c>
      <c r="M287" s="19" t="n">
        <v>10.8864</v>
      </c>
      <c r="N287" s="16" t="str">
        <f aca="false">IF(M287&lt;0,"Loss",IF(M287&lt;50,"Low Profit",IF(M287&lt;200,"Medium Profit","High Profit")))</f>
        <v>Low Profit</v>
      </c>
      <c r="O287" s="16" t="str">
        <f aca="false">IF(J287&gt;=500,"High Value","Standard")</f>
        <v>Standard</v>
      </c>
      <c r="P287" s="16" t="str">
        <f aca="false">H287&amp;" &gt; "&amp;I287&amp;" ("&amp;K287&amp;" units)"</f>
        <v>Office Supplies &gt; Paper (6 units)</v>
      </c>
      <c r="Q287" s="16" t="str">
        <f aca="false">VLOOKUP(G287,Region_Manager_Table,2,FALSE())</f>
        <v>Sana Sheikh</v>
      </c>
      <c r="R287" s="16" t="n">
        <f aca="false">INDEX(SLA_Days_Col,MATCH(A287,ShipMode_Col,0))</f>
        <v>6</v>
      </c>
    </row>
    <row r="288" customFormat="false" ht="15" hidden="false" customHeight="false" outlineLevel="0" collapsed="false">
      <c r="A288" s="10" t="s">
        <v>49</v>
      </c>
      <c r="B288" s="10" t="s">
        <v>58</v>
      </c>
      <c r="C288" s="10" t="s">
        <v>51</v>
      </c>
      <c r="D288" s="10" t="s">
        <v>186</v>
      </c>
      <c r="E288" s="10" t="s">
        <v>66</v>
      </c>
      <c r="F288" s="10" t="n">
        <v>33319</v>
      </c>
      <c r="G288" s="10" t="s">
        <v>54</v>
      </c>
      <c r="H288" s="10" t="s">
        <v>62</v>
      </c>
      <c r="I288" s="10" t="s">
        <v>73</v>
      </c>
      <c r="J288" s="13" t="n">
        <v>254.058</v>
      </c>
      <c r="K288" s="10" t="n">
        <v>7</v>
      </c>
      <c r="L288" s="14" t="n">
        <v>0.7</v>
      </c>
      <c r="M288" s="15" t="n">
        <v>-169.372</v>
      </c>
      <c r="N288" s="10" t="str">
        <f aca="false">IF(M288&lt;0,"Loss",IF(M288&lt;50,"Low Profit",IF(M288&lt;200,"Medium Profit","High Profit")))</f>
        <v>Loss</v>
      </c>
      <c r="O288" s="10" t="str">
        <f aca="false">IF(J288&gt;=500,"High Value","Standard")</f>
        <v>Standard</v>
      </c>
      <c r="P288" s="10" t="str">
        <f aca="false">H288&amp;" &gt; "&amp;I288&amp;" ("&amp;K288&amp;" units)"</f>
        <v>Office Supplies &gt; Binders (7 units)</v>
      </c>
      <c r="Q288" s="10" t="str">
        <f aca="false">VLOOKUP(G288,Region_Manager_Table,2,FALSE())</f>
        <v>Karthik Iyer</v>
      </c>
      <c r="R288" s="10" t="n">
        <f aca="false">INDEX(SLA_Days_Col,MATCH(A288,ShipMode_Col,0))</f>
        <v>4</v>
      </c>
    </row>
    <row r="289" customFormat="false" ht="15" hidden="false" customHeight="false" outlineLevel="0" collapsed="false">
      <c r="A289" s="16" t="s">
        <v>49</v>
      </c>
      <c r="B289" s="16" t="s">
        <v>58</v>
      </c>
      <c r="C289" s="16" t="s">
        <v>51</v>
      </c>
      <c r="D289" s="16" t="s">
        <v>186</v>
      </c>
      <c r="E289" s="16" t="s">
        <v>66</v>
      </c>
      <c r="F289" s="16" t="n">
        <v>33319</v>
      </c>
      <c r="G289" s="16" t="s">
        <v>54</v>
      </c>
      <c r="H289" s="16" t="s">
        <v>62</v>
      </c>
      <c r="I289" s="16" t="s">
        <v>74</v>
      </c>
      <c r="J289" s="17" t="n">
        <v>194.528</v>
      </c>
      <c r="K289" s="16" t="n">
        <v>2</v>
      </c>
      <c r="L289" s="18" t="n">
        <v>0.2</v>
      </c>
      <c r="M289" s="19" t="n">
        <v>24.316</v>
      </c>
      <c r="N289" s="16" t="str">
        <f aca="false">IF(M289&lt;0,"Loss",IF(M289&lt;50,"Low Profit",IF(M289&lt;200,"Medium Profit","High Profit")))</f>
        <v>Low Profit</v>
      </c>
      <c r="O289" s="16" t="str">
        <f aca="false">IF(J289&gt;=500,"High Value","Standard")</f>
        <v>Standard</v>
      </c>
      <c r="P289" s="16" t="str">
        <f aca="false">H289&amp;" &gt; "&amp;I289&amp;" ("&amp;K289&amp;" units)"</f>
        <v>Office Supplies &gt; Appliances (2 units)</v>
      </c>
      <c r="Q289" s="16" t="str">
        <f aca="false">VLOOKUP(G289,Region_Manager_Table,2,FALSE())</f>
        <v>Karthik Iyer</v>
      </c>
      <c r="R289" s="16" t="n">
        <f aca="false">INDEX(SLA_Days_Col,MATCH(A289,ShipMode_Col,0))</f>
        <v>4</v>
      </c>
    </row>
    <row r="290" customFormat="false" ht="15" hidden="false" customHeight="false" outlineLevel="0" collapsed="false">
      <c r="A290" s="10" t="s">
        <v>49</v>
      </c>
      <c r="B290" s="10" t="s">
        <v>58</v>
      </c>
      <c r="C290" s="10" t="s">
        <v>51</v>
      </c>
      <c r="D290" s="10" t="s">
        <v>186</v>
      </c>
      <c r="E290" s="10" t="s">
        <v>66</v>
      </c>
      <c r="F290" s="10" t="n">
        <v>33319</v>
      </c>
      <c r="G290" s="10" t="s">
        <v>54</v>
      </c>
      <c r="H290" s="10" t="s">
        <v>62</v>
      </c>
      <c r="I290" s="10" t="s">
        <v>146</v>
      </c>
      <c r="J290" s="13" t="n">
        <v>961.48</v>
      </c>
      <c r="K290" s="10" t="n">
        <v>5</v>
      </c>
      <c r="L290" s="14" t="n">
        <v>0.2</v>
      </c>
      <c r="M290" s="15" t="n">
        <v>-204.3145</v>
      </c>
      <c r="N290" s="10" t="str">
        <f aca="false">IF(M290&lt;0,"Loss",IF(M290&lt;50,"Low Profit",IF(M290&lt;200,"Medium Profit","High Profit")))</f>
        <v>Loss</v>
      </c>
      <c r="O290" s="10" t="str">
        <f aca="false">IF(J290&gt;=500,"High Value","Standard")</f>
        <v>High Value</v>
      </c>
      <c r="P290" s="10" t="str">
        <f aca="false">H290&amp;" &gt; "&amp;I290&amp;" ("&amp;K290&amp;" units)"</f>
        <v>Office Supplies &gt; Supplies (5 units)</v>
      </c>
      <c r="Q290" s="10" t="str">
        <f aca="false">VLOOKUP(G290,Region_Manager_Table,2,FALSE())</f>
        <v>Karthik Iyer</v>
      </c>
      <c r="R290" s="10" t="n">
        <f aca="false">INDEX(SLA_Days_Col,MATCH(A290,ShipMode_Col,0))</f>
        <v>4</v>
      </c>
    </row>
    <row r="291" customFormat="false" ht="15" hidden="false" customHeight="false" outlineLevel="0" collapsed="false">
      <c r="A291" s="16" t="s">
        <v>49</v>
      </c>
      <c r="B291" s="16" t="s">
        <v>80</v>
      </c>
      <c r="C291" s="16" t="s">
        <v>51</v>
      </c>
      <c r="D291" s="16" t="s">
        <v>139</v>
      </c>
      <c r="E291" s="16" t="s">
        <v>140</v>
      </c>
      <c r="F291" s="16" t="n">
        <v>43229</v>
      </c>
      <c r="G291" s="16" t="s">
        <v>93</v>
      </c>
      <c r="H291" s="16" t="s">
        <v>62</v>
      </c>
      <c r="I291" s="16" t="s">
        <v>113</v>
      </c>
      <c r="J291" s="17" t="n">
        <v>19.096</v>
      </c>
      <c r="K291" s="16" t="n">
        <v>7</v>
      </c>
      <c r="L291" s="18" t="n">
        <v>0.2</v>
      </c>
      <c r="M291" s="19" t="n">
        <v>6.6836</v>
      </c>
      <c r="N291" s="16" t="str">
        <f aca="false">IF(M291&lt;0,"Loss",IF(M291&lt;50,"Low Profit",IF(M291&lt;200,"Medium Profit","High Profit")))</f>
        <v>Low Profit</v>
      </c>
      <c r="O291" s="16" t="str">
        <f aca="false">IF(J291&gt;=500,"High Value","Standard")</f>
        <v>Standard</v>
      </c>
      <c r="P291" s="16" t="str">
        <f aca="false">H291&amp;" &gt; "&amp;I291&amp;" ("&amp;K291&amp;" units)"</f>
        <v>Office Supplies &gt; Fasteners (7 units)</v>
      </c>
      <c r="Q291" s="16" t="str">
        <f aca="false">VLOOKUP(G291,Region_Manager_Table,2,FALSE())</f>
        <v>Priya Menon</v>
      </c>
      <c r="R291" s="16" t="n">
        <f aca="false">INDEX(SLA_Days_Col,MATCH(A291,ShipMode_Col,0))</f>
        <v>4</v>
      </c>
    </row>
    <row r="292" customFormat="false" ht="15" hidden="false" customHeight="false" outlineLevel="0" collapsed="false">
      <c r="A292" s="10" t="s">
        <v>49</v>
      </c>
      <c r="B292" s="10" t="s">
        <v>80</v>
      </c>
      <c r="C292" s="10" t="s">
        <v>51</v>
      </c>
      <c r="D292" s="10" t="s">
        <v>139</v>
      </c>
      <c r="E292" s="10" t="s">
        <v>140</v>
      </c>
      <c r="F292" s="10" t="n">
        <v>43229</v>
      </c>
      <c r="G292" s="10" t="s">
        <v>93</v>
      </c>
      <c r="H292" s="10" t="s">
        <v>62</v>
      </c>
      <c r="I292" s="10" t="s">
        <v>63</v>
      </c>
      <c r="J292" s="13" t="n">
        <v>18.496</v>
      </c>
      <c r="K292" s="10" t="n">
        <v>8</v>
      </c>
      <c r="L292" s="14" t="n">
        <v>0.2</v>
      </c>
      <c r="M292" s="15" t="n">
        <v>6.2424</v>
      </c>
      <c r="N292" s="10" t="str">
        <f aca="false">IF(M292&lt;0,"Loss",IF(M292&lt;50,"Low Profit",IF(M292&lt;200,"Medium Profit","High Profit")))</f>
        <v>Low Profit</v>
      </c>
      <c r="O292" s="10" t="str">
        <f aca="false">IF(J292&gt;=500,"High Value","Standard")</f>
        <v>Standard</v>
      </c>
      <c r="P292" s="10" t="str">
        <f aca="false">H292&amp;" &gt; "&amp;I292&amp;" ("&amp;K292&amp;" units)"</f>
        <v>Office Supplies &gt; Labels (8 units)</v>
      </c>
      <c r="Q292" s="10" t="str">
        <f aca="false">VLOOKUP(G292,Region_Manager_Table,2,FALSE())</f>
        <v>Priya Menon</v>
      </c>
      <c r="R292" s="10" t="n">
        <f aca="false">INDEX(SLA_Days_Col,MATCH(A292,ShipMode_Col,0))</f>
        <v>4</v>
      </c>
    </row>
    <row r="293" customFormat="false" ht="15" hidden="false" customHeight="false" outlineLevel="0" collapsed="false">
      <c r="A293" s="16" t="s">
        <v>49</v>
      </c>
      <c r="B293" s="16" t="s">
        <v>80</v>
      </c>
      <c r="C293" s="16" t="s">
        <v>51</v>
      </c>
      <c r="D293" s="16" t="s">
        <v>139</v>
      </c>
      <c r="E293" s="16" t="s">
        <v>140</v>
      </c>
      <c r="F293" s="16" t="n">
        <v>43229</v>
      </c>
      <c r="G293" s="16" t="s">
        <v>93</v>
      </c>
      <c r="H293" s="16" t="s">
        <v>71</v>
      </c>
      <c r="I293" s="16" t="s">
        <v>95</v>
      </c>
      <c r="J293" s="17" t="n">
        <v>255.984</v>
      </c>
      <c r="K293" s="16" t="n">
        <v>2</v>
      </c>
      <c r="L293" s="18" t="n">
        <v>0.2</v>
      </c>
      <c r="M293" s="19" t="n">
        <v>54.3966</v>
      </c>
      <c r="N293" s="16" t="str">
        <f aca="false">IF(M293&lt;0,"Loss",IF(M293&lt;50,"Low Profit",IF(M293&lt;200,"Medium Profit","High Profit")))</f>
        <v>Medium Profit</v>
      </c>
      <c r="O293" s="16" t="str">
        <f aca="false">IF(J293&gt;=500,"High Value","Standard")</f>
        <v>Standard</v>
      </c>
      <c r="P293" s="16" t="str">
        <f aca="false">H293&amp;" &gt; "&amp;I293&amp;" ("&amp;K293&amp;" units)"</f>
        <v>Technology &gt; Accessories (2 units)</v>
      </c>
      <c r="Q293" s="16" t="str">
        <f aca="false">VLOOKUP(G293,Region_Manager_Table,2,FALSE())</f>
        <v>Priya Menon</v>
      </c>
      <c r="R293" s="16" t="n">
        <f aca="false">INDEX(SLA_Days_Col,MATCH(A293,ShipMode_Col,0))</f>
        <v>4</v>
      </c>
    </row>
    <row r="294" customFormat="false" ht="15" hidden="false" customHeight="false" outlineLevel="0" collapsed="false">
      <c r="A294" s="10" t="s">
        <v>49</v>
      </c>
      <c r="B294" s="10" t="s">
        <v>80</v>
      </c>
      <c r="C294" s="10" t="s">
        <v>51</v>
      </c>
      <c r="D294" s="10" t="s">
        <v>139</v>
      </c>
      <c r="E294" s="10" t="s">
        <v>140</v>
      </c>
      <c r="F294" s="10" t="n">
        <v>43229</v>
      </c>
      <c r="G294" s="10" t="s">
        <v>93</v>
      </c>
      <c r="H294" s="10" t="s">
        <v>55</v>
      </c>
      <c r="I294" s="10" t="s">
        <v>56</v>
      </c>
      <c r="J294" s="13" t="n">
        <v>86.97</v>
      </c>
      <c r="K294" s="10" t="n">
        <v>3</v>
      </c>
      <c r="L294" s="14" t="n">
        <v>0.5</v>
      </c>
      <c r="M294" s="15" t="n">
        <v>-48.7032</v>
      </c>
      <c r="N294" s="10" t="str">
        <f aca="false">IF(M294&lt;0,"Loss",IF(M294&lt;50,"Low Profit",IF(M294&lt;200,"Medium Profit","High Profit")))</f>
        <v>Loss</v>
      </c>
      <c r="O294" s="10" t="str">
        <f aca="false">IF(J294&gt;=500,"High Value","Standard")</f>
        <v>Standard</v>
      </c>
      <c r="P294" s="10" t="str">
        <f aca="false">H294&amp;" &gt; "&amp;I294&amp;" ("&amp;K294&amp;" units)"</f>
        <v>Furniture &gt; Bookcases (3 units)</v>
      </c>
      <c r="Q294" s="10" t="str">
        <f aca="false">VLOOKUP(G294,Region_Manager_Table,2,FALSE())</f>
        <v>Priya Menon</v>
      </c>
      <c r="R294" s="10" t="n">
        <f aca="false">INDEX(SLA_Days_Col,MATCH(A294,ShipMode_Col,0))</f>
        <v>4</v>
      </c>
    </row>
    <row r="295" customFormat="false" ht="15" hidden="false" customHeight="false" outlineLevel="0" collapsed="false">
      <c r="A295" s="16" t="s">
        <v>98</v>
      </c>
      <c r="B295" s="16" t="s">
        <v>58</v>
      </c>
      <c r="C295" s="16" t="s">
        <v>51</v>
      </c>
      <c r="D295" s="16" t="s">
        <v>187</v>
      </c>
      <c r="E295" s="16" t="s">
        <v>134</v>
      </c>
      <c r="F295" s="16" t="n">
        <v>80906</v>
      </c>
      <c r="G295" s="16" t="s">
        <v>61</v>
      </c>
      <c r="H295" s="16" t="s">
        <v>55</v>
      </c>
      <c r="I295" s="16" t="s">
        <v>69</v>
      </c>
      <c r="J295" s="17" t="n">
        <v>300.416</v>
      </c>
      <c r="K295" s="16" t="n">
        <v>8</v>
      </c>
      <c r="L295" s="18" t="n">
        <v>0.2</v>
      </c>
      <c r="M295" s="19" t="n">
        <v>78.8592</v>
      </c>
      <c r="N295" s="16" t="str">
        <f aca="false">IF(M295&lt;0,"Loss",IF(M295&lt;50,"Low Profit",IF(M295&lt;200,"Medium Profit","High Profit")))</f>
        <v>Medium Profit</v>
      </c>
      <c r="O295" s="16" t="str">
        <f aca="false">IF(J295&gt;=500,"High Value","Standard")</f>
        <v>Standard</v>
      </c>
      <c r="P295" s="16" t="str">
        <f aca="false">H295&amp;" &gt; "&amp;I295&amp;" ("&amp;K295&amp;" units)"</f>
        <v>Furniture &gt; Furnishings (8 units)</v>
      </c>
      <c r="Q295" s="16" t="str">
        <f aca="false">VLOOKUP(G295,Region_Manager_Table,2,FALSE())</f>
        <v>Sana Sheikh</v>
      </c>
      <c r="R295" s="16" t="n">
        <f aca="false">INDEX(SLA_Days_Col,MATCH(A295,ShipMode_Col,0))</f>
        <v>2</v>
      </c>
    </row>
    <row r="296" customFormat="false" ht="15" hidden="false" customHeight="false" outlineLevel="0" collapsed="false">
      <c r="A296" s="10" t="s">
        <v>98</v>
      </c>
      <c r="B296" s="10" t="s">
        <v>58</v>
      </c>
      <c r="C296" s="10" t="s">
        <v>51</v>
      </c>
      <c r="D296" s="10" t="s">
        <v>187</v>
      </c>
      <c r="E296" s="10" t="s">
        <v>134</v>
      </c>
      <c r="F296" s="10" t="n">
        <v>80906</v>
      </c>
      <c r="G296" s="10" t="s">
        <v>61</v>
      </c>
      <c r="H296" s="10" t="s">
        <v>55</v>
      </c>
      <c r="I296" s="10" t="s">
        <v>57</v>
      </c>
      <c r="J296" s="13" t="n">
        <v>230.352</v>
      </c>
      <c r="K296" s="10" t="n">
        <v>3</v>
      </c>
      <c r="L296" s="14" t="n">
        <v>0.2</v>
      </c>
      <c r="M296" s="15" t="n">
        <v>20.1558</v>
      </c>
      <c r="N296" s="10" t="str">
        <f aca="false">IF(M296&lt;0,"Loss",IF(M296&lt;50,"Low Profit",IF(M296&lt;200,"Medium Profit","High Profit")))</f>
        <v>Low Profit</v>
      </c>
      <c r="O296" s="10" t="str">
        <f aca="false">IF(J296&gt;=500,"High Value","Standard")</f>
        <v>Standard</v>
      </c>
      <c r="P296" s="10" t="str">
        <f aca="false">H296&amp;" &gt; "&amp;I296&amp;" ("&amp;K296&amp;" units)"</f>
        <v>Furniture &gt; Chairs (3 units)</v>
      </c>
      <c r="Q296" s="10" t="str">
        <f aca="false">VLOOKUP(G296,Region_Manager_Table,2,FALSE())</f>
        <v>Sana Sheikh</v>
      </c>
      <c r="R296" s="10" t="n">
        <f aca="false">INDEX(SLA_Days_Col,MATCH(A296,ShipMode_Col,0))</f>
        <v>2</v>
      </c>
    </row>
    <row r="297" customFormat="false" ht="15" hidden="false" customHeight="false" outlineLevel="0" collapsed="false">
      <c r="A297" s="16" t="s">
        <v>98</v>
      </c>
      <c r="B297" s="16" t="s">
        <v>58</v>
      </c>
      <c r="C297" s="16" t="s">
        <v>51</v>
      </c>
      <c r="D297" s="16" t="s">
        <v>187</v>
      </c>
      <c r="E297" s="16" t="s">
        <v>134</v>
      </c>
      <c r="F297" s="16" t="n">
        <v>80906</v>
      </c>
      <c r="G297" s="16" t="s">
        <v>61</v>
      </c>
      <c r="H297" s="16" t="s">
        <v>55</v>
      </c>
      <c r="I297" s="16" t="s">
        <v>69</v>
      </c>
      <c r="J297" s="17" t="n">
        <v>218.352</v>
      </c>
      <c r="K297" s="16" t="n">
        <v>3</v>
      </c>
      <c r="L297" s="18" t="n">
        <v>0.2</v>
      </c>
      <c r="M297" s="19" t="n">
        <v>-24.5646</v>
      </c>
      <c r="N297" s="16" t="str">
        <f aca="false">IF(M297&lt;0,"Loss",IF(M297&lt;50,"Low Profit",IF(M297&lt;200,"Medium Profit","High Profit")))</f>
        <v>Loss</v>
      </c>
      <c r="O297" s="16" t="str">
        <f aca="false">IF(J297&gt;=500,"High Value","Standard")</f>
        <v>Standard</v>
      </c>
      <c r="P297" s="16" t="str">
        <f aca="false">H297&amp;" &gt; "&amp;I297&amp;" ("&amp;K297&amp;" units)"</f>
        <v>Furniture &gt; Furnishings (3 units)</v>
      </c>
      <c r="Q297" s="16" t="str">
        <f aca="false">VLOOKUP(G297,Region_Manager_Table,2,FALSE())</f>
        <v>Sana Sheikh</v>
      </c>
      <c r="R297" s="16" t="n">
        <f aca="false">INDEX(SLA_Days_Col,MATCH(A297,ShipMode_Col,0))</f>
        <v>2</v>
      </c>
    </row>
    <row r="298" customFormat="false" ht="15" hidden="false" customHeight="false" outlineLevel="0" collapsed="false">
      <c r="A298" s="10" t="s">
        <v>98</v>
      </c>
      <c r="B298" s="10" t="s">
        <v>58</v>
      </c>
      <c r="C298" s="10" t="s">
        <v>51</v>
      </c>
      <c r="D298" s="10" t="s">
        <v>187</v>
      </c>
      <c r="E298" s="10" t="s">
        <v>134</v>
      </c>
      <c r="F298" s="10" t="n">
        <v>80906</v>
      </c>
      <c r="G298" s="10" t="s">
        <v>61</v>
      </c>
      <c r="H298" s="10" t="s">
        <v>62</v>
      </c>
      <c r="I298" s="10" t="s">
        <v>73</v>
      </c>
      <c r="J298" s="13" t="n">
        <v>78.6</v>
      </c>
      <c r="K298" s="10" t="n">
        <v>5</v>
      </c>
      <c r="L298" s="14" t="n">
        <v>0.7</v>
      </c>
      <c r="M298" s="15" t="n">
        <v>-62.88</v>
      </c>
      <c r="N298" s="10" t="str">
        <f aca="false">IF(M298&lt;0,"Loss",IF(M298&lt;50,"Low Profit",IF(M298&lt;200,"Medium Profit","High Profit")))</f>
        <v>Loss</v>
      </c>
      <c r="O298" s="10" t="str">
        <f aca="false">IF(J298&gt;=500,"High Value","Standard")</f>
        <v>Standard</v>
      </c>
      <c r="P298" s="10" t="str">
        <f aca="false">H298&amp;" &gt; "&amp;I298&amp;" ("&amp;K298&amp;" units)"</f>
        <v>Office Supplies &gt; Binders (5 units)</v>
      </c>
      <c r="Q298" s="10" t="str">
        <f aca="false">VLOOKUP(G298,Region_Manager_Table,2,FALSE())</f>
        <v>Sana Sheikh</v>
      </c>
      <c r="R298" s="10" t="n">
        <f aca="false">INDEX(SLA_Days_Col,MATCH(A298,ShipMode_Col,0))</f>
        <v>2</v>
      </c>
    </row>
    <row r="299" customFormat="false" ht="15" hidden="false" customHeight="false" outlineLevel="0" collapsed="false">
      <c r="A299" s="16" t="s">
        <v>98</v>
      </c>
      <c r="B299" s="16" t="s">
        <v>58</v>
      </c>
      <c r="C299" s="16" t="s">
        <v>51</v>
      </c>
      <c r="D299" s="16" t="s">
        <v>187</v>
      </c>
      <c r="E299" s="16" t="s">
        <v>134</v>
      </c>
      <c r="F299" s="16" t="n">
        <v>80906</v>
      </c>
      <c r="G299" s="16" t="s">
        <v>61</v>
      </c>
      <c r="H299" s="16" t="s">
        <v>62</v>
      </c>
      <c r="I299" s="16" t="s">
        <v>113</v>
      </c>
      <c r="J299" s="17" t="n">
        <v>27.552</v>
      </c>
      <c r="K299" s="16" t="n">
        <v>3</v>
      </c>
      <c r="L299" s="18" t="n">
        <v>0.2</v>
      </c>
      <c r="M299" s="19" t="n">
        <v>9.2988</v>
      </c>
      <c r="N299" s="16" t="str">
        <f aca="false">IF(M299&lt;0,"Loss",IF(M299&lt;50,"Low Profit",IF(M299&lt;200,"Medium Profit","High Profit")))</f>
        <v>Low Profit</v>
      </c>
      <c r="O299" s="16" t="str">
        <f aca="false">IF(J299&gt;=500,"High Value","Standard")</f>
        <v>Standard</v>
      </c>
      <c r="P299" s="16" t="str">
        <f aca="false">H299&amp;" &gt; "&amp;I299&amp;" ("&amp;K299&amp;" units)"</f>
        <v>Office Supplies &gt; Fasteners (3 units)</v>
      </c>
      <c r="Q299" s="16" t="str">
        <f aca="false">VLOOKUP(G299,Region_Manager_Table,2,FALSE())</f>
        <v>Sana Sheikh</v>
      </c>
      <c r="R299" s="16" t="n">
        <f aca="false">INDEX(SLA_Days_Col,MATCH(A299,ShipMode_Col,0))</f>
        <v>2</v>
      </c>
    </row>
    <row r="300" customFormat="false" ht="15" hidden="false" customHeight="false" outlineLevel="0" collapsed="false">
      <c r="A300" s="10" t="s">
        <v>64</v>
      </c>
      <c r="B300" s="10" t="s">
        <v>58</v>
      </c>
      <c r="C300" s="10" t="s">
        <v>51</v>
      </c>
      <c r="D300" s="10" t="s">
        <v>188</v>
      </c>
      <c r="E300" s="10" t="s">
        <v>168</v>
      </c>
      <c r="F300" s="10" t="n">
        <v>7109</v>
      </c>
      <c r="G300" s="10" t="s">
        <v>93</v>
      </c>
      <c r="H300" s="10" t="s">
        <v>62</v>
      </c>
      <c r="I300" s="10" t="s">
        <v>77</v>
      </c>
      <c r="J300" s="13" t="n">
        <v>32.4</v>
      </c>
      <c r="K300" s="10" t="n">
        <v>5</v>
      </c>
      <c r="L300" s="14" t="n">
        <v>0</v>
      </c>
      <c r="M300" s="15" t="n">
        <v>15.552</v>
      </c>
      <c r="N300" s="10" t="str">
        <f aca="false">IF(M300&lt;0,"Loss",IF(M300&lt;50,"Low Profit",IF(M300&lt;200,"Medium Profit","High Profit")))</f>
        <v>Low Profit</v>
      </c>
      <c r="O300" s="10" t="str">
        <f aca="false">IF(J300&gt;=500,"High Value","Standard")</f>
        <v>Standard</v>
      </c>
      <c r="P300" s="10" t="str">
        <f aca="false">H300&amp;" &gt; "&amp;I300&amp;" ("&amp;K300&amp;" units)"</f>
        <v>Office Supplies &gt; Paper (5 units)</v>
      </c>
      <c r="Q300" s="10" t="str">
        <f aca="false">VLOOKUP(G300,Region_Manager_Table,2,FALSE())</f>
        <v>Priya Menon</v>
      </c>
      <c r="R300" s="10" t="n">
        <f aca="false">INDEX(SLA_Days_Col,MATCH(A300,ShipMode_Col,0))</f>
        <v>6</v>
      </c>
    </row>
    <row r="301" customFormat="false" ht="15" hidden="false" customHeight="false" outlineLevel="0" collapsed="false">
      <c r="A301" s="16" t="s">
        <v>64</v>
      </c>
      <c r="B301" s="16" t="s">
        <v>58</v>
      </c>
      <c r="C301" s="16" t="s">
        <v>51</v>
      </c>
      <c r="D301" s="16" t="s">
        <v>188</v>
      </c>
      <c r="E301" s="16" t="s">
        <v>168</v>
      </c>
      <c r="F301" s="16" t="n">
        <v>7109</v>
      </c>
      <c r="G301" s="16" t="s">
        <v>93</v>
      </c>
      <c r="H301" s="16" t="s">
        <v>62</v>
      </c>
      <c r="I301" s="16" t="s">
        <v>68</v>
      </c>
      <c r="J301" s="17" t="n">
        <v>1082.48</v>
      </c>
      <c r="K301" s="16" t="n">
        <v>8</v>
      </c>
      <c r="L301" s="18" t="n">
        <v>0</v>
      </c>
      <c r="M301" s="19" t="n">
        <v>10.8248</v>
      </c>
      <c r="N301" s="16" t="str">
        <f aca="false">IF(M301&lt;0,"Loss",IF(M301&lt;50,"Low Profit",IF(M301&lt;200,"Medium Profit","High Profit")))</f>
        <v>Low Profit</v>
      </c>
      <c r="O301" s="16" t="str">
        <f aca="false">IF(J301&gt;=500,"High Value","Standard")</f>
        <v>High Value</v>
      </c>
      <c r="P301" s="16" t="str">
        <f aca="false">H301&amp;" &gt; "&amp;I301&amp;" ("&amp;K301&amp;" units)"</f>
        <v>Office Supplies &gt; Storage (8 units)</v>
      </c>
      <c r="Q301" s="16" t="str">
        <f aca="false">VLOOKUP(G301,Region_Manager_Table,2,FALSE())</f>
        <v>Priya Menon</v>
      </c>
      <c r="R301" s="16" t="n">
        <f aca="false">INDEX(SLA_Days_Col,MATCH(A301,ShipMode_Col,0))</f>
        <v>6</v>
      </c>
    </row>
    <row r="302" customFormat="false" ht="15" hidden="false" customHeight="false" outlineLevel="0" collapsed="false">
      <c r="A302" s="10" t="s">
        <v>64</v>
      </c>
      <c r="B302" s="10" t="s">
        <v>58</v>
      </c>
      <c r="C302" s="10" t="s">
        <v>51</v>
      </c>
      <c r="D302" s="10" t="s">
        <v>188</v>
      </c>
      <c r="E302" s="10" t="s">
        <v>168</v>
      </c>
      <c r="F302" s="10" t="n">
        <v>7109</v>
      </c>
      <c r="G302" s="10" t="s">
        <v>93</v>
      </c>
      <c r="H302" s="10" t="s">
        <v>62</v>
      </c>
      <c r="I302" s="10" t="s">
        <v>77</v>
      </c>
      <c r="J302" s="13" t="n">
        <v>56.91</v>
      </c>
      <c r="K302" s="10" t="n">
        <v>3</v>
      </c>
      <c r="L302" s="14" t="n">
        <v>0</v>
      </c>
      <c r="M302" s="15" t="n">
        <v>27.3168</v>
      </c>
      <c r="N302" s="10" t="str">
        <f aca="false">IF(M302&lt;0,"Loss",IF(M302&lt;50,"Low Profit",IF(M302&lt;200,"Medium Profit","High Profit")))</f>
        <v>Low Profit</v>
      </c>
      <c r="O302" s="10" t="str">
        <f aca="false">IF(J302&gt;=500,"High Value","Standard")</f>
        <v>Standard</v>
      </c>
      <c r="P302" s="10" t="str">
        <f aca="false">H302&amp;" &gt; "&amp;I302&amp;" ("&amp;K302&amp;" units)"</f>
        <v>Office Supplies &gt; Paper (3 units)</v>
      </c>
      <c r="Q302" s="10" t="str">
        <f aca="false">VLOOKUP(G302,Region_Manager_Table,2,FALSE())</f>
        <v>Priya Menon</v>
      </c>
      <c r="R302" s="10" t="n">
        <f aca="false">INDEX(SLA_Days_Col,MATCH(A302,ShipMode_Col,0))</f>
        <v>6</v>
      </c>
    </row>
    <row r="303" customFormat="false" ht="15" hidden="false" customHeight="false" outlineLevel="0" collapsed="false">
      <c r="A303" s="16" t="s">
        <v>64</v>
      </c>
      <c r="B303" s="16" t="s">
        <v>58</v>
      </c>
      <c r="C303" s="16" t="s">
        <v>51</v>
      </c>
      <c r="D303" s="16" t="s">
        <v>188</v>
      </c>
      <c r="E303" s="16" t="s">
        <v>168</v>
      </c>
      <c r="F303" s="16" t="n">
        <v>7109</v>
      </c>
      <c r="G303" s="16" t="s">
        <v>93</v>
      </c>
      <c r="H303" s="16" t="s">
        <v>55</v>
      </c>
      <c r="I303" s="16" t="s">
        <v>69</v>
      </c>
      <c r="J303" s="17" t="n">
        <v>77.6</v>
      </c>
      <c r="K303" s="16" t="n">
        <v>4</v>
      </c>
      <c r="L303" s="18" t="n">
        <v>0</v>
      </c>
      <c r="M303" s="19" t="n">
        <v>38.024</v>
      </c>
      <c r="N303" s="16" t="str">
        <f aca="false">IF(M303&lt;0,"Loss",IF(M303&lt;50,"Low Profit",IF(M303&lt;200,"Medium Profit","High Profit")))</f>
        <v>Low Profit</v>
      </c>
      <c r="O303" s="16" t="str">
        <f aca="false">IF(J303&gt;=500,"High Value","Standard")</f>
        <v>Standard</v>
      </c>
      <c r="P303" s="16" t="str">
        <f aca="false">H303&amp;" &gt; "&amp;I303&amp;" ("&amp;K303&amp;" units)"</f>
        <v>Furniture &gt; Furnishings (4 units)</v>
      </c>
      <c r="Q303" s="16" t="str">
        <f aca="false">VLOOKUP(G303,Region_Manager_Table,2,FALSE())</f>
        <v>Priya Menon</v>
      </c>
      <c r="R303" s="16" t="n">
        <f aca="false">INDEX(SLA_Days_Col,MATCH(A303,ShipMode_Col,0))</f>
        <v>6</v>
      </c>
    </row>
    <row r="304" customFormat="false" ht="15" hidden="false" customHeight="false" outlineLevel="0" collapsed="false">
      <c r="A304" s="10" t="s">
        <v>64</v>
      </c>
      <c r="B304" s="10" t="s">
        <v>58</v>
      </c>
      <c r="C304" s="10" t="s">
        <v>51</v>
      </c>
      <c r="D304" s="10" t="s">
        <v>188</v>
      </c>
      <c r="E304" s="10" t="s">
        <v>168</v>
      </c>
      <c r="F304" s="10" t="n">
        <v>7109</v>
      </c>
      <c r="G304" s="10" t="s">
        <v>93</v>
      </c>
      <c r="H304" s="10" t="s">
        <v>62</v>
      </c>
      <c r="I304" s="10" t="s">
        <v>73</v>
      </c>
      <c r="J304" s="13" t="n">
        <v>14.28</v>
      </c>
      <c r="K304" s="10" t="n">
        <v>1</v>
      </c>
      <c r="L304" s="14" t="n">
        <v>0</v>
      </c>
      <c r="M304" s="15" t="n">
        <v>6.5688</v>
      </c>
      <c r="N304" s="10" t="str">
        <f aca="false">IF(M304&lt;0,"Loss",IF(M304&lt;50,"Low Profit",IF(M304&lt;200,"Medium Profit","High Profit")))</f>
        <v>Low Profit</v>
      </c>
      <c r="O304" s="10" t="str">
        <f aca="false">IF(J304&gt;=500,"High Value","Standard")</f>
        <v>Standard</v>
      </c>
      <c r="P304" s="10" t="str">
        <f aca="false">H304&amp;" &gt; "&amp;I304&amp;" ("&amp;K304&amp;" units)"</f>
        <v>Office Supplies &gt; Binders (1 units)</v>
      </c>
      <c r="Q304" s="10" t="str">
        <f aca="false">VLOOKUP(G304,Region_Manager_Table,2,FALSE())</f>
        <v>Priya Menon</v>
      </c>
      <c r="R304" s="10" t="n">
        <f aca="false">INDEX(SLA_Days_Col,MATCH(A304,ShipMode_Col,0))</f>
        <v>6</v>
      </c>
    </row>
    <row r="305" customFormat="false" ht="15" hidden="false" customHeight="false" outlineLevel="0" collapsed="false">
      <c r="A305" s="16" t="s">
        <v>64</v>
      </c>
      <c r="B305" s="16" t="s">
        <v>50</v>
      </c>
      <c r="C305" s="16" t="s">
        <v>51</v>
      </c>
      <c r="D305" s="16" t="s">
        <v>115</v>
      </c>
      <c r="E305" s="16" t="s">
        <v>101</v>
      </c>
      <c r="F305" s="16" t="n">
        <v>60623</v>
      </c>
      <c r="G305" s="16" t="s">
        <v>83</v>
      </c>
      <c r="H305" s="16" t="s">
        <v>55</v>
      </c>
      <c r="I305" s="16" t="s">
        <v>67</v>
      </c>
      <c r="J305" s="17" t="n">
        <v>219.075</v>
      </c>
      <c r="K305" s="16" t="n">
        <v>3</v>
      </c>
      <c r="L305" s="18" t="n">
        <v>0.5</v>
      </c>
      <c r="M305" s="19" t="n">
        <v>-131.445</v>
      </c>
      <c r="N305" s="16" t="str">
        <f aca="false">IF(M305&lt;0,"Loss",IF(M305&lt;50,"Low Profit",IF(M305&lt;200,"Medium Profit","High Profit")))</f>
        <v>Loss</v>
      </c>
      <c r="O305" s="16" t="str">
        <f aca="false">IF(J305&gt;=500,"High Value","Standard")</f>
        <v>Standard</v>
      </c>
      <c r="P305" s="16" t="str">
        <f aca="false">H305&amp;" &gt; "&amp;I305&amp;" ("&amp;K305&amp;" units)"</f>
        <v>Furniture &gt; Tables (3 units)</v>
      </c>
      <c r="Q305" s="16" t="str">
        <f aca="false">VLOOKUP(G305,Region_Manager_Table,2,FALSE())</f>
        <v>Aditya Rao</v>
      </c>
      <c r="R305" s="16" t="n">
        <f aca="false">INDEX(SLA_Days_Col,MATCH(A305,ShipMode_Col,0))</f>
        <v>6</v>
      </c>
    </row>
    <row r="306" customFormat="false" ht="15" hidden="false" customHeight="false" outlineLevel="0" collapsed="false">
      <c r="A306" s="10" t="s">
        <v>49</v>
      </c>
      <c r="B306" s="10" t="s">
        <v>58</v>
      </c>
      <c r="C306" s="10" t="s">
        <v>51</v>
      </c>
      <c r="D306" s="10" t="s">
        <v>111</v>
      </c>
      <c r="E306" s="10" t="s">
        <v>112</v>
      </c>
      <c r="F306" s="10" t="n">
        <v>10024</v>
      </c>
      <c r="G306" s="10" t="s">
        <v>93</v>
      </c>
      <c r="H306" s="10" t="s">
        <v>55</v>
      </c>
      <c r="I306" s="10" t="s">
        <v>69</v>
      </c>
      <c r="J306" s="13" t="n">
        <v>26.8</v>
      </c>
      <c r="K306" s="10" t="n">
        <v>2</v>
      </c>
      <c r="L306" s="14" t="n">
        <v>0</v>
      </c>
      <c r="M306" s="15" t="n">
        <v>12.864</v>
      </c>
      <c r="N306" s="10" t="str">
        <f aca="false">IF(M306&lt;0,"Loss",IF(M306&lt;50,"Low Profit",IF(M306&lt;200,"Medium Profit","High Profit")))</f>
        <v>Low Profit</v>
      </c>
      <c r="O306" s="10" t="str">
        <f aca="false">IF(J306&gt;=500,"High Value","Standard")</f>
        <v>Standard</v>
      </c>
      <c r="P306" s="10" t="str">
        <f aca="false">H306&amp;" &gt; "&amp;I306&amp;" ("&amp;K306&amp;" units)"</f>
        <v>Furniture &gt; Furnishings (2 units)</v>
      </c>
      <c r="Q306" s="10" t="str">
        <f aca="false">VLOOKUP(G306,Region_Manager_Table,2,FALSE())</f>
        <v>Priya Menon</v>
      </c>
      <c r="R306" s="10" t="n">
        <f aca="false">INDEX(SLA_Days_Col,MATCH(A306,ShipMode_Col,0))</f>
        <v>4</v>
      </c>
    </row>
    <row r="307" customFormat="false" ht="15" hidden="false" customHeight="false" outlineLevel="0" collapsed="false">
      <c r="A307" s="16" t="s">
        <v>64</v>
      </c>
      <c r="B307" s="16" t="s">
        <v>58</v>
      </c>
      <c r="C307" s="16" t="s">
        <v>51</v>
      </c>
      <c r="D307" s="16" t="s">
        <v>189</v>
      </c>
      <c r="E307" s="16" t="s">
        <v>106</v>
      </c>
      <c r="F307" s="16" t="n">
        <v>48180</v>
      </c>
      <c r="G307" s="16" t="s">
        <v>83</v>
      </c>
      <c r="H307" s="16" t="s">
        <v>62</v>
      </c>
      <c r="I307" s="16" t="s">
        <v>70</v>
      </c>
      <c r="J307" s="17" t="n">
        <v>9.84</v>
      </c>
      <c r="K307" s="16" t="n">
        <v>3</v>
      </c>
      <c r="L307" s="18" t="n">
        <v>0</v>
      </c>
      <c r="M307" s="19" t="n">
        <v>2.8536</v>
      </c>
      <c r="N307" s="16" t="str">
        <f aca="false">IF(M307&lt;0,"Loss",IF(M307&lt;50,"Low Profit",IF(M307&lt;200,"Medium Profit","High Profit")))</f>
        <v>Low Profit</v>
      </c>
      <c r="O307" s="16" t="str">
        <f aca="false">IF(J307&gt;=500,"High Value","Standard")</f>
        <v>Standard</v>
      </c>
      <c r="P307" s="16" t="str">
        <f aca="false">H307&amp;" &gt; "&amp;I307&amp;" ("&amp;K307&amp;" units)"</f>
        <v>Office Supplies &gt; Art (3 units)</v>
      </c>
      <c r="Q307" s="16" t="str">
        <f aca="false">VLOOKUP(G307,Region_Manager_Table,2,FALSE())</f>
        <v>Aditya Rao</v>
      </c>
      <c r="R307" s="16" t="n">
        <f aca="false">INDEX(SLA_Days_Col,MATCH(A307,ShipMode_Col,0))</f>
        <v>6</v>
      </c>
    </row>
    <row r="308" customFormat="false" ht="15" hidden="false" customHeight="false" outlineLevel="0" collapsed="false">
      <c r="A308" s="10" t="s">
        <v>64</v>
      </c>
      <c r="B308" s="10" t="s">
        <v>80</v>
      </c>
      <c r="C308" s="10" t="s">
        <v>51</v>
      </c>
      <c r="D308" s="10" t="s">
        <v>190</v>
      </c>
      <c r="E308" s="10" t="s">
        <v>168</v>
      </c>
      <c r="F308" s="10" t="n">
        <v>8701</v>
      </c>
      <c r="G308" s="10" t="s">
        <v>93</v>
      </c>
      <c r="H308" s="10" t="s">
        <v>62</v>
      </c>
      <c r="I308" s="10" t="s">
        <v>73</v>
      </c>
      <c r="J308" s="13" t="n">
        <v>45.48</v>
      </c>
      <c r="K308" s="10" t="n">
        <v>3</v>
      </c>
      <c r="L308" s="14" t="n">
        <v>0</v>
      </c>
      <c r="M308" s="15" t="n">
        <v>20.9208</v>
      </c>
      <c r="N308" s="10" t="str">
        <f aca="false">IF(M308&lt;0,"Loss",IF(M308&lt;50,"Low Profit",IF(M308&lt;200,"Medium Profit","High Profit")))</f>
        <v>Low Profit</v>
      </c>
      <c r="O308" s="10" t="str">
        <f aca="false">IF(J308&gt;=500,"High Value","Standard")</f>
        <v>Standard</v>
      </c>
      <c r="P308" s="10" t="str">
        <f aca="false">H308&amp;" &gt; "&amp;I308&amp;" ("&amp;K308&amp;" units)"</f>
        <v>Office Supplies &gt; Binders (3 units)</v>
      </c>
      <c r="Q308" s="10" t="str">
        <f aca="false">VLOOKUP(G308,Region_Manager_Table,2,FALSE())</f>
        <v>Priya Menon</v>
      </c>
      <c r="R308" s="10" t="n">
        <f aca="false">INDEX(SLA_Days_Col,MATCH(A308,ShipMode_Col,0))</f>
        <v>6</v>
      </c>
    </row>
    <row r="309" customFormat="false" ht="15" hidden="false" customHeight="false" outlineLevel="0" collapsed="false">
      <c r="A309" s="16" t="s">
        <v>64</v>
      </c>
      <c r="B309" s="16" t="s">
        <v>80</v>
      </c>
      <c r="C309" s="16" t="s">
        <v>51</v>
      </c>
      <c r="D309" s="16" t="s">
        <v>190</v>
      </c>
      <c r="E309" s="16" t="s">
        <v>168</v>
      </c>
      <c r="F309" s="16" t="n">
        <v>8701</v>
      </c>
      <c r="G309" s="16" t="s">
        <v>93</v>
      </c>
      <c r="H309" s="16" t="s">
        <v>62</v>
      </c>
      <c r="I309" s="16" t="s">
        <v>70</v>
      </c>
      <c r="J309" s="17" t="n">
        <v>289.2</v>
      </c>
      <c r="K309" s="16" t="n">
        <v>6</v>
      </c>
      <c r="L309" s="18" t="n">
        <v>0</v>
      </c>
      <c r="M309" s="19" t="n">
        <v>83.868</v>
      </c>
      <c r="N309" s="16" t="str">
        <f aca="false">IF(M309&lt;0,"Loss",IF(M309&lt;50,"Low Profit",IF(M309&lt;200,"Medium Profit","High Profit")))</f>
        <v>Medium Profit</v>
      </c>
      <c r="O309" s="16" t="str">
        <f aca="false">IF(J309&gt;=500,"High Value","Standard")</f>
        <v>Standard</v>
      </c>
      <c r="P309" s="16" t="str">
        <f aca="false">H309&amp;" &gt; "&amp;I309&amp;" ("&amp;K309&amp;" units)"</f>
        <v>Office Supplies &gt; Art (6 units)</v>
      </c>
      <c r="Q309" s="16" t="str">
        <f aca="false">VLOOKUP(G309,Region_Manager_Table,2,FALSE())</f>
        <v>Priya Menon</v>
      </c>
      <c r="R309" s="16" t="n">
        <f aca="false">INDEX(SLA_Days_Col,MATCH(A309,ShipMode_Col,0))</f>
        <v>6</v>
      </c>
    </row>
    <row r="310" customFormat="false" ht="15" hidden="false" customHeight="false" outlineLevel="0" collapsed="false">
      <c r="A310" s="10" t="s">
        <v>98</v>
      </c>
      <c r="B310" s="10" t="s">
        <v>50</v>
      </c>
      <c r="C310" s="10" t="s">
        <v>51</v>
      </c>
      <c r="D310" s="10" t="s">
        <v>191</v>
      </c>
      <c r="E310" s="10" t="s">
        <v>119</v>
      </c>
      <c r="F310" s="10" t="n">
        <v>22204</v>
      </c>
      <c r="G310" s="10" t="s">
        <v>54</v>
      </c>
      <c r="H310" s="10" t="s">
        <v>62</v>
      </c>
      <c r="I310" s="10" t="s">
        <v>70</v>
      </c>
      <c r="J310" s="13" t="n">
        <v>4.89</v>
      </c>
      <c r="K310" s="10" t="n">
        <v>1</v>
      </c>
      <c r="L310" s="14" t="n">
        <v>0</v>
      </c>
      <c r="M310" s="15" t="n">
        <v>2.0049</v>
      </c>
      <c r="N310" s="10" t="str">
        <f aca="false">IF(M310&lt;0,"Loss",IF(M310&lt;50,"Low Profit",IF(M310&lt;200,"Medium Profit","High Profit")))</f>
        <v>Low Profit</v>
      </c>
      <c r="O310" s="10" t="str">
        <f aca="false">IF(J310&gt;=500,"High Value","Standard")</f>
        <v>Standard</v>
      </c>
      <c r="P310" s="10" t="str">
        <f aca="false">H310&amp;" &gt; "&amp;I310&amp;" ("&amp;K310&amp;" units)"</f>
        <v>Office Supplies &gt; Art (1 units)</v>
      </c>
      <c r="Q310" s="10" t="str">
        <f aca="false">VLOOKUP(G310,Region_Manager_Table,2,FALSE())</f>
        <v>Karthik Iyer</v>
      </c>
      <c r="R310" s="10" t="n">
        <f aca="false">INDEX(SLA_Days_Col,MATCH(A310,ShipMode_Col,0))</f>
        <v>2</v>
      </c>
    </row>
    <row r="311" customFormat="false" ht="15" hidden="false" customHeight="false" outlineLevel="0" collapsed="false">
      <c r="A311" s="16" t="s">
        <v>49</v>
      </c>
      <c r="B311" s="16" t="s">
        <v>58</v>
      </c>
      <c r="C311" s="16" t="s">
        <v>51</v>
      </c>
      <c r="D311" s="16" t="s">
        <v>192</v>
      </c>
      <c r="E311" s="16" t="s">
        <v>134</v>
      </c>
      <c r="F311" s="16" t="n">
        <v>80004</v>
      </c>
      <c r="G311" s="16" t="s">
        <v>61</v>
      </c>
      <c r="H311" s="16" t="s">
        <v>55</v>
      </c>
      <c r="I311" s="16" t="s">
        <v>69</v>
      </c>
      <c r="J311" s="17" t="n">
        <v>15.136</v>
      </c>
      <c r="K311" s="16" t="n">
        <v>4</v>
      </c>
      <c r="L311" s="18" t="n">
        <v>0.2</v>
      </c>
      <c r="M311" s="19" t="n">
        <v>3.5948</v>
      </c>
      <c r="N311" s="16" t="str">
        <f aca="false">IF(M311&lt;0,"Loss",IF(M311&lt;50,"Low Profit",IF(M311&lt;200,"Medium Profit","High Profit")))</f>
        <v>Low Profit</v>
      </c>
      <c r="O311" s="16" t="str">
        <f aca="false">IF(J311&gt;=500,"High Value","Standard")</f>
        <v>Standard</v>
      </c>
      <c r="P311" s="16" t="str">
        <f aca="false">H311&amp;" &gt; "&amp;I311&amp;" ("&amp;K311&amp;" units)"</f>
        <v>Furniture &gt; Furnishings (4 units)</v>
      </c>
      <c r="Q311" s="16" t="str">
        <f aca="false">VLOOKUP(G311,Region_Manager_Table,2,FALSE())</f>
        <v>Sana Sheikh</v>
      </c>
      <c r="R311" s="16" t="n">
        <f aca="false">INDEX(SLA_Days_Col,MATCH(A311,ShipMode_Col,0))</f>
        <v>4</v>
      </c>
    </row>
    <row r="312" customFormat="false" ht="15" hidden="false" customHeight="false" outlineLevel="0" collapsed="false">
      <c r="A312" s="10" t="s">
        <v>49</v>
      </c>
      <c r="B312" s="10" t="s">
        <v>58</v>
      </c>
      <c r="C312" s="10" t="s">
        <v>51</v>
      </c>
      <c r="D312" s="10" t="s">
        <v>192</v>
      </c>
      <c r="E312" s="10" t="s">
        <v>134</v>
      </c>
      <c r="F312" s="10" t="n">
        <v>80004</v>
      </c>
      <c r="G312" s="10" t="s">
        <v>61</v>
      </c>
      <c r="H312" s="10" t="s">
        <v>55</v>
      </c>
      <c r="I312" s="10" t="s">
        <v>57</v>
      </c>
      <c r="J312" s="13" t="n">
        <v>466.768</v>
      </c>
      <c r="K312" s="10" t="n">
        <v>2</v>
      </c>
      <c r="L312" s="14" t="n">
        <v>0.2</v>
      </c>
      <c r="M312" s="15" t="n">
        <v>52.5114</v>
      </c>
      <c r="N312" s="10" t="str">
        <f aca="false">IF(M312&lt;0,"Loss",IF(M312&lt;50,"Low Profit",IF(M312&lt;200,"Medium Profit","High Profit")))</f>
        <v>Medium Profit</v>
      </c>
      <c r="O312" s="10" t="str">
        <f aca="false">IF(J312&gt;=500,"High Value","Standard")</f>
        <v>Standard</v>
      </c>
      <c r="P312" s="10" t="str">
        <f aca="false">H312&amp;" &gt; "&amp;I312&amp;" ("&amp;K312&amp;" units)"</f>
        <v>Furniture &gt; Chairs (2 units)</v>
      </c>
      <c r="Q312" s="10" t="str">
        <f aca="false">VLOOKUP(G312,Region_Manager_Table,2,FALSE())</f>
        <v>Sana Sheikh</v>
      </c>
      <c r="R312" s="10" t="n">
        <f aca="false">INDEX(SLA_Days_Col,MATCH(A312,ShipMode_Col,0))</f>
        <v>4</v>
      </c>
    </row>
    <row r="313" customFormat="false" ht="15" hidden="false" customHeight="false" outlineLevel="0" collapsed="false">
      <c r="A313" s="16" t="s">
        <v>49</v>
      </c>
      <c r="B313" s="16" t="s">
        <v>58</v>
      </c>
      <c r="C313" s="16" t="s">
        <v>51</v>
      </c>
      <c r="D313" s="16" t="s">
        <v>192</v>
      </c>
      <c r="E313" s="16" t="s">
        <v>134</v>
      </c>
      <c r="F313" s="16" t="n">
        <v>80004</v>
      </c>
      <c r="G313" s="16" t="s">
        <v>61</v>
      </c>
      <c r="H313" s="16" t="s">
        <v>55</v>
      </c>
      <c r="I313" s="16" t="s">
        <v>69</v>
      </c>
      <c r="J313" s="17" t="n">
        <v>15.232</v>
      </c>
      <c r="K313" s="16" t="n">
        <v>1</v>
      </c>
      <c r="L313" s="18" t="n">
        <v>0.2</v>
      </c>
      <c r="M313" s="19" t="n">
        <v>1.7136</v>
      </c>
      <c r="N313" s="16" t="str">
        <f aca="false">IF(M313&lt;0,"Loss",IF(M313&lt;50,"Low Profit",IF(M313&lt;200,"Medium Profit","High Profit")))</f>
        <v>Low Profit</v>
      </c>
      <c r="O313" s="16" t="str">
        <f aca="false">IF(J313&gt;=500,"High Value","Standard")</f>
        <v>Standard</v>
      </c>
      <c r="P313" s="16" t="str">
        <f aca="false">H313&amp;" &gt; "&amp;I313&amp;" ("&amp;K313&amp;" units)"</f>
        <v>Furniture &gt; Furnishings (1 units)</v>
      </c>
      <c r="Q313" s="16" t="str">
        <f aca="false">VLOOKUP(G313,Region_Manager_Table,2,FALSE())</f>
        <v>Sana Sheikh</v>
      </c>
      <c r="R313" s="16" t="n">
        <f aca="false">INDEX(SLA_Days_Col,MATCH(A313,ShipMode_Col,0))</f>
        <v>4</v>
      </c>
    </row>
    <row r="314" customFormat="false" ht="15" hidden="false" customHeight="false" outlineLevel="0" collapsed="false">
      <c r="A314" s="10" t="s">
        <v>49</v>
      </c>
      <c r="B314" s="10" t="s">
        <v>58</v>
      </c>
      <c r="C314" s="10" t="s">
        <v>51</v>
      </c>
      <c r="D314" s="10" t="s">
        <v>192</v>
      </c>
      <c r="E314" s="10" t="s">
        <v>134</v>
      </c>
      <c r="F314" s="10" t="n">
        <v>80004</v>
      </c>
      <c r="G314" s="10" t="s">
        <v>61</v>
      </c>
      <c r="H314" s="10" t="s">
        <v>62</v>
      </c>
      <c r="I314" s="10" t="s">
        <v>63</v>
      </c>
      <c r="J314" s="13" t="n">
        <v>6.264</v>
      </c>
      <c r="K314" s="10" t="n">
        <v>3</v>
      </c>
      <c r="L314" s="14" t="n">
        <v>0.2</v>
      </c>
      <c r="M314" s="15" t="n">
        <v>2.0358</v>
      </c>
      <c r="N314" s="10" t="str">
        <f aca="false">IF(M314&lt;0,"Loss",IF(M314&lt;50,"Low Profit",IF(M314&lt;200,"Medium Profit","High Profit")))</f>
        <v>Low Profit</v>
      </c>
      <c r="O314" s="10" t="str">
        <f aca="false">IF(J314&gt;=500,"High Value","Standard")</f>
        <v>Standard</v>
      </c>
      <c r="P314" s="10" t="str">
        <f aca="false">H314&amp;" &gt; "&amp;I314&amp;" ("&amp;K314&amp;" units)"</f>
        <v>Office Supplies &gt; Labels (3 units)</v>
      </c>
      <c r="Q314" s="10" t="str">
        <f aca="false">VLOOKUP(G314,Region_Manager_Table,2,FALSE())</f>
        <v>Sana Sheikh</v>
      </c>
      <c r="R314" s="10" t="n">
        <f aca="false">INDEX(SLA_Days_Col,MATCH(A314,ShipMode_Col,0))</f>
        <v>4</v>
      </c>
    </row>
    <row r="315" customFormat="false" ht="15" hidden="false" customHeight="false" outlineLevel="0" collapsed="false">
      <c r="A315" s="16" t="s">
        <v>64</v>
      </c>
      <c r="B315" s="16" t="s">
        <v>58</v>
      </c>
      <c r="C315" s="16" t="s">
        <v>51</v>
      </c>
      <c r="D315" s="16" t="s">
        <v>193</v>
      </c>
      <c r="E315" s="16" t="s">
        <v>168</v>
      </c>
      <c r="F315" s="16" t="n">
        <v>7601</v>
      </c>
      <c r="G315" s="16" t="s">
        <v>93</v>
      </c>
      <c r="H315" s="16" t="s">
        <v>55</v>
      </c>
      <c r="I315" s="16" t="s">
        <v>69</v>
      </c>
      <c r="J315" s="17" t="n">
        <v>87.54</v>
      </c>
      <c r="K315" s="16" t="n">
        <v>3</v>
      </c>
      <c r="L315" s="18" t="n">
        <v>0</v>
      </c>
      <c r="M315" s="19" t="n">
        <v>37.6422</v>
      </c>
      <c r="N315" s="16" t="str">
        <f aca="false">IF(M315&lt;0,"Loss",IF(M315&lt;50,"Low Profit",IF(M315&lt;200,"Medium Profit","High Profit")))</f>
        <v>Low Profit</v>
      </c>
      <c r="O315" s="16" t="str">
        <f aca="false">IF(J315&gt;=500,"High Value","Standard")</f>
        <v>Standard</v>
      </c>
      <c r="P315" s="16" t="str">
        <f aca="false">H315&amp;" &gt; "&amp;I315&amp;" ("&amp;K315&amp;" units)"</f>
        <v>Furniture &gt; Furnishings (3 units)</v>
      </c>
      <c r="Q315" s="16" t="str">
        <f aca="false">VLOOKUP(G315,Region_Manager_Table,2,FALSE())</f>
        <v>Priya Menon</v>
      </c>
      <c r="R315" s="16" t="n">
        <f aca="false">INDEX(SLA_Days_Col,MATCH(A315,ShipMode_Col,0))</f>
        <v>6</v>
      </c>
    </row>
    <row r="316" customFormat="false" ht="15" hidden="false" customHeight="false" outlineLevel="0" collapsed="false">
      <c r="A316" s="10" t="s">
        <v>64</v>
      </c>
      <c r="B316" s="10" t="s">
        <v>58</v>
      </c>
      <c r="C316" s="10" t="s">
        <v>51</v>
      </c>
      <c r="D316" s="10" t="s">
        <v>194</v>
      </c>
      <c r="E316" s="10" t="s">
        <v>66</v>
      </c>
      <c r="F316" s="10" t="n">
        <v>33710</v>
      </c>
      <c r="G316" s="10" t="s">
        <v>54</v>
      </c>
      <c r="H316" s="10" t="s">
        <v>71</v>
      </c>
      <c r="I316" s="10" t="s">
        <v>72</v>
      </c>
      <c r="J316" s="13" t="n">
        <v>178.384</v>
      </c>
      <c r="K316" s="10" t="n">
        <v>2</v>
      </c>
      <c r="L316" s="14" t="n">
        <v>0.2</v>
      </c>
      <c r="M316" s="15" t="n">
        <v>22.298</v>
      </c>
      <c r="N316" s="10" t="str">
        <f aca="false">IF(M316&lt;0,"Loss",IF(M316&lt;50,"Low Profit",IF(M316&lt;200,"Medium Profit","High Profit")))</f>
        <v>Low Profit</v>
      </c>
      <c r="O316" s="10" t="str">
        <f aca="false">IF(J316&gt;=500,"High Value","Standard")</f>
        <v>Standard</v>
      </c>
      <c r="P316" s="10" t="str">
        <f aca="false">H316&amp;" &gt; "&amp;I316&amp;" ("&amp;K316&amp;" units)"</f>
        <v>Technology &gt; Phones (2 units)</v>
      </c>
      <c r="Q316" s="10" t="str">
        <f aca="false">VLOOKUP(G316,Region_Manager_Table,2,FALSE())</f>
        <v>Karthik Iyer</v>
      </c>
      <c r="R316" s="10" t="n">
        <f aca="false">INDEX(SLA_Days_Col,MATCH(A316,ShipMode_Col,0))</f>
        <v>6</v>
      </c>
    </row>
    <row r="317" customFormat="false" ht="15" hidden="false" customHeight="false" outlineLevel="0" collapsed="false">
      <c r="A317" s="16" t="s">
        <v>64</v>
      </c>
      <c r="B317" s="16" t="s">
        <v>58</v>
      </c>
      <c r="C317" s="16" t="s">
        <v>51</v>
      </c>
      <c r="D317" s="16" t="s">
        <v>194</v>
      </c>
      <c r="E317" s="16" t="s">
        <v>66</v>
      </c>
      <c r="F317" s="16" t="n">
        <v>33710</v>
      </c>
      <c r="G317" s="16" t="s">
        <v>54</v>
      </c>
      <c r="H317" s="16" t="s">
        <v>62</v>
      </c>
      <c r="I317" s="16" t="s">
        <v>77</v>
      </c>
      <c r="J317" s="17" t="n">
        <v>15.552</v>
      </c>
      <c r="K317" s="16" t="n">
        <v>3</v>
      </c>
      <c r="L317" s="18" t="n">
        <v>0.2</v>
      </c>
      <c r="M317" s="19" t="n">
        <v>5.4432</v>
      </c>
      <c r="N317" s="16" t="str">
        <f aca="false">IF(M317&lt;0,"Loss",IF(M317&lt;50,"Low Profit",IF(M317&lt;200,"Medium Profit","High Profit")))</f>
        <v>Low Profit</v>
      </c>
      <c r="O317" s="16" t="str">
        <f aca="false">IF(J317&gt;=500,"High Value","Standard")</f>
        <v>Standard</v>
      </c>
      <c r="P317" s="16" t="str">
        <f aca="false">H317&amp;" &gt; "&amp;I317&amp;" ("&amp;K317&amp;" units)"</f>
        <v>Office Supplies &gt; Paper (3 units)</v>
      </c>
      <c r="Q317" s="16" t="str">
        <f aca="false">VLOOKUP(G317,Region_Manager_Table,2,FALSE())</f>
        <v>Karthik Iyer</v>
      </c>
      <c r="R317" s="16" t="n">
        <f aca="false">INDEX(SLA_Days_Col,MATCH(A317,ShipMode_Col,0))</f>
        <v>6</v>
      </c>
    </row>
    <row r="318" customFormat="false" ht="15" hidden="false" customHeight="false" outlineLevel="0" collapsed="false">
      <c r="A318" s="10" t="s">
        <v>98</v>
      </c>
      <c r="B318" s="10" t="s">
        <v>58</v>
      </c>
      <c r="C318" s="10" t="s">
        <v>51</v>
      </c>
      <c r="D318" s="10" t="s">
        <v>91</v>
      </c>
      <c r="E318" s="10" t="s">
        <v>92</v>
      </c>
      <c r="F318" s="10" t="n">
        <v>19143</v>
      </c>
      <c r="G318" s="10" t="s">
        <v>93</v>
      </c>
      <c r="H318" s="10" t="s">
        <v>62</v>
      </c>
      <c r="I318" s="10" t="s">
        <v>70</v>
      </c>
      <c r="J318" s="13" t="n">
        <v>99.136</v>
      </c>
      <c r="K318" s="10" t="n">
        <v>4</v>
      </c>
      <c r="L318" s="14" t="n">
        <v>0.2</v>
      </c>
      <c r="M318" s="15" t="n">
        <v>8.6744</v>
      </c>
      <c r="N318" s="10" t="str">
        <f aca="false">IF(M318&lt;0,"Loss",IF(M318&lt;50,"Low Profit",IF(M318&lt;200,"Medium Profit","High Profit")))</f>
        <v>Low Profit</v>
      </c>
      <c r="O318" s="10" t="str">
        <f aca="false">IF(J318&gt;=500,"High Value","Standard")</f>
        <v>Standard</v>
      </c>
      <c r="P318" s="10" t="str">
        <f aca="false">H318&amp;" &gt; "&amp;I318&amp;" ("&amp;K318&amp;" units)"</f>
        <v>Office Supplies &gt; Art (4 units)</v>
      </c>
      <c r="Q318" s="10" t="str">
        <f aca="false">VLOOKUP(G318,Region_Manager_Table,2,FALSE())</f>
        <v>Priya Menon</v>
      </c>
      <c r="R318" s="10" t="n">
        <f aca="false">INDEX(SLA_Days_Col,MATCH(A318,ShipMode_Col,0))</f>
        <v>2</v>
      </c>
    </row>
    <row r="319" customFormat="false" ht="15" hidden="false" customHeight="false" outlineLevel="0" collapsed="false">
      <c r="A319" s="16" t="s">
        <v>64</v>
      </c>
      <c r="B319" s="16" t="s">
        <v>80</v>
      </c>
      <c r="C319" s="16" t="s">
        <v>51</v>
      </c>
      <c r="D319" s="16" t="s">
        <v>111</v>
      </c>
      <c r="E319" s="16" t="s">
        <v>112</v>
      </c>
      <c r="F319" s="16" t="n">
        <v>10024</v>
      </c>
      <c r="G319" s="16" t="s">
        <v>93</v>
      </c>
      <c r="H319" s="16" t="s">
        <v>55</v>
      </c>
      <c r="I319" s="16" t="s">
        <v>57</v>
      </c>
      <c r="J319" s="17" t="n">
        <v>135.882</v>
      </c>
      <c r="K319" s="16" t="n">
        <v>1</v>
      </c>
      <c r="L319" s="18" t="n">
        <v>0.1</v>
      </c>
      <c r="M319" s="19" t="n">
        <v>24.1568</v>
      </c>
      <c r="N319" s="16" t="str">
        <f aca="false">IF(M319&lt;0,"Loss",IF(M319&lt;50,"Low Profit",IF(M319&lt;200,"Medium Profit","High Profit")))</f>
        <v>Low Profit</v>
      </c>
      <c r="O319" s="16" t="str">
        <f aca="false">IF(J319&gt;=500,"High Value","Standard")</f>
        <v>Standard</v>
      </c>
      <c r="P319" s="16" t="str">
        <f aca="false">H319&amp;" &gt; "&amp;I319&amp;" ("&amp;K319&amp;" units)"</f>
        <v>Furniture &gt; Chairs (1 units)</v>
      </c>
      <c r="Q319" s="16" t="str">
        <f aca="false">VLOOKUP(G319,Region_Manager_Table,2,FALSE())</f>
        <v>Priya Menon</v>
      </c>
      <c r="R319" s="16" t="n">
        <f aca="false">INDEX(SLA_Days_Col,MATCH(A319,ShipMode_Col,0))</f>
        <v>6</v>
      </c>
    </row>
    <row r="320" customFormat="false" ht="15" hidden="false" customHeight="false" outlineLevel="0" collapsed="false">
      <c r="A320" s="10" t="s">
        <v>64</v>
      </c>
      <c r="B320" s="10" t="s">
        <v>80</v>
      </c>
      <c r="C320" s="10" t="s">
        <v>51</v>
      </c>
      <c r="D320" s="10" t="s">
        <v>111</v>
      </c>
      <c r="E320" s="10" t="s">
        <v>112</v>
      </c>
      <c r="F320" s="10" t="n">
        <v>10024</v>
      </c>
      <c r="G320" s="10" t="s">
        <v>93</v>
      </c>
      <c r="H320" s="10" t="s">
        <v>71</v>
      </c>
      <c r="I320" s="10" t="s">
        <v>159</v>
      </c>
      <c r="J320" s="13" t="n">
        <v>3991.98</v>
      </c>
      <c r="K320" s="10" t="n">
        <v>2</v>
      </c>
      <c r="L320" s="14" t="n">
        <v>0</v>
      </c>
      <c r="M320" s="15" t="n">
        <v>1995.99</v>
      </c>
      <c r="N320" s="10" t="str">
        <f aca="false">IF(M320&lt;0,"Loss",IF(M320&lt;50,"Low Profit",IF(M320&lt;200,"Medium Profit","High Profit")))</f>
        <v>High Profit</v>
      </c>
      <c r="O320" s="10" t="str">
        <f aca="false">IF(J320&gt;=500,"High Value","Standard")</f>
        <v>High Value</v>
      </c>
      <c r="P320" s="10" t="str">
        <f aca="false">H320&amp;" &gt; "&amp;I320&amp;" ("&amp;K320&amp;" units)"</f>
        <v>Technology &gt; Machines (2 units)</v>
      </c>
      <c r="Q320" s="10" t="str">
        <f aca="false">VLOOKUP(G320,Region_Manager_Table,2,FALSE())</f>
        <v>Priya Menon</v>
      </c>
      <c r="R320" s="10" t="n">
        <f aca="false">INDEX(SLA_Days_Col,MATCH(A320,ShipMode_Col,0))</f>
        <v>6</v>
      </c>
    </row>
    <row r="321" customFormat="false" ht="15" hidden="false" customHeight="false" outlineLevel="0" collapsed="false">
      <c r="A321" s="16" t="s">
        <v>64</v>
      </c>
      <c r="B321" s="16" t="s">
        <v>80</v>
      </c>
      <c r="C321" s="16" t="s">
        <v>51</v>
      </c>
      <c r="D321" s="16" t="s">
        <v>111</v>
      </c>
      <c r="E321" s="16" t="s">
        <v>112</v>
      </c>
      <c r="F321" s="16" t="n">
        <v>10024</v>
      </c>
      <c r="G321" s="16" t="s">
        <v>93</v>
      </c>
      <c r="H321" s="16" t="s">
        <v>71</v>
      </c>
      <c r="I321" s="16" t="s">
        <v>72</v>
      </c>
      <c r="J321" s="17" t="n">
        <v>275.94</v>
      </c>
      <c r="K321" s="16" t="n">
        <v>6</v>
      </c>
      <c r="L321" s="18" t="n">
        <v>0</v>
      </c>
      <c r="M321" s="19" t="n">
        <v>80.0226</v>
      </c>
      <c r="N321" s="16" t="str">
        <f aca="false">IF(M321&lt;0,"Loss",IF(M321&lt;50,"Low Profit",IF(M321&lt;200,"Medium Profit","High Profit")))</f>
        <v>Medium Profit</v>
      </c>
      <c r="O321" s="16" t="str">
        <f aca="false">IF(J321&gt;=500,"High Value","Standard")</f>
        <v>Standard</v>
      </c>
      <c r="P321" s="16" t="str">
        <f aca="false">H321&amp;" &gt; "&amp;I321&amp;" ("&amp;K321&amp;" units)"</f>
        <v>Technology &gt; Phones (6 units)</v>
      </c>
      <c r="Q321" s="16" t="str">
        <f aca="false">VLOOKUP(G321,Region_Manager_Table,2,FALSE())</f>
        <v>Priya Menon</v>
      </c>
      <c r="R321" s="16" t="n">
        <f aca="false">INDEX(SLA_Days_Col,MATCH(A321,ShipMode_Col,0))</f>
        <v>6</v>
      </c>
    </row>
    <row r="322" customFormat="false" ht="15" hidden="false" customHeight="false" outlineLevel="0" collapsed="false">
      <c r="A322" s="10" t="s">
        <v>64</v>
      </c>
      <c r="B322" s="10" t="s">
        <v>80</v>
      </c>
      <c r="C322" s="10" t="s">
        <v>51</v>
      </c>
      <c r="D322" s="10" t="s">
        <v>111</v>
      </c>
      <c r="E322" s="10" t="s">
        <v>112</v>
      </c>
      <c r="F322" s="10" t="n">
        <v>10024</v>
      </c>
      <c r="G322" s="10" t="s">
        <v>93</v>
      </c>
      <c r="H322" s="10" t="s">
        <v>71</v>
      </c>
      <c r="I322" s="10" t="s">
        <v>95</v>
      </c>
      <c r="J322" s="13" t="n">
        <v>360</v>
      </c>
      <c r="K322" s="10" t="n">
        <v>4</v>
      </c>
      <c r="L322" s="14" t="n">
        <v>0</v>
      </c>
      <c r="M322" s="15" t="n">
        <v>129.6</v>
      </c>
      <c r="N322" s="10" t="str">
        <f aca="false">IF(M322&lt;0,"Loss",IF(M322&lt;50,"Low Profit",IF(M322&lt;200,"Medium Profit","High Profit")))</f>
        <v>Medium Profit</v>
      </c>
      <c r="O322" s="10" t="str">
        <f aca="false">IF(J322&gt;=500,"High Value","Standard")</f>
        <v>Standard</v>
      </c>
      <c r="P322" s="10" t="str">
        <f aca="false">H322&amp;" &gt; "&amp;I322&amp;" ("&amp;K322&amp;" units)"</f>
        <v>Technology &gt; Accessories (4 units)</v>
      </c>
      <c r="Q322" s="10" t="str">
        <f aca="false">VLOOKUP(G322,Region_Manager_Table,2,FALSE())</f>
        <v>Priya Menon</v>
      </c>
      <c r="R322" s="10" t="n">
        <f aca="false">INDEX(SLA_Days_Col,MATCH(A322,ShipMode_Col,0))</f>
        <v>6</v>
      </c>
    </row>
    <row r="323" customFormat="false" ht="15" hidden="false" customHeight="false" outlineLevel="0" collapsed="false">
      <c r="A323" s="16" t="s">
        <v>64</v>
      </c>
      <c r="B323" s="16" t="s">
        <v>80</v>
      </c>
      <c r="C323" s="16" t="s">
        <v>51</v>
      </c>
      <c r="D323" s="16" t="s">
        <v>111</v>
      </c>
      <c r="E323" s="16" t="s">
        <v>112</v>
      </c>
      <c r="F323" s="16" t="n">
        <v>10024</v>
      </c>
      <c r="G323" s="16" t="s">
        <v>93</v>
      </c>
      <c r="H323" s="16" t="s">
        <v>62</v>
      </c>
      <c r="I323" s="16" t="s">
        <v>68</v>
      </c>
      <c r="J323" s="17" t="n">
        <v>43.57</v>
      </c>
      <c r="K323" s="16" t="n">
        <v>1</v>
      </c>
      <c r="L323" s="18" t="n">
        <v>0</v>
      </c>
      <c r="M323" s="19" t="n">
        <v>13.071</v>
      </c>
      <c r="N323" s="16" t="str">
        <f aca="false">IF(M323&lt;0,"Loss",IF(M323&lt;50,"Low Profit",IF(M323&lt;200,"Medium Profit","High Profit")))</f>
        <v>Low Profit</v>
      </c>
      <c r="O323" s="16" t="str">
        <f aca="false">IF(J323&gt;=500,"High Value","Standard")</f>
        <v>Standard</v>
      </c>
      <c r="P323" s="16" t="str">
        <f aca="false">H323&amp;" &gt; "&amp;I323&amp;" ("&amp;K323&amp;" units)"</f>
        <v>Office Supplies &gt; Storage (1 units)</v>
      </c>
      <c r="Q323" s="16" t="str">
        <f aca="false">VLOOKUP(G323,Region_Manager_Table,2,FALSE())</f>
        <v>Priya Menon</v>
      </c>
      <c r="R323" s="16" t="n">
        <f aca="false">INDEX(SLA_Days_Col,MATCH(A323,ShipMode_Col,0))</f>
        <v>6</v>
      </c>
    </row>
    <row r="324" customFormat="false" ht="15" hidden="false" customHeight="false" outlineLevel="0" collapsed="false">
      <c r="A324" s="10" t="s">
        <v>64</v>
      </c>
      <c r="B324" s="10" t="s">
        <v>58</v>
      </c>
      <c r="C324" s="10" t="s">
        <v>51</v>
      </c>
      <c r="D324" s="10" t="s">
        <v>195</v>
      </c>
      <c r="E324" s="10" t="s">
        <v>60</v>
      </c>
      <c r="F324" s="10" t="n">
        <v>90805</v>
      </c>
      <c r="G324" s="10" t="s">
        <v>61</v>
      </c>
      <c r="H324" s="10" t="s">
        <v>62</v>
      </c>
      <c r="I324" s="10" t="s">
        <v>113</v>
      </c>
      <c r="J324" s="13" t="n">
        <v>7.16</v>
      </c>
      <c r="K324" s="10" t="n">
        <v>2</v>
      </c>
      <c r="L324" s="14" t="n">
        <v>0</v>
      </c>
      <c r="M324" s="15" t="n">
        <v>3.58</v>
      </c>
      <c r="N324" s="10" t="str">
        <f aca="false">IF(M324&lt;0,"Loss",IF(M324&lt;50,"Low Profit",IF(M324&lt;200,"Medium Profit","High Profit")))</f>
        <v>Low Profit</v>
      </c>
      <c r="O324" s="10" t="str">
        <f aca="false">IF(J324&gt;=500,"High Value","Standard")</f>
        <v>Standard</v>
      </c>
      <c r="P324" s="10" t="str">
        <f aca="false">H324&amp;" &gt; "&amp;I324&amp;" ("&amp;K324&amp;" units)"</f>
        <v>Office Supplies &gt; Fasteners (2 units)</v>
      </c>
      <c r="Q324" s="10" t="str">
        <f aca="false">VLOOKUP(G324,Region_Manager_Table,2,FALSE())</f>
        <v>Sana Sheikh</v>
      </c>
      <c r="R324" s="10" t="n">
        <f aca="false">INDEX(SLA_Days_Col,MATCH(A324,ShipMode_Col,0))</f>
        <v>6</v>
      </c>
    </row>
    <row r="325" customFormat="false" ht="15" hidden="false" customHeight="false" outlineLevel="0" collapsed="false">
      <c r="A325" s="16" t="s">
        <v>64</v>
      </c>
      <c r="B325" s="16" t="s">
        <v>58</v>
      </c>
      <c r="C325" s="16" t="s">
        <v>51</v>
      </c>
      <c r="D325" s="16" t="s">
        <v>196</v>
      </c>
      <c r="E325" s="16" t="s">
        <v>60</v>
      </c>
      <c r="F325" s="16" t="n">
        <v>92345</v>
      </c>
      <c r="G325" s="16" t="s">
        <v>61</v>
      </c>
      <c r="H325" s="16" t="s">
        <v>62</v>
      </c>
      <c r="I325" s="16" t="s">
        <v>73</v>
      </c>
      <c r="J325" s="17" t="n">
        <v>251.52</v>
      </c>
      <c r="K325" s="16" t="n">
        <v>6</v>
      </c>
      <c r="L325" s="18" t="n">
        <v>0.2</v>
      </c>
      <c r="M325" s="19" t="n">
        <v>81.744</v>
      </c>
      <c r="N325" s="16" t="str">
        <f aca="false">IF(M325&lt;0,"Loss",IF(M325&lt;50,"Low Profit",IF(M325&lt;200,"Medium Profit","High Profit")))</f>
        <v>Medium Profit</v>
      </c>
      <c r="O325" s="16" t="str">
        <f aca="false">IF(J325&gt;=500,"High Value","Standard")</f>
        <v>Standard</v>
      </c>
      <c r="P325" s="16" t="str">
        <f aca="false">H325&amp;" &gt; "&amp;I325&amp;" ("&amp;K325&amp;" units)"</f>
        <v>Office Supplies &gt; Binders (6 units)</v>
      </c>
      <c r="Q325" s="16" t="str">
        <f aca="false">VLOOKUP(G325,Region_Manager_Table,2,FALSE())</f>
        <v>Sana Sheikh</v>
      </c>
      <c r="R325" s="16" t="n">
        <f aca="false">INDEX(SLA_Days_Col,MATCH(A325,ShipMode_Col,0))</f>
        <v>6</v>
      </c>
    </row>
    <row r="326" customFormat="false" ht="15" hidden="false" customHeight="false" outlineLevel="0" collapsed="false">
      <c r="A326" s="10" t="s">
        <v>64</v>
      </c>
      <c r="B326" s="10" t="s">
        <v>58</v>
      </c>
      <c r="C326" s="10" t="s">
        <v>51</v>
      </c>
      <c r="D326" s="10" t="s">
        <v>196</v>
      </c>
      <c r="E326" s="10" t="s">
        <v>60</v>
      </c>
      <c r="F326" s="10" t="n">
        <v>92345</v>
      </c>
      <c r="G326" s="10" t="s">
        <v>61</v>
      </c>
      <c r="H326" s="10" t="s">
        <v>71</v>
      </c>
      <c r="I326" s="10" t="s">
        <v>95</v>
      </c>
      <c r="J326" s="13" t="n">
        <v>99.99</v>
      </c>
      <c r="K326" s="10" t="n">
        <v>1</v>
      </c>
      <c r="L326" s="14" t="n">
        <v>0</v>
      </c>
      <c r="M326" s="15" t="n">
        <v>34.9965</v>
      </c>
      <c r="N326" s="10" t="str">
        <f aca="false">IF(M326&lt;0,"Loss",IF(M326&lt;50,"Low Profit",IF(M326&lt;200,"Medium Profit","High Profit")))</f>
        <v>Low Profit</v>
      </c>
      <c r="O326" s="10" t="str">
        <f aca="false">IF(J326&gt;=500,"High Value","Standard")</f>
        <v>Standard</v>
      </c>
      <c r="P326" s="10" t="str">
        <f aca="false">H326&amp;" &gt; "&amp;I326&amp;" ("&amp;K326&amp;" units)"</f>
        <v>Technology &gt; Accessories (1 units)</v>
      </c>
      <c r="Q326" s="10" t="str">
        <f aca="false">VLOOKUP(G326,Region_Manager_Table,2,FALSE())</f>
        <v>Sana Sheikh</v>
      </c>
      <c r="R326" s="10" t="n">
        <f aca="false">INDEX(SLA_Days_Col,MATCH(A326,ShipMode_Col,0))</f>
        <v>6</v>
      </c>
    </row>
    <row r="327" customFormat="false" ht="15" hidden="false" customHeight="false" outlineLevel="0" collapsed="false">
      <c r="A327" s="16" t="s">
        <v>49</v>
      </c>
      <c r="B327" s="16" t="s">
        <v>58</v>
      </c>
      <c r="C327" s="16" t="s">
        <v>51</v>
      </c>
      <c r="D327" s="16" t="s">
        <v>197</v>
      </c>
      <c r="E327" s="16" t="s">
        <v>122</v>
      </c>
      <c r="F327" s="16" t="n">
        <v>37130</v>
      </c>
      <c r="G327" s="16" t="s">
        <v>54</v>
      </c>
      <c r="H327" s="16" t="s">
        <v>55</v>
      </c>
      <c r="I327" s="16" t="s">
        <v>69</v>
      </c>
      <c r="J327" s="17" t="n">
        <v>15.992</v>
      </c>
      <c r="K327" s="16" t="n">
        <v>1</v>
      </c>
      <c r="L327" s="18" t="n">
        <v>0.2</v>
      </c>
      <c r="M327" s="19" t="n">
        <v>0.9995</v>
      </c>
      <c r="N327" s="16" t="str">
        <f aca="false">IF(M327&lt;0,"Loss",IF(M327&lt;50,"Low Profit",IF(M327&lt;200,"Medium Profit","High Profit")))</f>
        <v>Low Profit</v>
      </c>
      <c r="O327" s="16" t="str">
        <f aca="false">IF(J327&gt;=500,"High Value","Standard")</f>
        <v>Standard</v>
      </c>
      <c r="P327" s="16" t="str">
        <f aca="false">H327&amp;" &gt; "&amp;I327&amp;" ("&amp;K327&amp;" units)"</f>
        <v>Furniture &gt; Furnishings (1 units)</v>
      </c>
      <c r="Q327" s="16" t="str">
        <f aca="false">VLOOKUP(G327,Region_Manager_Table,2,FALSE())</f>
        <v>Karthik Iyer</v>
      </c>
      <c r="R327" s="16" t="n">
        <f aca="false">INDEX(SLA_Days_Col,MATCH(A327,ShipMode_Col,0))</f>
        <v>4</v>
      </c>
    </row>
    <row r="328" customFormat="false" ht="15" hidden="false" customHeight="false" outlineLevel="0" collapsed="false">
      <c r="A328" s="10" t="s">
        <v>98</v>
      </c>
      <c r="B328" s="10" t="s">
        <v>50</v>
      </c>
      <c r="C328" s="10" t="s">
        <v>51</v>
      </c>
      <c r="D328" s="10" t="s">
        <v>91</v>
      </c>
      <c r="E328" s="10" t="s">
        <v>92</v>
      </c>
      <c r="F328" s="10" t="n">
        <v>19143</v>
      </c>
      <c r="G328" s="10" t="s">
        <v>93</v>
      </c>
      <c r="H328" s="10" t="s">
        <v>71</v>
      </c>
      <c r="I328" s="10" t="s">
        <v>72</v>
      </c>
      <c r="J328" s="13" t="n">
        <v>290.898</v>
      </c>
      <c r="K328" s="10" t="n">
        <v>3</v>
      </c>
      <c r="L328" s="14" t="n">
        <v>0.4</v>
      </c>
      <c r="M328" s="15" t="n">
        <v>-67.8762</v>
      </c>
      <c r="N328" s="10" t="str">
        <f aca="false">IF(M328&lt;0,"Loss",IF(M328&lt;50,"Low Profit",IF(M328&lt;200,"Medium Profit","High Profit")))</f>
        <v>Loss</v>
      </c>
      <c r="O328" s="10" t="str">
        <f aca="false">IF(J328&gt;=500,"High Value","Standard")</f>
        <v>Standard</v>
      </c>
      <c r="P328" s="10" t="str">
        <f aca="false">H328&amp;" &gt; "&amp;I328&amp;" ("&amp;K328&amp;" units)"</f>
        <v>Technology &gt; Phones (3 units)</v>
      </c>
      <c r="Q328" s="10" t="str">
        <f aca="false">VLOOKUP(G328,Region_Manager_Table,2,FALSE())</f>
        <v>Priya Menon</v>
      </c>
      <c r="R328" s="10" t="n">
        <f aca="false">INDEX(SLA_Days_Col,MATCH(A328,ShipMode_Col,0))</f>
        <v>2</v>
      </c>
    </row>
    <row r="329" customFormat="false" ht="15" hidden="false" customHeight="false" outlineLevel="0" collapsed="false">
      <c r="A329" s="16" t="s">
        <v>98</v>
      </c>
      <c r="B329" s="16" t="s">
        <v>50</v>
      </c>
      <c r="C329" s="16" t="s">
        <v>51</v>
      </c>
      <c r="D329" s="16" t="s">
        <v>91</v>
      </c>
      <c r="E329" s="16" t="s">
        <v>92</v>
      </c>
      <c r="F329" s="16" t="n">
        <v>19143</v>
      </c>
      <c r="G329" s="16" t="s">
        <v>93</v>
      </c>
      <c r="H329" s="16" t="s">
        <v>62</v>
      </c>
      <c r="I329" s="16" t="s">
        <v>68</v>
      </c>
      <c r="J329" s="17" t="n">
        <v>54.224</v>
      </c>
      <c r="K329" s="16" t="n">
        <v>2</v>
      </c>
      <c r="L329" s="18" t="n">
        <v>0.2</v>
      </c>
      <c r="M329" s="19" t="n">
        <v>3.389</v>
      </c>
      <c r="N329" s="16" t="str">
        <f aca="false">IF(M329&lt;0,"Loss",IF(M329&lt;50,"Low Profit",IF(M329&lt;200,"Medium Profit","High Profit")))</f>
        <v>Low Profit</v>
      </c>
      <c r="O329" s="16" t="str">
        <f aca="false">IF(J329&gt;=500,"High Value","Standard")</f>
        <v>Standard</v>
      </c>
      <c r="P329" s="16" t="str">
        <f aca="false">H329&amp;" &gt; "&amp;I329&amp;" ("&amp;K329&amp;" units)"</f>
        <v>Office Supplies &gt; Storage (2 units)</v>
      </c>
      <c r="Q329" s="16" t="str">
        <f aca="false">VLOOKUP(G329,Region_Manager_Table,2,FALSE())</f>
        <v>Priya Menon</v>
      </c>
      <c r="R329" s="16" t="n">
        <f aca="false">INDEX(SLA_Days_Col,MATCH(A329,ShipMode_Col,0))</f>
        <v>2</v>
      </c>
    </row>
    <row r="330" customFormat="false" ht="15" hidden="false" customHeight="false" outlineLevel="0" collapsed="false">
      <c r="A330" s="10" t="s">
        <v>98</v>
      </c>
      <c r="B330" s="10" t="s">
        <v>50</v>
      </c>
      <c r="C330" s="10" t="s">
        <v>51</v>
      </c>
      <c r="D330" s="10" t="s">
        <v>91</v>
      </c>
      <c r="E330" s="10" t="s">
        <v>92</v>
      </c>
      <c r="F330" s="10" t="n">
        <v>19143</v>
      </c>
      <c r="G330" s="10" t="s">
        <v>93</v>
      </c>
      <c r="H330" s="10" t="s">
        <v>55</v>
      </c>
      <c r="I330" s="10" t="s">
        <v>57</v>
      </c>
      <c r="J330" s="13" t="n">
        <v>786.744</v>
      </c>
      <c r="K330" s="10" t="n">
        <v>4</v>
      </c>
      <c r="L330" s="14" t="n">
        <v>0.3</v>
      </c>
      <c r="M330" s="15" t="n">
        <v>-258.5016</v>
      </c>
      <c r="N330" s="10" t="str">
        <f aca="false">IF(M330&lt;0,"Loss",IF(M330&lt;50,"Low Profit",IF(M330&lt;200,"Medium Profit","High Profit")))</f>
        <v>Loss</v>
      </c>
      <c r="O330" s="10" t="str">
        <f aca="false">IF(J330&gt;=500,"High Value","Standard")</f>
        <v>High Value</v>
      </c>
      <c r="P330" s="10" t="str">
        <f aca="false">H330&amp;" &gt; "&amp;I330&amp;" ("&amp;K330&amp;" units)"</f>
        <v>Furniture &gt; Chairs (4 units)</v>
      </c>
      <c r="Q330" s="10" t="str">
        <f aca="false">VLOOKUP(G330,Region_Manager_Table,2,FALSE())</f>
        <v>Priya Menon</v>
      </c>
      <c r="R330" s="10" t="n">
        <f aca="false">INDEX(SLA_Days_Col,MATCH(A330,ShipMode_Col,0))</f>
        <v>2</v>
      </c>
    </row>
    <row r="331" customFormat="false" ht="15" hidden="false" customHeight="false" outlineLevel="0" collapsed="false">
      <c r="A331" s="16" t="s">
        <v>98</v>
      </c>
      <c r="B331" s="16" t="s">
        <v>50</v>
      </c>
      <c r="C331" s="16" t="s">
        <v>51</v>
      </c>
      <c r="D331" s="16" t="s">
        <v>91</v>
      </c>
      <c r="E331" s="16" t="s">
        <v>92</v>
      </c>
      <c r="F331" s="16" t="n">
        <v>19143</v>
      </c>
      <c r="G331" s="16" t="s">
        <v>93</v>
      </c>
      <c r="H331" s="16" t="s">
        <v>62</v>
      </c>
      <c r="I331" s="16" t="s">
        <v>63</v>
      </c>
      <c r="J331" s="17" t="n">
        <v>100.24</v>
      </c>
      <c r="K331" s="16" t="n">
        <v>10</v>
      </c>
      <c r="L331" s="18" t="n">
        <v>0.2</v>
      </c>
      <c r="M331" s="19" t="n">
        <v>33.831</v>
      </c>
      <c r="N331" s="16" t="str">
        <f aca="false">IF(M331&lt;0,"Loss",IF(M331&lt;50,"Low Profit",IF(M331&lt;200,"Medium Profit","High Profit")))</f>
        <v>Low Profit</v>
      </c>
      <c r="O331" s="16" t="str">
        <f aca="false">IF(J331&gt;=500,"High Value","Standard")</f>
        <v>Standard</v>
      </c>
      <c r="P331" s="16" t="str">
        <f aca="false">H331&amp;" &gt; "&amp;I331&amp;" ("&amp;K331&amp;" units)"</f>
        <v>Office Supplies &gt; Labels (10 units)</v>
      </c>
      <c r="Q331" s="16" t="str">
        <f aca="false">VLOOKUP(G331,Region_Manager_Table,2,FALSE())</f>
        <v>Priya Menon</v>
      </c>
      <c r="R331" s="16" t="n">
        <f aca="false">INDEX(SLA_Days_Col,MATCH(A331,ShipMode_Col,0))</f>
        <v>2</v>
      </c>
    </row>
    <row r="332" customFormat="false" ht="15" hidden="false" customHeight="false" outlineLevel="0" collapsed="false">
      <c r="A332" s="10" t="s">
        <v>98</v>
      </c>
      <c r="B332" s="10" t="s">
        <v>50</v>
      </c>
      <c r="C332" s="10" t="s">
        <v>51</v>
      </c>
      <c r="D332" s="10" t="s">
        <v>91</v>
      </c>
      <c r="E332" s="10" t="s">
        <v>92</v>
      </c>
      <c r="F332" s="10" t="n">
        <v>19143</v>
      </c>
      <c r="G332" s="10" t="s">
        <v>93</v>
      </c>
      <c r="H332" s="10" t="s">
        <v>62</v>
      </c>
      <c r="I332" s="10" t="s">
        <v>73</v>
      </c>
      <c r="J332" s="13" t="n">
        <v>37.764</v>
      </c>
      <c r="K332" s="10" t="n">
        <v>6</v>
      </c>
      <c r="L332" s="14" t="n">
        <v>0.7</v>
      </c>
      <c r="M332" s="15" t="n">
        <v>-27.6936</v>
      </c>
      <c r="N332" s="10" t="str">
        <f aca="false">IF(M332&lt;0,"Loss",IF(M332&lt;50,"Low Profit",IF(M332&lt;200,"Medium Profit","High Profit")))</f>
        <v>Loss</v>
      </c>
      <c r="O332" s="10" t="str">
        <f aca="false">IF(J332&gt;=500,"High Value","Standard")</f>
        <v>Standard</v>
      </c>
      <c r="P332" s="10" t="str">
        <f aca="false">H332&amp;" &gt; "&amp;I332&amp;" ("&amp;K332&amp;" units)"</f>
        <v>Office Supplies &gt; Binders (6 units)</v>
      </c>
      <c r="Q332" s="10" t="str">
        <f aca="false">VLOOKUP(G332,Region_Manager_Table,2,FALSE())</f>
        <v>Priya Menon</v>
      </c>
      <c r="R332" s="10" t="n">
        <f aca="false">INDEX(SLA_Days_Col,MATCH(A332,ShipMode_Col,0))</f>
        <v>2</v>
      </c>
    </row>
    <row r="333" customFormat="false" ht="15" hidden="false" customHeight="false" outlineLevel="0" collapsed="false">
      <c r="A333" s="16" t="s">
        <v>49</v>
      </c>
      <c r="B333" s="16" t="s">
        <v>50</v>
      </c>
      <c r="C333" s="16" t="s">
        <v>51</v>
      </c>
      <c r="D333" s="16" t="s">
        <v>91</v>
      </c>
      <c r="E333" s="16" t="s">
        <v>92</v>
      </c>
      <c r="F333" s="16" t="n">
        <v>19134</v>
      </c>
      <c r="G333" s="16" t="s">
        <v>93</v>
      </c>
      <c r="H333" s="16" t="s">
        <v>71</v>
      </c>
      <c r="I333" s="16" t="s">
        <v>72</v>
      </c>
      <c r="J333" s="17" t="n">
        <v>82.8</v>
      </c>
      <c r="K333" s="16" t="n">
        <v>2</v>
      </c>
      <c r="L333" s="18" t="n">
        <v>0.4</v>
      </c>
      <c r="M333" s="19" t="n">
        <v>-20.7</v>
      </c>
      <c r="N333" s="16" t="str">
        <f aca="false">IF(M333&lt;0,"Loss",IF(M333&lt;50,"Low Profit",IF(M333&lt;200,"Medium Profit","High Profit")))</f>
        <v>Loss</v>
      </c>
      <c r="O333" s="16" t="str">
        <f aca="false">IF(J333&gt;=500,"High Value","Standard")</f>
        <v>Standard</v>
      </c>
      <c r="P333" s="16" t="str">
        <f aca="false">H333&amp;" &gt; "&amp;I333&amp;" ("&amp;K333&amp;" units)"</f>
        <v>Technology &gt; Phones (2 units)</v>
      </c>
      <c r="Q333" s="16" t="str">
        <f aca="false">VLOOKUP(G333,Region_Manager_Table,2,FALSE())</f>
        <v>Priya Menon</v>
      </c>
      <c r="R333" s="16" t="n">
        <f aca="false">INDEX(SLA_Days_Col,MATCH(A333,ShipMode_Col,0))</f>
        <v>4</v>
      </c>
    </row>
    <row r="334" customFormat="false" ht="15" hidden="false" customHeight="false" outlineLevel="0" collapsed="false">
      <c r="A334" s="10" t="s">
        <v>49</v>
      </c>
      <c r="B334" s="10" t="s">
        <v>50</v>
      </c>
      <c r="C334" s="10" t="s">
        <v>51</v>
      </c>
      <c r="D334" s="10" t="s">
        <v>91</v>
      </c>
      <c r="E334" s="10" t="s">
        <v>92</v>
      </c>
      <c r="F334" s="10" t="n">
        <v>19134</v>
      </c>
      <c r="G334" s="10" t="s">
        <v>93</v>
      </c>
      <c r="H334" s="10" t="s">
        <v>62</v>
      </c>
      <c r="I334" s="10" t="s">
        <v>73</v>
      </c>
      <c r="J334" s="13" t="n">
        <v>20.724</v>
      </c>
      <c r="K334" s="10" t="n">
        <v>2</v>
      </c>
      <c r="L334" s="14" t="n">
        <v>0.7</v>
      </c>
      <c r="M334" s="15" t="n">
        <v>-13.816</v>
      </c>
      <c r="N334" s="10" t="str">
        <f aca="false">IF(M334&lt;0,"Loss",IF(M334&lt;50,"Low Profit",IF(M334&lt;200,"Medium Profit","High Profit")))</f>
        <v>Loss</v>
      </c>
      <c r="O334" s="10" t="str">
        <f aca="false">IF(J334&gt;=500,"High Value","Standard")</f>
        <v>Standard</v>
      </c>
      <c r="P334" s="10" t="str">
        <f aca="false">H334&amp;" &gt; "&amp;I334&amp;" ("&amp;K334&amp;" units)"</f>
        <v>Office Supplies &gt; Binders (2 units)</v>
      </c>
      <c r="Q334" s="10" t="str">
        <f aca="false">VLOOKUP(G334,Region_Manager_Table,2,FALSE())</f>
        <v>Priya Menon</v>
      </c>
      <c r="R334" s="10" t="n">
        <f aca="false">INDEX(SLA_Days_Col,MATCH(A334,ShipMode_Col,0))</f>
        <v>4</v>
      </c>
    </row>
    <row r="335" customFormat="false" ht="15" hidden="false" customHeight="false" outlineLevel="0" collapsed="false">
      <c r="A335" s="16" t="s">
        <v>49</v>
      </c>
      <c r="B335" s="16" t="s">
        <v>50</v>
      </c>
      <c r="C335" s="16" t="s">
        <v>51</v>
      </c>
      <c r="D335" s="16" t="s">
        <v>91</v>
      </c>
      <c r="E335" s="16" t="s">
        <v>92</v>
      </c>
      <c r="F335" s="16" t="n">
        <v>19134</v>
      </c>
      <c r="G335" s="16" t="s">
        <v>93</v>
      </c>
      <c r="H335" s="16" t="s">
        <v>62</v>
      </c>
      <c r="I335" s="16" t="s">
        <v>73</v>
      </c>
      <c r="J335" s="17" t="n">
        <v>4.896</v>
      </c>
      <c r="K335" s="16" t="n">
        <v>3</v>
      </c>
      <c r="L335" s="18" t="n">
        <v>0.7</v>
      </c>
      <c r="M335" s="19" t="n">
        <v>-3.4272</v>
      </c>
      <c r="N335" s="16" t="str">
        <f aca="false">IF(M335&lt;0,"Loss",IF(M335&lt;50,"Low Profit",IF(M335&lt;200,"Medium Profit","High Profit")))</f>
        <v>Loss</v>
      </c>
      <c r="O335" s="16" t="str">
        <f aca="false">IF(J335&gt;=500,"High Value","Standard")</f>
        <v>Standard</v>
      </c>
      <c r="P335" s="16" t="str">
        <f aca="false">H335&amp;" &gt; "&amp;I335&amp;" ("&amp;K335&amp;" units)"</f>
        <v>Office Supplies &gt; Binders (3 units)</v>
      </c>
      <c r="Q335" s="16" t="str">
        <f aca="false">VLOOKUP(G335,Region_Manager_Table,2,FALSE())</f>
        <v>Priya Menon</v>
      </c>
      <c r="R335" s="16" t="n">
        <f aca="false">INDEX(SLA_Days_Col,MATCH(A335,ShipMode_Col,0))</f>
        <v>4</v>
      </c>
    </row>
    <row r="336" customFormat="false" ht="15" hidden="false" customHeight="false" outlineLevel="0" collapsed="false">
      <c r="A336" s="10" t="s">
        <v>49</v>
      </c>
      <c r="B336" s="10" t="s">
        <v>50</v>
      </c>
      <c r="C336" s="10" t="s">
        <v>51</v>
      </c>
      <c r="D336" s="10" t="s">
        <v>59</v>
      </c>
      <c r="E336" s="10" t="s">
        <v>60</v>
      </c>
      <c r="F336" s="10" t="n">
        <v>90045</v>
      </c>
      <c r="G336" s="10" t="s">
        <v>61</v>
      </c>
      <c r="H336" s="10" t="s">
        <v>62</v>
      </c>
      <c r="I336" s="10" t="s">
        <v>73</v>
      </c>
      <c r="J336" s="13" t="n">
        <v>4.752</v>
      </c>
      <c r="K336" s="10" t="n">
        <v>1</v>
      </c>
      <c r="L336" s="14" t="n">
        <v>0.2</v>
      </c>
      <c r="M336" s="15" t="n">
        <v>1.6038</v>
      </c>
      <c r="N336" s="10" t="str">
        <f aca="false">IF(M336&lt;0,"Loss",IF(M336&lt;50,"Low Profit",IF(M336&lt;200,"Medium Profit","High Profit")))</f>
        <v>Low Profit</v>
      </c>
      <c r="O336" s="10" t="str">
        <f aca="false">IF(J336&gt;=500,"High Value","Standard")</f>
        <v>Standard</v>
      </c>
      <c r="P336" s="10" t="str">
        <f aca="false">H336&amp;" &gt; "&amp;I336&amp;" ("&amp;K336&amp;" units)"</f>
        <v>Office Supplies &gt; Binders (1 units)</v>
      </c>
      <c r="Q336" s="10" t="str">
        <f aca="false">VLOOKUP(G336,Region_Manager_Table,2,FALSE())</f>
        <v>Sana Sheikh</v>
      </c>
      <c r="R336" s="10" t="n">
        <f aca="false">INDEX(SLA_Days_Col,MATCH(A336,ShipMode_Col,0))</f>
        <v>4</v>
      </c>
    </row>
    <row r="337" customFormat="false" ht="15" hidden="false" customHeight="false" outlineLevel="0" collapsed="false">
      <c r="A337" s="16" t="s">
        <v>49</v>
      </c>
      <c r="B337" s="16" t="s">
        <v>50</v>
      </c>
      <c r="C337" s="16" t="s">
        <v>51</v>
      </c>
      <c r="D337" s="16" t="s">
        <v>59</v>
      </c>
      <c r="E337" s="16" t="s">
        <v>60</v>
      </c>
      <c r="F337" s="16" t="n">
        <v>90045</v>
      </c>
      <c r="G337" s="16" t="s">
        <v>61</v>
      </c>
      <c r="H337" s="16" t="s">
        <v>71</v>
      </c>
      <c r="I337" s="16" t="s">
        <v>198</v>
      </c>
      <c r="J337" s="17" t="n">
        <v>959.984</v>
      </c>
      <c r="K337" s="16" t="n">
        <v>2</v>
      </c>
      <c r="L337" s="18" t="n">
        <v>0.2</v>
      </c>
      <c r="M337" s="19" t="n">
        <v>335.9944</v>
      </c>
      <c r="N337" s="16" t="str">
        <f aca="false">IF(M337&lt;0,"Loss",IF(M337&lt;50,"Low Profit",IF(M337&lt;200,"Medium Profit","High Profit")))</f>
        <v>High Profit</v>
      </c>
      <c r="O337" s="16" t="str">
        <f aca="false">IF(J337&gt;=500,"High Value","Standard")</f>
        <v>High Value</v>
      </c>
      <c r="P337" s="16" t="str">
        <f aca="false">H337&amp;" &gt; "&amp;I337&amp;" ("&amp;K337&amp;" units)"</f>
        <v>Technology &gt; Copiers (2 units)</v>
      </c>
      <c r="Q337" s="16" t="str">
        <f aca="false">VLOOKUP(G337,Region_Manager_Table,2,FALSE())</f>
        <v>Sana Sheikh</v>
      </c>
      <c r="R337" s="16" t="n">
        <f aca="false">INDEX(SLA_Days_Col,MATCH(A337,ShipMode_Col,0))</f>
        <v>4</v>
      </c>
    </row>
    <row r="338" customFormat="false" ht="15" hidden="false" customHeight="false" outlineLevel="0" collapsed="false">
      <c r="A338" s="10" t="s">
        <v>49</v>
      </c>
      <c r="B338" s="10" t="s">
        <v>50</v>
      </c>
      <c r="C338" s="10" t="s">
        <v>51</v>
      </c>
      <c r="D338" s="10" t="s">
        <v>59</v>
      </c>
      <c r="E338" s="10" t="s">
        <v>60</v>
      </c>
      <c r="F338" s="10" t="n">
        <v>90045</v>
      </c>
      <c r="G338" s="10" t="s">
        <v>61</v>
      </c>
      <c r="H338" s="10" t="s">
        <v>62</v>
      </c>
      <c r="I338" s="10" t="s">
        <v>73</v>
      </c>
      <c r="J338" s="13" t="n">
        <v>14.368</v>
      </c>
      <c r="K338" s="10" t="n">
        <v>4</v>
      </c>
      <c r="L338" s="14" t="n">
        <v>0.2</v>
      </c>
      <c r="M338" s="15" t="n">
        <v>4.49</v>
      </c>
      <c r="N338" s="10" t="str">
        <f aca="false">IF(M338&lt;0,"Loss",IF(M338&lt;50,"Low Profit",IF(M338&lt;200,"Medium Profit","High Profit")))</f>
        <v>Low Profit</v>
      </c>
      <c r="O338" s="10" t="str">
        <f aca="false">IF(J338&gt;=500,"High Value","Standard")</f>
        <v>Standard</v>
      </c>
      <c r="P338" s="10" t="str">
        <f aca="false">H338&amp;" &gt; "&amp;I338&amp;" ("&amp;K338&amp;" units)"</f>
        <v>Office Supplies &gt; Binders (4 units)</v>
      </c>
      <c r="Q338" s="10" t="str">
        <f aca="false">VLOOKUP(G338,Region_Manager_Table,2,FALSE())</f>
        <v>Sana Sheikh</v>
      </c>
      <c r="R338" s="10" t="n">
        <f aca="false">INDEX(SLA_Days_Col,MATCH(A338,ShipMode_Col,0))</f>
        <v>4</v>
      </c>
    </row>
    <row r="339" customFormat="false" ht="15" hidden="false" customHeight="false" outlineLevel="0" collapsed="false">
      <c r="A339" s="16" t="s">
        <v>64</v>
      </c>
      <c r="B339" s="16" t="s">
        <v>58</v>
      </c>
      <c r="C339" s="16" t="s">
        <v>51</v>
      </c>
      <c r="D339" s="16" t="s">
        <v>88</v>
      </c>
      <c r="E339" s="16" t="s">
        <v>60</v>
      </c>
      <c r="F339" s="16" t="n">
        <v>94122</v>
      </c>
      <c r="G339" s="16" t="s">
        <v>61</v>
      </c>
      <c r="H339" s="16" t="s">
        <v>62</v>
      </c>
      <c r="I339" s="16" t="s">
        <v>73</v>
      </c>
      <c r="J339" s="17" t="n">
        <v>7.712</v>
      </c>
      <c r="K339" s="16" t="n">
        <v>2</v>
      </c>
      <c r="L339" s="18" t="n">
        <v>0.2</v>
      </c>
      <c r="M339" s="19" t="n">
        <v>2.7956</v>
      </c>
      <c r="N339" s="16" t="str">
        <f aca="false">IF(M339&lt;0,"Loss",IF(M339&lt;50,"Low Profit",IF(M339&lt;200,"Medium Profit","High Profit")))</f>
        <v>Low Profit</v>
      </c>
      <c r="O339" s="16" t="str">
        <f aca="false">IF(J339&gt;=500,"High Value","Standard")</f>
        <v>Standard</v>
      </c>
      <c r="P339" s="16" t="str">
        <f aca="false">H339&amp;" &gt; "&amp;I339&amp;" ("&amp;K339&amp;" units)"</f>
        <v>Office Supplies &gt; Binders (2 units)</v>
      </c>
      <c r="Q339" s="16" t="str">
        <f aca="false">VLOOKUP(G339,Region_Manager_Table,2,FALSE())</f>
        <v>Sana Sheikh</v>
      </c>
      <c r="R339" s="16" t="n">
        <f aca="false">INDEX(SLA_Days_Col,MATCH(A339,ShipMode_Col,0))</f>
        <v>6</v>
      </c>
    </row>
    <row r="340" customFormat="false" ht="15" hidden="false" customHeight="false" outlineLevel="0" collapsed="false">
      <c r="A340" s="10" t="s">
        <v>64</v>
      </c>
      <c r="B340" s="10" t="s">
        <v>58</v>
      </c>
      <c r="C340" s="10" t="s">
        <v>51</v>
      </c>
      <c r="D340" s="10" t="s">
        <v>88</v>
      </c>
      <c r="E340" s="10" t="s">
        <v>60</v>
      </c>
      <c r="F340" s="10" t="n">
        <v>94122</v>
      </c>
      <c r="G340" s="10" t="s">
        <v>61</v>
      </c>
      <c r="H340" s="10" t="s">
        <v>55</v>
      </c>
      <c r="I340" s="10" t="s">
        <v>67</v>
      </c>
      <c r="J340" s="13" t="n">
        <v>698.352</v>
      </c>
      <c r="K340" s="10" t="n">
        <v>3</v>
      </c>
      <c r="L340" s="14" t="n">
        <v>0.2</v>
      </c>
      <c r="M340" s="15" t="n">
        <v>-17.4588</v>
      </c>
      <c r="N340" s="10" t="str">
        <f aca="false">IF(M340&lt;0,"Loss",IF(M340&lt;50,"Low Profit",IF(M340&lt;200,"Medium Profit","High Profit")))</f>
        <v>Loss</v>
      </c>
      <c r="O340" s="10" t="str">
        <f aca="false">IF(J340&gt;=500,"High Value","Standard")</f>
        <v>High Value</v>
      </c>
      <c r="P340" s="10" t="str">
        <f aca="false">H340&amp;" &gt; "&amp;I340&amp;" ("&amp;K340&amp;" units)"</f>
        <v>Furniture &gt; Tables (3 units)</v>
      </c>
      <c r="Q340" s="10" t="str">
        <f aca="false">VLOOKUP(G340,Region_Manager_Table,2,FALSE())</f>
        <v>Sana Sheikh</v>
      </c>
      <c r="R340" s="10" t="n">
        <f aca="false">INDEX(SLA_Days_Col,MATCH(A340,ShipMode_Col,0))</f>
        <v>6</v>
      </c>
    </row>
    <row r="341" customFormat="false" ht="15" hidden="false" customHeight="false" outlineLevel="0" collapsed="false">
      <c r="A341" s="16" t="s">
        <v>49</v>
      </c>
      <c r="B341" s="16" t="s">
        <v>50</v>
      </c>
      <c r="C341" s="16" t="s">
        <v>51</v>
      </c>
      <c r="D341" s="16" t="s">
        <v>199</v>
      </c>
      <c r="E341" s="16" t="s">
        <v>87</v>
      </c>
      <c r="F341" s="16" t="n">
        <v>84041</v>
      </c>
      <c r="G341" s="16" t="s">
        <v>61</v>
      </c>
      <c r="H341" s="16" t="s">
        <v>62</v>
      </c>
      <c r="I341" s="16" t="s">
        <v>113</v>
      </c>
      <c r="J341" s="17" t="n">
        <v>4.96</v>
      </c>
      <c r="K341" s="16" t="n">
        <v>4</v>
      </c>
      <c r="L341" s="18" t="n">
        <v>0</v>
      </c>
      <c r="M341" s="19" t="n">
        <v>2.3312</v>
      </c>
      <c r="N341" s="16" t="str">
        <f aca="false">IF(M341&lt;0,"Loss",IF(M341&lt;50,"Low Profit",IF(M341&lt;200,"Medium Profit","High Profit")))</f>
        <v>Low Profit</v>
      </c>
      <c r="O341" s="16" t="str">
        <f aca="false">IF(J341&gt;=500,"High Value","Standard")</f>
        <v>Standard</v>
      </c>
      <c r="P341" s="16" t="str">
        <f aca="false">H341&amp;" &gt; "&amp;I341&amp;" ("&amp;K341&amp;" units)"</f>
        <v>Office Supplies &gt; Fasteners (4 units)</v>
      </c>
      <c r="Q341" s="16" t="str">
        <f aca="false">VLOOKUP(G341,Region_Manager_Table,2,FALSE())</f>
        <v>Sana Sheikh</v>
      </c>
      <c r="R341" s="16" t="n">
        <f aca="false">INDEX(SLA_Days_Col,MATCH(A341,ShipMode_Col,0))</f>
        <v>4</v>
      </c>
    </row>
    <row r="342" customFormat="false" ht="15" hidden="false" customHeight="false" outlineLevel="0" collapsed="false">
      <c r="A342" s="10" t="s">
        <v>49</v>
      </c>
      <c r="B342" s="10" t="s">
        <v>58</v>
      </c>
      <c r="C342" s="10" t="s">
        <v>51</v>
      </c>
      <c r="D342" s="10" t="s">
        <v>91</v>
      </c>
      <c r="E342" s="10" t="s">
        <v>92</v>
      </c>
      <c r="F342" s="10" t="n">
        <v>19140</v>
      </c>
      <c r="G342" s="10" t="s">
        <v>93</v>
      </c>
      <c r="H342" s="10" t="s">
        <v>62</v>
      </c>
      <c r="I342" s="10" t="s">
        <v>70</v>
      </c>
      <c r="J342" s="13" t="n">
        <v>17.856</v>
      </c>
      <c r="K342" s="10" t="n">
        <v>4</v>
      </c>
      <c r="L342" s="14" t="n">
        <v>0.2</v>
      </c>
      <c r="M342" s="15" t="n">
        <v>1.116</v>
      </c>
      <c r="N342" s="10" t="str">
        <f aca="false">IF(M342&lt;0,"Loss",IF(M342&lt;50,"Low Profit",IF(M342&lt;200,"Medium Profit","High Profit")))</f>
        <v>Low Profit</v>
      </c>
      <c r="O342" s="10" t="str">
        <f aca="false">IF(J342&gt;=500,"High Value","Standard")</f>
        <v>Standard</v>
      </c>
      <c r="P342" s="10" t="str">
        <f aca="false">H342&amp;" &gt; "&amp;I342&amp;" ("&amp;K342&amp;" units)"</f>
        <v>Office Supplies &gt; Art (4 units)</v>
      </c>
      <c r="Q342" s="10" t="str">
        <f aca="false">VLOOKUP(G342,Region_Manager_Table,2,FALSE())</f>
        <v>Priya Menon</v>
      </c>
      <c r="R342" s="10" t="n">
        <f aca="false">INDEX(SLA_Days_Col,MATCH(A342,ShipMode_Col,0))</f>
        <v>4</v>
      </c>
    </row>
    <row r="343" customFormat="false" ht="15" hidden="false" customHeight="false" outlineLevel="0" collapsed="false">
      <c r="A343" s="16" t="s">
        <v>49</v>
      </c>
      <c r="B343" s="16" t="s">
        <v>58</v>
      </c>
      <c r="C343" s="16" t="s">
        <v>51</v>
      </c>
      <c r="D343" s="16" t="s">
        <v>91</v>
      </c>
      <c r="E343" s="16" t="s">
        <v>92</v>
      </c>
      <c r="F343" s="16" t="n">
        <v>19140</v>
      </c>
      <c r="G343" s="16" t="s">
        <v>93</v>
      </c>
      <c r="H343" s="16" t="s">
        <v>62</v>
      </c>
      <c r="I343" s="16" t="s">
        <v>73</v>
      </c>
      <c r="J343" s="17" t="n">
        <v>509.97</v>
      </c>
      <c r="K343" s="16" t="n">
        <v>10</v>
      </c>
      <c r="L343" s="18" t="n">
        <v>0.7</v>
      </c>
      <c r="M343" s="19" t="n">
        <v>-407.976</v>
      </c>
      <c r="N343" s="16" t="str">
        <f aca="false">IF(M343&lt;0,"Loss",IF(M343&lt;50,"Low Profit",IF(M343&lt;200,"Medium Profit","High Profit")))</f>
        <v>Loss</v>
      </c>
      <c r="O343" s="16" t="str">
        <f aca="false">IF(J343&gt;=500,"High Value","Standard")</f>
        <v>High Value</v>
      </c>
      <c r="P343" s="16" t="str">
        <f aca="false">H343&amp;" &gt; "&amp;I343&amp;" ("&amp;K343&amp;" units)"</f>
        <v>Office Supplies &gt; Binders (10 units)</v>
      </c>
      <c r="Q343" s="16" t="str">
        <f aca="false">VLOOKUP(G343,Region_Manager_Table,2,FALSE())</f>
        <v>Priya Menon</v>
      </c>
      <c r="R343" s="16" t="n">
        <f aca="false">INDEX(SLA_Days_Col,MATCH(A343,ShipMode_Col,0))</f>
        <v>4</v>
      </c>
    </row>
    <row r="344" customFormat="false" ht="15" hidden="false" customHeight="false" outlineLevel="0" collapsed="false">
      <c r="A344" s="10" t="s">
        <v>49</v>
      </c>
      <c r="B344" s="10" t="s">
        <v>58</v>
      </c>
      <c r="C344" s="10" t="s">
        <v>51</v>
      </c>
      <c r="D344" s="10" t="s">
        <v>91</v>
      </c>
      <c r="E344" s="10" t="s">
        <v>92</v>
      </c>
      <c r="F344" s="10" t="n">
        <v>19140</v>
      </c>
      <c r="G344" s="10" t="s">
        <v>93</v>
      </c>
      <c r="H344" s="10" t="s">
        <v>62</v>
      </c>
      <c r="I344" s="10" t="s">
        <v>113</v>
      </c>
      <c r="J344" s="13" t="n">
        <v>30.992</v>
      </c>
      <c r="K344" s="10" t="n">
        <v>13</v>
      </c>
      <c r="L344" s="14" t="n">
        <v>0.2</v>
      </c>
      <c r="M344" s="15" t="n">
        <v>10.0724</v>
      </c>
      <c r="N344" s="10" t="str">
        <f aca="false">IF(M344&lt;0,"Loss",IF(M344&lt;50,"Low Profit",IF(M344&lt;200,"Medium Profit","High Profit")))</f>
        <v>Low Profit</v>
      </c>
      <c r="O344" s="10" t="str">
        <f aca="false">IF(J344&gt;=500,"High Value","Standard")</f>
        <v>Standard</v>
      </c>
      <c r="P344" s="10" t="str">
        <f aca="false">H344&amp;" &gt; "&amp;I344&amp;" ("&amp;K344&amp;" units)"</f>
        <v>Office Supplies &gt; Fasteners (13 units)</v>
      </c>
      <c r="Q344" s="10" t="str">
        <f aca="false">VLOOKUP(G344,Region_Manager_Table,2,FALSE())</f>
        <v>Priya Menon</v>
      </c>
      <c r="R344" s="10" t="n">
        <f aca="false">INDEX(SLA_Days_Col,MATCH(A344,ShipMode_Col,0))</f>
        <v>4</v>
      </c>
    </row>
    <row r="345" customFormat="false" ht="15" hidden="false" customHeight="false" outlineLevel="0" collapsed="false">
      <c r="A345" s="16" t="s">
        <v>49</v>
      </c>
      <c r="B345" s="16" t="s">
        <v>58</v>
      </c>
      <c r="C345" s="16" t="s">
        <v>51</v>
      </c>
      <c r="D345" s="16" t="s">
        <v>91</v>
      </c>
      <c r="E345" s="16" t="s">
        <v>92</v>
      </c>
      <c r="F345" s="16" t="n">
        <v>19140</v>
      </c>
      <c r="G345" s="16" t="s">
        <v>93</v>
      </c>
      <c r="H345" s="16" t="s">
        <v>71</v>
      </c>
      <c r="I345" s="16" t="s">
        <v>72</v>
      </c>
      <c r="J345" s="17" t="n">
        <v>71.928</v>
      </c>
      <c r="K345" s="16" t="n">
        <v>12</v>
      </c>
      <c r="L345" s="18" t="n">
        <v>0.4</v>
      </c>
      <c r="M345" s="19" t="n">
        <v>8.3916</v>
      </c>
      <c r="N345" s="16" t="str">
        <f aca="false">IF(M345&lt;0,"Loss",IF(M345&lt;50,"Low Profit",IF(M345&lt;200,"Medium Profit","High Profit")))</f>
        <v>Low Profit</v>
      </c>
      <c r="O345" s="16" t="str">
        <f aca="false">IF(J345&gt;=500,"High Value","Standard")</f>
        <v>Standard</v>
      </c>
      <c r="P345" s="16" t="str">
        <f aca="false">H345&amp;" &gt; "&amp;I345&amp;" ("&amp;K345&amp;" units)"</f>
        <v>Technology &gt; Phones (12 units)</v>
      </c>
      <c r="Q345" s="16" t="str">
        <f aca="false">VLOOKUP(G345,Region_Manager_Table,2,FALSE())</f>
        <v>Priya Menon</v>
      </c>
      <c r="R345" s="16" t="n">
        <f aca="false">INDEX(SLA_Days_Col,MATCH(A345,ShipMode_Col,0))</f>
        <v>4</v>
      </c>
    </row>
    <row r="346" customFormat="false" ht="15" hidden="false" customHeight="false" outlineLevel="0" collapsed="false">
      <c r="A346" s="10" t="s">
        <v>64</v>
      </c>
      <c r="B346" s="10" t="s">
        <v>50</v>
      </c>
      <c r="C346" s="10" t="s">
        <v>51</v>
      </c>
      <c r="D346" s="10" t="s">
        <v>200</v>
      </c>
      <c r="E346" s="10" t="s">
        <v>82</v>
      </c>
      <c r="F346" s="10" t="n">
        <v>78745</v>
      </c>
      <c r="G346" s="10" t="s">
        <v>83</v>
      </c>
      <c r="H346" s="10" t="s">
        <v>62</v>
      </c>
      <c r="I346" s="10" t="s">
        <v>68</v>
      </c>
      <c r="J346" s="13" t="n">
        <v>88.8</v>
      </c>
      <c r="K346" s="10" t="n">
        <v>4</v>
      </c>
      <c r="L346" s="14" t="n">
        <v>0.2</v>
      </c>
      <c r="M346" s="15" t="n">
        <v>-2.22</v>
      </c>
      <c r="N346" s="10" t="str">
        <f aca="false">IF(M346&lt;0,"Loss",IF(M346&lt;50,"Low Profit",IF(M346&lt;200,"Medium Profit","High Profit")))</f>
        <v>Loss</v>
      </c>
      <c r="O346" s="10" t="str">
        <f aca="false">IF(J346&gt;=500,"High Value","Standard")</f>
        <v>Standard</v>
      </c>
      <c r="P346" s="10" t="str">
        <f aca="false">H346&amp;" &gt; "&amp;I346&amp;" ("&amp;K346&amp;" units)"</f>
        <v>Office Supplies &gt; Storage (4 units)</v>
      </c>
      <c r="Q346" s="10" t="str">
        <f aca="false">VLOOKUP(G346,Region_Manager_Table,2,FALSE())</f>
        <v>Aditya Rao</v>
      </c>
      <c r="R346" s="10" t="n">
        <f aca="false">INDEX(SLA_Days_Col,MATCH(A346,ShipMode_Col,0))</f>
        <v>6</v>
      </c>
    </row>
    <row r="347" customFormat="false" ht="15" hidden="false" customHeight="false" outlineLevel="0" collapsed="false">
      <c r="A347" s="16" t="s">
        <v>64</v>
      </c>
      <c r="B347" s="16" t="s">
        <v>50</v>
      </c>
      <c r="C347" s="16" t="s">
        <v>51</v>
      </c>
      <c r="D347" s="16" t="s">
        <v>88</v>
      </c>
      <c r="E347" s="16" t="s">
        <v>60</v>
      </c>
      <c r="F347" s="16" t="n">
        <v>94122</v>
      </c>
      <c r="G347" s="16" t="s">
        <v>61</v>
      </c>
      <c r="H347" s="16" t="s">
        <v>71</v>
      </c>
      <c r="I347" s="16" t="s">
        <v>72</v>
      </c>
      <c r="J347" s="17" t="n">
        <v>47.976</v>
      </c>
      <c r="K347" s="16" t="n">
        <v>3</v>
      </c>
      <c r="L347" s="18" t="n">
        <v>0.2</v>
      </c>
      <c r="M347" s="19" t="n">
        <v>4.7976</v>
      </c>
      <c r="N347" s="16" t="str">
        <f aca="false">IF(M347&lt;0,"Loss",IF(M347&lt;50,"Low Profit",IF(M347&lt;200,"Medium Profit","High Profit")))</f>
        <v>Low Profit</v>
      </c>
      <c r="O347" s="16" t="str">
        <f aca="false">IF(J347&gt;=500,"High Value","Standard")</f>
        <v>Standard</v>
      </c>
      <c r="P347" s="16" t="str">
        <f aca="false">H347&amp;" &gt; "&amp;I347&amp;" ("&amp;K347&amp;" units)"</f>
        <v>Technology &gt; Phones (3 units)</v>
      </c>
      <c r="Q347" s="16" t="str">
        <f aca="false">VLOOKUP(G347,Region_Manager_Table,2,FALSE())</f>
        <v>Sana Sheikh</v>
      </c>
      <c r="R347" s="16" t="n">
        <f aca="false">INDEX(SLA_Days_Col,MATCH(A347,ShipMode_Col,0))</f>
        <v>6</v>
      </c>
    </row>
    <row r="348" customFormat="false" ht="15" hidden="false" customHeight="false" outlineLevel="0" collapsed="false">
      <c r="A348" s="10" t="s">
        <v>64</v>
      </c>
      <c r="B348" s="10" t="s">
        <v>50</v>
      </c>
      <c r="C348" s="10" t="s">
        <v>51</v>
      </c>
      <c r="D348" s="10" t="s">
        <v>201</v>
      </c>
      <c r="E348" s="10" t="s">
        <v>202</v>
      </c>
      <c r="F348" s="10" t="n">
        <v>1852</v>
      </c>
      <c r="G348" s="10" t="s">
        <v>93</v>
      </c>
      <c r="H348" s="10" t="s">
        <v>62</v>
      </c>
      <c r="I348" s="10" t="s">
        <v>70</v>
      </c>
      <c r="J348" s="13" t="n">
        <v>7.56</v>
      </c>
      <c r="K348" s="10" t="n">
        <v>3</v>
      </c>
      <c r="L348" s="14" t="n">
        <v>0</v>
      </c>
      <c r="M348" s="15" t="n">
        <v>3.0996</v>
      </c>
      <c r="N348" s="10" t="str">
        <f aca="false">IF(M348&lt;0,"Loss",IF(M348&lt;50,"Low Profit",IF(M348&lt;200,"Medium Profit","High Profit")))</f>
        <v>Low Profit</v>
      </c>
      <c r="O348" s="10" t="str">
        <f aca="false">IF(J348&gt;=500,"High Value","Standard")</f>
        <v>Standard</v>
      </c>
      <c r="P348" s="10" t="str">
        <f aca="false">H348&amp;" &gt; "&amp;I348&amp;" ("&amp;K348&amp;" units)"</f>
        <v>Office Supplies &gt; Art (3 units)</v>
      </c>
      <c r="Q348" s="10" t="str">
        <f aca="false">VLOOKUP(G348,Region_Manager_Table,2,FALSE())</f>
        <v>Priya Menon</v>
      </c>
      <c r="R348" s="10" t="n">
        <f aca="false">INDEX(SLA_Days_Col,MATCH(A348,ShipMode_Col,0))</f>
        <v>6</v>
      </c>
    </row>
    <row r="349" customFormat="false" ht="15" hidden="false" customHeight="false" outlineLevel="0" collapsed="false">
      <c r="A349" s="16" t="s">
        <v>64</v>
      </c>
      <c r="B349" s="16" t="s">
        <v>50</v>
      </c>
      <c r="C349" s="16" t="s">
        <v>51</v>
      </c>
      <c r="D349" s="16" t="s">
        <v>201</v>
      </c>
      <c r="E349" s="16" t="s">
        <v>202</v>
      </c>
      <c r="F349" s="16" t="n">
        <v>1852</v>
      </c>
      <c r="G349" s="16" t="s">
        <v>93</v>
      </c>
      <c r="H349" s="16" t="s">
        <v>62</v>
      </c>
      <c r="I349" s="16" t="s">
        <v>77</v>
      </c>
      <c r="J349" s="17" t="n">
        <v>24.56</v>
      </c>
      <c r="K349" s="16" t="n">
        <v>2</v>
      </c>
      <c r="L349" s="18" t="n">
        <v>0</v>
      </c>
      <c r="M349" s="19" t="n">
        <v>11.5432</v>
      </c>
      <c r="N349" s="16" t="str">
        <f aca="false">IF(M349&lt;0,"Loss",IF(M349&lt;50,"Low Profit",IF(M349&lt;200,"Medium Profit","High Profit")))</f>
        <v>Low Profit</v>
      </c>
      <c r="O349" s="16" t="str">
        <f aca="false">IF(J349&gt;=500,"High Value","Standard")</f>
        <v>Standard</v>
      </c>
      <c r="P349" s="16" t="str">
        <f aca="false">H349&amp;" &gt; "&amp;I349&amp;" ("&amp;K349&amp;" units)"</f>
        <v>Office Supplies &gt; Paper (2 units)</v>
      </c>
      <c r="Q349" s="16" t="str">
        <f aca="false">VLOOKUP(G349,Region_Manager_Table,2,FALSE())</f>
        <v>Priya Menon</v>
      </c>
      <c r="R349" s="16" t="n">
        <f aca="false">INDEX(SLA_Days_Col,MATCH(A349,ShipMode_Col,0))</f>
        <v>6</v>
      </c>
    </row>
    <row r="350" customFormat="false" ht="15" hidden="false" customHeight="false" outlineLevel="0" collapsed="false">
      <c r="A350" s="10" t="s">
        <v>64</v>
      </c>
      <c r="B350" s="10" t="s">
        <v>50</v>
      </c>
      <c r="C350" s="10" t="s">
        <v>51</v>
      </c>
      <c r="D350" s="10" t="s">
        <v>201</v>
      </c>
      <c r="E350" s="10" t="s">
        <v>202</v>
      </c>
      <c r="F350" s="10" t="n">
        <v>1852</v>
      </c>
      <c r="G350" s="10" t="s">
        <v>93</v>
      </c>
      <c r="H350" s="10" t="s">
        <v>62</v>
      </c>
      <c r="I350" s="10" t="s">
        <v>70</v>
      </c>
      <c r="J350" s="13" t="n">
        <v>12.96</v>
      </c>
      <c r="K350" s="10" t="n">
        <v>2</v>
      </c>
      <c r="L350" s="14" t="n">
        <v>0</v>
      </c>
      <c r="M350" s="15" t="n">
        <v>4.1472</v>
      </c>
      <c r="N350" s="10" t="str">
        <f aca="false">IF(M350&lt;0,"Loss",IF(M350&lt;50,"Low Profit",IF(M350&lt;200,"Medium Profit","High Profit")))</f>
        <v>Low Profit</v>
      </c>
      <c r="O350" s="10" t="str">
        <f aca="false">IF(J350&gt;=500,"High Value","Standard")</f>
        <v>Standard</v>
      </c>
      <c r="P350" s="10" t="str">
        <f aca="false">H350&amp;" &gt; "&amp;I350&amp;" ("&amp;K350&amp;" units)"</f>
        <v>Office Supplies &gt; Art (2 units)</v>
      </c>
      <c r="Q350" s="10" t="str">
        <f aca="false">VLOOKUP(G350,Region_Manager_Table,2,FALSE())</f>
        <v>Priya Menon</v>
      </c>
      <c r="R350" s="10" t="n">
        <f aca="false">INDEX(SLA_Days_Col,MATCH(A350,ShipMode_Col,0))</f>
        <v>6</v>
      </c>
    </row>
    <row r="351" customFormat="false" ht="15" hidden="false" customHeight="false" outlineLevel="0" collapsed="false">
      <c r="A351" s="16" t="s">
        <v>98</v>
      </c>
      <c r="B351" s="16" t="s">
        <v>80</v>
      </c>
      <c r="C351" s="16" t="s">
        <v>51</v>
      </c>
      <c r="D351" s="16" t="s">
        <v>111</v>
      </c>
      <c r="E351" s="16" t="s">
        <v>112</v>
      </c>
      <c r="F351" s="16" t="n">
        <v>10009</v>
      </c>
      <c r="G351" s="16" t="s">
        <v>93</v>
      </c>
      <c r="H351" s="16" t="s">
        <v>71</v>
      </c>
      <c r="I351" s="16" t="s">
        <v>95</v>
      </c>
      <c r="J351" s="17" t="n">
        <v>6.79</v>
      </c>
      <c r="K351" s="16" t="n">
        <v>1</v>
      </c>
      <c r="L351" s="18" t="n">
        <v>0</v>
      </c>
      <c r="M351" s="19" t="n">
        <v>2.3086</v>
      </c>
      <c r="N351" s="16" t="str">
        <f aca="false">IF(M351&lt;0,"Loss",IF(M351&lt;50,"Low Profit",IF(M351&lt;200,"Medium Profit","High Profit")))</f>
        <v>Low Profit</v>
      </c>
      <c r="O351" s="16" t="str">
        <f aca="false">IF(J351&gt;=500,"High Value","Standard")</f>
        <v>Standard</v>
      </c>
      <c r="P351" s="16" t="str">
        <f aca="false">H351&amp;" &gt; "&amp;I351&amp;" ("&amp;K351&amp;" units)"</f>
        <v>Technology &gt; Accessories (1 units)</v>
      </c>
      <c r="Q351" s="16" t="str">
        <f aca="false">VLOOKUP(G351,Region_Manager_Table,2,FALSE())</f>
        <v>Priya Menon</v>
      </c>
      <c r="R351" s="16" t="n">
        <f aca="false">INDEX(SLA_Days_Col,MATCH(A351,ShipMode_Col,0))</f>
        <v>2</v>
      </c>
    </row>
    <row r="352" customFormat="false" ht="15" hidden="false" customHeight="false" outlineLevel="0" collapsed="false">
      <c r="A352" s="10" t="s">
        <v>98</v>
      </c>
      <c r="B352" s="10" t="s">
        <v>80</v>
      </c>
      <c r="C352" s="10" t="s">
        <v>51</v>
      </c>
      <c r="D352" s="10" t="s">
        <v>111</v>
      </c>
      <c r="E352" s="10" t="s">
        <v>112</v>
      </c>
      <c r="F352" s="10" t="n">
        <v>10009</v>
      </c>
      <c r="G352" s="10" t="s">
        <v>93</v>
      </c>
      <c r="H352" s="10" t="s">
        <v>62</v>
      </c>
      <c r="I352" s="10" t="s">
        <v>77</v>
      </c>
      <c r="J352" s="13" t="n">
        <v>24.56</v>
      </c>
      <c r="K352" s="10" t="n">
        <v>2</v>
      </c>
      <c r="L352" s="14" t="n">
        <v>0</v>
      </c>
      <c r="M352" s="15" t="n">
        <v>11.5432</v>
      </c>
      <c r="N352" s="10" t="str">
        <f aca="false">IF(M352&lt;0,"Loss",IF(M352&lt;50,"Low Profit",IF(M352&lt;200,"Medium Profit","High Profit")))</f>
        <v>Low Profit</v>
      </c>
      <c r="O352" s="10" t="str">
        <f aca="false">IF(J352&gt;=500,"High Value","Standard")</f>
        <v>Standard</v>
      </c>
      <c r="P352" s="10" t="str">
        <f aca="false">H352&amp;" &gt; "&amp;I352&amp;" ("&amp;K352&amp;" units)"</f>
        <v>Office Supplies &gt; Paper (2 units)</v>
      </c>
      <c r="Q352" s="10" t="str">
        <f aca="false">VLOOKUP(G352,Region_Manager_Table,2,FALSE())</f>
        <v>Priya Menon</v>
      </c>
      <c r="R352" s="10" t="n">
        <f aca="false">INDEX(SLA_Days_Col,MATCH(A352,ShipMode_Col,0))</f>
        <v>2</v>
      </c>
    </row>
    <row r="353" customFormat="false" ht="15" hidden="false" customHeight="false" outlineLevel="0" collapsed="false">
      <c r="A353" s="16" t="s">
        <v>98</v>
      </c>
      <c r="B353" s="16" t="s">
        <v>80</v>
      </c>
      <c r="C353" s="16" t="s">
        <v>51</v>
      </c>
      <c r="D353" s="16" t="s">
        <v>111</v>
      </c>
      <c r="E353" s="16" t="s">
        <v>112</v>
      </c>
      <c r="F353" s="16" t="n">
        <v>10009</v>
      </c>
      <c r="G353" s="16" t="s">
        <v>93</v>
      </c>
      <c r="H353" s="16" t="s">
        <v>62</v>
      </c>
      <c r="I353" s="16" t="s">
        <v>73</v>
      </c>
      <c r="J353" s="17" t="n">
        <v>3.048</v>
      </c>
      <c r="K353" s="16" t="n">
        <v>1</v>
      </c>
      <c r="L353" s="18" t="n">
        <v>0.2</v>
      </c>
      <c r="M353" s="19" t="n">
        <v>1.0668</v>
      </c>
      <c r="N353" s="16" t="str">
        <f aca="false">IF(M353&lt;0,"Loss",IF(M353&lt;50,"Low Profit",IF(M353&lt;200,"Medium Profit","High Profit")))</f>
        <v>Low Profit</v>
      </c>
      <c r="O353" s="16" t="str">
        <f aca="false">IF(J353&gt;=500,"High Value","Standard")</f>
        <v>Standard</v>
      </c>
      <c r="P353" s="16" t="str">
        <f aca="false">H353&amp;" &gt; "&amp;I353&amp;" ("&amp;K353&amp;" units)"</f>
        <v>Office Supplies &gt; Binders (1 units)</v>
      </c>
      <c r="Q353" s="16" t="str">
        <f aca="false">VLOOKUP(G353,Region_Manager_Table,2,FALSE())</f>
        <v>Priya Menon</v>
      </c>
      <c r="R353" s="16" t="n">
        <f aca="false">INDEX(SLA_Days_Col,MATCH(A353,ShipMode_Col,0))</f>
        <v>2</v>
      </c>
    </row>
    <row r="354" customFormat="false" ht="15" hidden="false" customHeight="false" outlineLevel="0" collapsed="false">
      <c r="A354" s="10" t="s">
        <v>98</v>
      </c>
      <c r="B354" s="10" t="s">
        <v>80</v>
      </c>
      <c r="C354" s="10" t="s">
        <v>51</v>
      </c>
      <c r="D354" s="10" t="s">
        <v>111</v>
      </c>
      <c r="E354" s="10" t="s">
        <v>112</v>
      </c>
      <c r="F354" s="10" t="n">
        <v>10009</v>
      </c>
      <c r="G354" s="10" t="s">
        <v>93</v>
      </c>
      <c r="H354" s="10" t="s">
        <v>62</v>
      </c>
      <c r="I354" s="10" t="s">
        <v>77</v>
      </c>
      <c r="J354" s="13" t="n">
        <v>49.12</v>
      </c>
      <c r="K354" s="10" t="n">
        <v>4</v>
      </c>
      <c r="L354" s="14" t="n">
        <v>0</v>
      </c>
      <c r="M354" s="15" t="n">
        <v>23.0864</v>
      </c>
      <c r="N354" s="10" t="str">
        <f aca="false">IF(M354&lt;0,"Loss",IF(M354&lt;50,"Low Profit",IF(M354&lt;200,"Medium Profit","High Profit")))</f>
        <v>Low Profit</v>
      </c>
      <c r="O354" s="10" t="str">
        <f aca="false">IF(J354&gt;=500,"High Value","Standard")</f>
        <v>Standard</v>
      </c>
      <c r="P354" s="10" t="str">
        <f aca="false">H354&amp;" &gt; "&amp;I354&amp;" ("&amp;K354&amp;" units)"</f>
        <v>Office Supplies &gt; Paper (4 units)</v>
      </c>
      <c r="Q354" s="10" t="str">
        <f aca="false">VLOOKUP(G354,Region_Manager_Table,2,FALSE())</f>
        <v>Priya Menon</v>
      </c>
      <c r="R354" s="10" t="n">
        <f aca="false">INDEX(SLA_Days_Col,MATCH(A354,ShipMode_Col,0))</f>
        <v>2</v>
      </c>
    </row>
    <row r="355" customFormat="false" ht="15" hidden="false" customHeight="false" outlineLevel="0" collapsed="false">
      <c r="A355" s="16" t="s">
        <v>98</v>
      </c>
      <c r="B355" s="16" t="s">
        <v>80</v>
      </c>
      <c r="C355" s="16" t="s">
        <v>51</v>
      </c>
      <c r="D355" s="16" t="s">
        <v>111</v>
      </c>
      <c r="E355" s="16" t="s">
        <v>112</v>
      </c>
      <c r="F355" s="16" t="n">
        <v>10009</v>
      </c>
      <c r="G355" s="16" t="s">
        <v>93</v>
      </c>
      <c r="H355" s="16" t="s">
        <v>62</v>
      </c>
      <c r="I355" s="16" t="s">
        <v>73</v>
      </c>
      <c r="J355" s="17" t="n">
        <v>4355.168</v>
      </c>
      <c r="K355" s="16" t="n">
        <v>4</v>
      </c>
      <c r="L355" s="18" t="n">
        <v>0.2</v>
      </c>
      <c r="M355" s="19" t="n">
        <v>1415.4296</v>
      </c>
      <c r="N355" s="16" t="str">
        <f aca="false">IF(M355&lt;0,"Loss",IF(M355&lt;50,"Low Profit",IF(M355&lt;200,"Medium Profit","High Profit")))</f>
        <v>High Profit</v>
      </c>
      <c r="O355" s="16" t="str">
        <f aca="false">IF(J355&gt;=500,"High Value","Standard")</f>
        <v>High Value</v>
      </c>
      <c r="P355" s="16" t="str">
        <f aca="false">H355&amp;" &gt; "&amp;I355&amp;" ("&amp;K355&amp;" units)"</f>
        <v>Office Supplies &gt; Binders (4 units)</v>
      </c>
      <c r="Q355" s="16" t="str">
        <f aca="false">VLOOKUP(G355,Region_Manager_Table,2,FALSE())</f>
        <v>Priya Menon</v>
      </c>
      <c r="R355" s="16" t="n">
        <f aca="false">INDEX(SLA_Days_Col,MATCH(A355,ShipMode_Col,0))</f>
        <v>2</v>
      </c>
    </row>
    <row r="356" customFormat="false" ht="15" hidden="false" customHeight="false" outlineLevel="0" collapsed="false">
      <c r="A356" s="10" t="s">
        <v>64</v>
      </c>
      <c r="B356" s="10" t="s">
        <v>50</v>
      </c>
      <c r="C356" s="10" t="s">
        <v>51</v>
      </c>
      <c r="D356" s="10" t="s">
        <v>111</v>
      </c>
      <c r="E356" s="10" t="s">
        <v>112</v>
      </c>
      <c r="F356" s="10" t="n">
        <v>10035</v>
      </c>
      <c r="G356" s="10" t="s">
        <v>93</v>
      </c>
      <c r="H356" s="10" t="s">
        <v>55</v>
      </c>
      <c r="I356" s="10" t="s">
        <v>56</v>
      </c>
      <c r="J356" s="13" t="n">
        <v>388.704</v>
      </c>
      <c r="K356" s="10" t="n">
        <v>6</v>
      </c>
      <c r="L356" s="14" t="n">
        <v>0.2</v>
      </c>
      <c r="M356" s="15" t="n">
        <v>-4.8588</v>
      </c>
      <c r="N356" s="10" t="str">
        <f aca="false">IF(M356&lt;0,"Loss",IF(M356&lt;50,"Low Profit",IF(M356&lt;200,"Medium Profit","High Profit")))</f>
        <v>Loss</v>
      </c>
      <c r="O356" s="10" t="str">
        <f aca="false">IF(J356&gt;=500,"High Value","Standard")</f>
        <v>Standard</v>
      </c>
      <c r="P356" s="10" t="str">
        <f aca="false">H356&amp;" &gt; "&amp;I356&amp;" ("&amp;K356&amp;" units)"</f>
        <v>Furniture &gt; Bookcases (6 units)</v>
      </c>
      <c r="Q356" s="10" t="str">
        <f aca="false">VLOOKUP(G356,Region_Manager_Table,2,FALSE())</f>
        <v>Priya Menon</v>
      </c>
      <c r="R356" s="10" t="n">
        <f aca="false">INDEX(SLA_Days_Col,MATCH(A356,ShipMode_Col,0))</f>
        <v>6</v>
      </c>
    </row>
    <row r="357" customFormat="false" ht="15" hidden="false" customHeight="false" outlineLevel="0" collapsed="false">
      <c r="A357" s="16" t="s">
        <v>64</v>
      </c>
      <c r="B357" s="16" t="s">
        <v>50</v>
      </c>
      <c r="C357" s="16" t="s">
        <v>51</v>
      </c>
      <c r="D357" s="16" t="s">
        <v>111</v>
      </c>
      <c r="E357" s="16" t="s">
        <v>112</v>
      </c>
      <c r="F357" s="16" t="n">
        <v>10035</v>
      </c>
      <c r="G357" s="16" t="s">
        <v>93</v>
      </c>
      <c r="H357" s="16" t="s">
        <v>62</v>
      </c>
      <c r="I357" s="16" t="s">
        <v>96</v>
      </c>
      <c r="J357" s="17" t="n">
        <v>8.26</v>
      </c>
      <c r="K357" s="16" t="n">
        <v>2</v>
      </c>
      <c r="L357" s="18" t="n">
        <v>0</v>
      </c>
      <c r="M357" s="19" t="n">
        <v>3.7996</v>
      </c>
      <c r="N357" s="16" t="str">
        <f aca="false">IF(M357&lt;0,"Loss",IF(M357&lt;50,"Low Profit",IF(M357&lt;200,"Medium Profit","High Profit")))</f>
        <v>Low Profit</v>
      </c>
      <c r="O357" s="16" t="str">
        <f aca="false">IF(J357&gt;=500,"High Value","Standard")</f>
        <v>Standard</v>
      </c>
      <c r="P357" s="16" t="str">
        <f aca="false">H357&amp;" &gt; "&amp;I357&amp;" ("&amp;K357&amp;" units)"</f>
        <v>Office Supplies &gt; Envelopes (2 units)</v>
      </c>
      <c r="Q357" s="16" t="str">
        <f aca="false">VLOOKUP(G357,Region_Manager_Table,2,FALSE())</f>
        <v>Priya Menon</v>
      </c>
      <c r="R357" s="16" t="n">
        <f aca="false">INDEX(SLA_Days_Col,MATCH(A357,ShipMode_Col,0))</f>
        <v>6</v>
      </c>
    </row>
    <row r="358" customFormat="false" ht="15" hidden="false" customHeight="false" outlineLevel="0" collapsed="false">
      <c r="A358" s="10" t="s">
        <v>64</v>
      </c>
      <c r="B358" s="10" t="s">
        <v>50</v>
      </c>
      <c r="C358" s="10" t="s">
        <v>51</v>
      </c>
      <c r="D358" s="10" t="s">
        <v>111</v>
      </c>
      <c r="E358" s="10" t="s">
        <v>112</v>
      </c>
      <c r="F358" s="10" t="n">
        <v>10035</v>
      </c>
      <c r="G358" s="10" t="s">
        <v>93</v>
      </c>
      <c r="H358" s="10" t="s">
        <v>62</v>
      </c>
      <c r="I358" s="10" t="s">
        <v>70</v>
      </c>
      <c r="J358" s="13" t="n">
        <v>17.04</v>
      </c>
      <c r="K358" s="10" t="n">
        <v>4</v>
      </c>
      <c r="L358" s="14" t="n">
        <v>0</v>
      </c>
      <c r="M358" s="15" t="n">
        <v>6.9864</v>
      </c>
      <c r="N358" s="10" t="str">
        <f aca="false">IF(M358&lt;0,"Loss",IF(M358&lt;50,"Low Profit",IF(M358&lt;200,"Medium Profit","High Profit")))</f>
        <v>Low Profit</v>
      </c>
      <c r="O358" s="10" t="str">
        <f aca="false">IF(J358&gt;=500,"High Value","Standard")</f>
        <v>Standard</v>
      </c>
      <c r="P358" s="10" t="str">
        <f aca="false">H358&amp;" &gt; "&amp;I358&amp;" ("&amp;K358&amp;" units)"</f>
        <v>Office Supplies &gt; Art (4 units)</v>
      </c>
      <c r="Q358" s="10" t="str">
        <f aca="false">VLOOKUP(G358,Region_Manager_Table,2,FALSE())</f>
        <v>Priya Menon</v>
      </c>
      <c r="R358" s="10" t="n">
        <f aca="false">INDEX(SLA_Days_Col,MATCH(A358,ShipMode_Col,0))</f>
        <v>6</v>
      </c>
    </row>
    <row r="359" customFormat="false" ht="15" hidden="false" customHeight="false" outlineLevel="0" collapsed="false">
      <c r="A359" s="16" t="s">
        <v>64</v>
      </c>
      <c r="B359" s="16" t="s">
        <v>50</v>
      </c>
      <c r="C359" s="16" t="s">
        <v>51</v>
      </c>
      <c r="D359" s="16" t="s">
        <v>111</v>
      </c>
      <c r="E359" s="16" t="s">
        <v>112</v>
      </c>
      <c r="F359" s="16" t="n">
        <v>10035</v>
      </c>
      <c r="G359" s="16" t="s">
        <v>93</v>
      </c>
      <c r="H359" s="16" t="s">
        <v>62</v>
      </c>
      <c r="I359" s="16" t="s">
        <v>77</v>
      </c>
      <c r="J359" s="17" t="n">
        <v>34.4</v>
      </c>
      <c r="K359" s="16" t="n">
        <v>5</v>
      </c>
      <c r="L359" s="18" t="n">
        <v>0</v>
      </c>
      <c r="M359" s="19" t="n">
        <v>15.824</v>
      </c>
      <c r="N359" s="16" t="str">
        <f aca="false">IF(M359&lt;0,"Loss",IF(M359&lt;50,"Low Profit",IF(M359&lt;200,"Medium Profit","High Profit")))</f>
        <v>Low Profit</v>
      </c>
      <c r="O359" s="16" t="str">
        <f aca="false">IF(J359&gt;=500,"High Value","Standard")</f>
        <v>Standard</v>
      </c>
      <c r="P359" s="16" t="str">
        <f aca="false">H359&amp;" &gt; "&amp;I359&amp;" ("&amp;K359&amp;" units)"</f>
        <v>Office Supplies &gt; Paper (5 units)</v>
      </c>
      <c r="Q359" s="16" t="str">
        <f aca="false">VLOOKUP(G359,Region_Manager_Table,2,FALSE())</f>
        <v>Priya Menon</v>
      </c>
      <c r="R359" s="16" t="n">
        <f aca="false">INDEX(SLA_Days_Col,MATCH(A359,ShipMode_Col,0))</f>
        <v>6</v>
      </c>
    </row>
    <row r="360" customFormat="false" ht="15" hidden="false" customHeight="false" outlineLevel="0" collapsed="false">
      <c r="A360" s="10" t="s">
        <v>64</v>
      </c>
      <c r="B360" s="10" t="s">
        <v>58</v>
      </c>
      <c r="C360" s="10" t="s">
        <v>51</v>
      </c>
      <c r="D360" s="10" t="s">
        <v>135</v>
      </c>
      <c r="E360" s="10" t="s">
        <v>76</v>
      </c>
      <c r="F360" s="10" t="n">
        <v>28205</v>
      </c>
      <c r="G360" s="10" t="s">
        <v>54</v>
      </c>
      <c r="H360" s="10" t="s">
        <v>62</v>
      </c>
      <c r="I360" s="10" t="s">
        <v>77</v>
      </c>
      <c r="J360" s="13" t="n">
        <v>36.24</v>
      </c>
      <c r="K360" s="10" t="n">
        <v>5</v>
      </c>
      <c r="L360" s="14" t="n">
        <v>0.2</v>
      </c>
      <c r="M360" s="15" t="n">
        <v>11.325</v>
      </c>
      <c r="N360" s="10" t="str">
        <f aca="false">IF(M360&lt;0,"Loss",IF(M360&lt;50,"Low Profit",IF(M360&lt;200,"Medium Profit","High Profit")))</f>
        <v>Low Profit</v>
      </c>
      <c r="O360" s="10" t="str">
        <f aca="false">IF(J360&gt;=500,"High Value","Standard")</f>
        <v>Standard</v>
      </c>
      <c r="P360" s="10" t="str">
        <f aca="false">H360&amp;" &gt; "&amp;I360&amp;" ("&amp;K360&amp;" units)"</f>
        <v>Office Supplies &gt; Paper (5 units)</v>
      </c>
      <c r="Q360" s="10" t="str">
        <f aca="false">VLOOKUP(G360,Region_Manager_Table,2,FALSE())</f>
        <v>Karthik Iyer</v>
      </c>
      <c r="R360" s="10" t="n">
        <f aca="false">INDEX(SLA_Days_Col,MATCH(A360,ShipMode_Col,0))</f>
        <v>6</v>
      </c>
    </row>
    <row r="361" customFormat="false" ht="15" hidden="false" customHeight="false" outlineLevel="0" collapsed="false">
      <c r="A361" s="16" t="s">
        <v>98</v>
      </c>
      <c r="B361" s="16" t="s">
        <v>58</v>
      </c>
      <c r="C361" s="16" t="s">
        <v>51</v>
      </c>
      <c r="D361" s="16" t="s">
        <v>139</v>
      </c>
      <c r="E361" s="16" t="s">
        <v>203</v>
      </c>
      <c r="F361" s="16" t="n">
        <v>31907</v>
      </c>
      <c r="G361" s="16" t="s">
        <v>54</v>
      </c>
      <c r="H361" s="16" t="s">
        <v>62</v>
      </c>
      <c r="I361" s="16" t="s">
        <v>74</v>
      </c>
      <c r="J361" s="17" t="n">
        <v>647.84</v>
      </c>
      <c r="K361" s="16" t="n">
        <v>8</v>
      </c>
      <c r="L361" s="18" t="n">
        <v>0</v>
      </c>
      <c r="M361" s="19" t="n">
        <v>168.4384</v>
      </c>
      <c r="N361" s="16" t="str">
        <f aca="false">IF(M361&lt;0,"Loss",IF(M361&lt;50,"Low Profit",IF(M361&lt;200,"Medium Profit","High Profit")))</f>
        <v>Medium Profit</v>
      </c>
      <c r="O361" s="16" t="str">
        <f aca="false">IF(J361&gt;=500,"High Value","Standard")</f>
        <v>High Value</v>
      </c>
      <c r="P361" s="16" t="str">
        <f aca="false">H361&amp;" &gt; "&amp;I361&amp;" ("&amp;K361&amp;" units)"</f>
        <v>Office Supplies &gt; Appliances (8 units)</v>
      </c>
      <c r="Q361" s="16" t="str">
        <f aca="false">VLOOKUP(G361,Region_Manager_Table,2,FALSE())</f>
        <v>Karthik Iyer</v>
      </c>
      <c r="R361" s="16" t="n">
        <f aca="false">INDEX(SLA_Days_Col,MATCH(A361,ShipMode_Col,0))</f>
        <v>2</v>
      </c>
    </row>
    <row r="362" customFormat="false" ht="15" hidden="false" customHeight="false" outlineLevel="0" collapsed="false">
      <c r="A362" s="10" t="s">
        <v>98</v>
      </c>
      <c r="B362" s="10" t="s">
        <v>58</v>
      </c>
      <c r="C362" s="10" t="s">
        <v>51</v>
      </c>
      <c r="D362" s="10" t="s">
        <v>139</v>
      </c>
      <c r="E362" s="10" t="s">
        <v>203</v>
      </c>
      <c r="F362" s="10" t="n">
        <v>31907</v>
      </c>
      <c r="G362" s="10" t="s">
        <v>54</v>
      </c>
      <c r="H362" s="10" t="s">
        <v>62</v>
      </c>
      <c r="I362" s="10" t="s">
        <v>63</v>
      </c>
      <c r="J362" s="13" t="n">
        <v>20.7</v>
      </c>
      <c r="K362" s="10" t="n">
        <v>2</v>
      </c>
      <c r="L362" s="14" t="n">
        <v>0</v>
      </c>
      <c r="M362" s="15" t="n">
        <v>9.936</v>
      </c>
      <c r="N362" s="10" t="str">
        <f aca="false">IF(M362&lt;0,"Loss",IF(M362&lt;50,"Low Profit",IF(M362&lt;200,"Medium Profit","High Profit")))</f>
        <v>Low Profit</v>
      </c>
      <c r="O362" s="10" t="str">
        <f aca="false">IF(J362&gt;=500,"High Value","Standard")</f>
        <v>Standard</v>
      </c>
      <c r="P362" s="10" t="str">
        <f aca="false">H362&amp;" &gt; "&amp;I362&amp;" ("&amp;K362&amp;" units)"</f>
        <v>Office Supplies &gt; Labels (2 units)</v>
      </c>
      <c r="Q362" s="10" t="str">
        <f aca="false">VLOOKUP(G362,Region_Manager_Table,2,FALSE())</f>
        <v>Karthik Iyer</v>
      </c>
      <c r="R362" s="10" t="n">
        <f aca="false">INDEX(SLA_Days_Col,MATCH(A362,ShipMode_Col,0))</f>
        <v>2</v>
      </c>
    </row>
    <row r="363" customFormat="false" ht="15" hidden="false" customHeight="false" outlineLevel="0" collapsed="false">
      <c r="A363" s="16" t="s">
        <v>64</v>
      </c>
      <c r="B363" s="16" t="s">
        <v>50</v>
      </c>
      <c r="C363" s="16" t="s">
        <v>51</v>
      </c>
      <c r="D363" s="16" t="s">
        <v>111</v>
      </c>
      <c r="E363" s="16" t="s">
        <v>112</v>
      </c>
      <c r="F363" s="16" t="n">
        <v>10009</v>
      </c>
      <c r="G363" s="16" t="s">
        <v>93</v>
      </c>
      <c r="H363" s="16" t="s">
        <v>62</v>
      </c>
      <c r="I363" s="16" t="s">
        <v>63</v>
      </c>
      <c r="J363" s="17" t="n">
        <v>20.7</v>
      </c>
      <c r="K363" s="16" t="n">
        <v>2</v>
      </c>
      <c r="L363" s="18" t="n">
        <v>0</v>
      </c>
      <c r="M363" s="19" t="n">
        <v>9.936</v>
      </c>
      <c r="N363" s="16" t="str">
        <f aca="false">IF(M363&lt;0,"Loss",IF(M363&lt;50,"Low Profit",IF(M363&lt;200,"Medium Profit","High Profit")))</f>
        <v>Low Profit</v>
      </c>
      <c r="O363" s="16" t="str">
        <f aca="false">IF(J363&gt;=500,"High Value","Standard")</f>
        <v>Standard</v>
      </c>
      <c r="P363" s="16" t="str">
        <f aca="false">H363&amp;" &gt; "&amp;I363&amp;" ("&amp;K363&amp;" units)"</f>
        <v>Office Supplies &gt; Labels (2 units)</v>
      </c>
      <c r="Q363" s="16" t="str">
        <f aca="false">VLOOKUP(G363,Region_Manager_Table,2,FALSE())</f>
        <v>Priya Menon</v>
      </c>
      <c r="R363" s="16" t="n">
        <f aca="false">INDEX(SLA_Days_Col,MATCH(A363,ShipMode_Col,0))</f>
        <v>6</v>
      </c>
    </row>
    <row r="364" customFormat="false" ht="15" hidden="false" customHeight="false" outlineLevel="0" collapsed="false">
      <c r="A364" s="10" t="s">
        <v>64</v>
      </c>
      <c r="B364" s="10" t="s">
        <v>50</v>
      </c>
      <c r="C364" s="10" t="s">
        <v>51</v>
      </c>
      <c r="D364" s="10" t="s">
        <v>111</v>
      </c>
      <c r="E364" s="10" t="s">
        <v>112</v>
      </c>
      <c r="F364" s="10" t="n">
        <v>10009</v>
      </c>
      <c r="G364" s="10" t="s">
        <v>93</v>
      </c>
      <c r="H364" s="10" t="s">
        <v>55</v>
      </c>
      <c r="I364" s="10" t="s">
        <v>57</v>
      </c>
      <c r="J364" s="13" t="n">
        <v>488.646</v>
      </c>
      <c r="K364" s="10" t="n">
        <v>3</v>
      </c>
      <c r="L364" s="14" t="n">
        <v>0.1</v>
      </c>
      <c r="M364" s="15" t="n">
        <v>86.8704</v>
      </c>
      <c r="N364" s="10" t="str">
        <f aca="false">IF(M364&lt;0,"Loss",IF(M364&lt;50,"Low Profit",IF(M364&lt;200,"Medium Profit","High Profit")))</f>
        <v>Medium Profit</v>
      </c>
      <c r="O364" s="10" t="str">
        <f aca="false">IF(J364&gt;=500,"High Value","Standard")</f>
        <v>Standard</v>
      </c>
      <c r="P364" s="10" t="str">
        <f aca="false">H364&amp;" &gt; "&amp;I364&amp;" ("&amp;K364&amp;" units)"</f>
        <v>Furniture &gt; Chairs (3 units)</v>
      </c>
      <c r="Q364" s="10" t="str">
        <f aca="false">VLOOKUP(G364,Region_Manager_Table,2,FALSE())</f>
        <v>Priya Menon</v>
      </c>
      <c r="R364" s="10" t="n">
        <f aca="false">INDEX(SLA_Days_Col,MATCH(A364,ShipMode_Col,0))</f>
        <v>6</v>
      </c>
    </row>
    <row r="365" customFormat="false" ht="15" hidden="false" customHeight="false" outlineLevel="0" collapsed="false">
      <c r="A365" s="16" t="s">
        <v>64</v>
      </c>
      <c r="B365" s="16" t="s">
        <v>50</v>
      </c>
      <c r="C365" s="16" t="s">
        <v>51</v>
      </c>
      <c r="D365" s="16" t="s">
        <v>111</v>
      </c>
      <c r="E365" s="16" t="s">
        <v>112</v>
      </c>
      <c r="F365" s="16" t="n">
        <v>10009</v>
      </c>
      <c r="G365" s="16" t="s">
        <v>93</v>
      </c>
      <c r="H365" s="16" t="s">
        <v>62</v>
      </c>
      <c r="I365" s="16" t="s">
        <v>70</v>
      </c>
      <c r="J365" s="17" t="n">
        <v>5.56</v>
      </c>
      <c r="K365" s="16" t="n">
        <v>2</v>
      </c>
      <c r="L365" s="18" t="n">
        <v>0</v>
      </c>
      <c r="M365" s="19" t="n">
        <v>1.4456</v>
      </c>
      <c r="N365" s="16" t="str">
        <f aca="false">IF(M365&lt;0,"Loss",IF(M365&lt;50,"Low Profit",IF(M365&lt;200,"Medium Profit","High Profit")))</f>
        <v>Low Profit</v>
      </c>
      <c r="O365" s="16" t="str">
        <f aca="false">IF(J365&gt;=500,"High Value","Standard")</f>
        <v>Standard</v>
      </c>
      <c r="P365" s="16" t="str">
        <f aca="false">H365&amp;" &gt; "&amp;I365&amp;" ("&amp;K365&amp;" units)"</f>
        <v>Office Supplies &gt; Art (2 units)</v>
      </c>
      <c r="Q365" s="16" t="str">
        <f aca="false">VLOOKUP(G365,Region_Manager_Table,2,FALSE())</f>
        <v>Priya Menon</v>
      </c>
      <c r="R365" s="16" t="n">
        <f aca="false">INDEX(SLA_Days_Col,MATCH(A365,ShipMode_Col,0))</f>
        <v>6</v>
      </c>
    </row>
    <row r="366" customFormat="false" ht="15" hidden="false" customHeight="false" outlineLevel="0" collapsed="false">
      <c r="A366" s="10" t="s">
        <v>64</v>
      </c>
      <c r="B366" s="10" t="s">
        <v>50</v>
      </c>
      <c r="C366" s="10" t="s">
        <v>51</v>
      </c>
      <c r="D366" s="10" t="s">
        <v>111</v>
      </c>
      <c r="E366" s="10" t="s">
        <v>112</v>
      </c>
      <c r="F366" s="10" t="n">
        <v>10009</v>
      </c>
      <c r="G366" s="10" t="s">
        <v>93</v>
      </c>
      <c r="H366" s="10" t="s">
        <v>55</v>
      </c>
      <c r="I366" s="10" t="s">
        <v>69</v>
      </c>
      <c r="J366" s="13" t="n">
        <v>47.12</v>
      </c>
      <c r="K366" s="10" t="n">
        <v>8</v>
      </c>
      <c r="L366" s="14" t="n">
        <v>0</v>
      </c>
      <c r="M366" s="15" t="n">
        <v>20.7328</v>
      </c>
      <c r="N366" s="10" t="str">
        <f aca="false">IF(M366&lt;0,"Loss",IF(M366&lt;50,"Low Profit",IF(M366&lt;200,"Medium Profit","High Profit")))</f>
        <v>Low Profit</v>
      </c>
      <c r="O366" s="10" t="str">
        <f aca="false">IF(J366&gt;=500,"High Value","Standard")</f>
        <v>Standard</v>
      </c>
      <c r="P366" s="10" t="str">
        <f aca="false">H366&amp;" &gt; "&amp;I366&amp;" ("&amp;K366&amp;" units)"</f>
        <v>Furniture &gt; Furnishings (8 units)</v>
      </c>
      <c r="Q366" s="10" t="str">
        <f aca="false">VLOOKUP(G366,Region_Manager_Table,2,FALSE())</f>
        <v>Priya Menon</v>
      </c>
      <c r="R366" s="10" t="n">
        <f aca="false">INDEX(SLA_Days_Col,MATCH(A366,ShipMode_Col,0))</f>
        <v>6</v>
      </c>
    </row>
    <row r="367" customFormat="false" ht="15" hidden="false" customHeight="false" outlineLevel="0" collapsed="false">
      <c r="A367" s="16" t="s">
        <v>64</v>
      </c>
      <c r="B367" s="16" t="s">
        <v>50</v>
      </c>
      <c r="C367" s="16" t="s">
        <v>51</v>
      </c>
      <c r="D367" s="16" t="s">
        <v>88</v>
      </c>
      <c r="E367" s="16" t="s">
        <v>60</v>
      </c>
      <c r="F367" s="16" t="n">
        <v>94109</v>
      </c>
      <c r="G367" s="16" t="s">
        <v>61</v>
      </c>
      <c r="H367" s="16" t="s">
        <v>62</v>
      </c>
      <c r="I367" s="16" t="s">
        <v>68</v>
      </c>
      <c r="J367" s="17" t="n">
        <v>211.96</v>
      </c>
      <c r="K367" s="16" t="n">
        <v>4</v>
      </c>
      <c r="L367" s="18" t="n">
        <v>0</v>
      </c>
      <c r="M367" s="19" t="n">
        <v>8.4784</v>
      </c>
      <c r="N367" s="16" t="str">
        <f aca="false">IF(M367&lt;0,"Loss",IF(M367&lt;50,"Low Profit",IF(M367&lt;200,"Medium Profit","High Profit")))</f>
        <v>Low Profit</v>
      </c>
      <c r="O367" s="16" t="str">
        <f aca="false">IF(J367&gt;=500,"High Value","Standard")</f>
        <v>Standard</v>
      </c>
      <c r="P367" s="16" t="str">
        <f aca="false">H367&amp;" &gt; "&amp;I367&amp;" ("&amp;K367&amp;" units)"</f>
        <v>Office Supplies &gt; Storage (4 units)</v>
      </c>
      <c r="Q367" s="16" t="str">
        <f aca="false">VLOOKUP(G367,Region_Manager_Table,2,FALSE())</f>
        <v>Sana Sheikh</v>
      </c>
      <c r="R367" s="16" t="n">
        <f aca="false">INDEX(SLA_Days_Col,MATCH(A367,ShipMode_Col,0))</f>
        <v>6</v>
      </c>
    </row>
    <row r="368" customFormat="false" ht="15" hidden="false" customHeight="false" outlineLevel="0" collapsed="false">
      <c r="A368" s="10" t="s">
        <v>204</v>
      </c>
      <c r="B368" s="10" t="s">
        <v>58</v>
      </c>
      <c r="C368" s="10" t="s">
        <v>51</v>
      </c>
      <c r="D368" s="10" t="s">
        <v>205</v>
      </c>
      <c r="E368" s="10" t="s">
        <v>163</v>
      </c>
      <c r="F368" s="10" t="n">
        <v>6040</v>
      </c>
      <c r="G368" s="10" t="s">
        <v>93</v>
      </c>
      <c r="H368" s="10" t="s">
        <v>62</v>
      </c>
      <c r="I368" s="10" t="s">
        <v>73</v>
      </c>
      <c r="J368" s="13" t="n">
        <v>23.2</v>
      </c>
      <c r="K368" s="10" t="n">
        <v>4</v>
      </c>
      <c r="L368" s="14" t="n">
        <v>0</v>
      </c>
      <c r="M368" s="15" t="n">
        <v>10.44</v>
      </c>
      <c r="N368" s="10" t="str">
        <f aca="false">IF(M368&lt;0,"Loss",IF(M368&lt;50,"Low Profit",IF(M368&lt;200,"Medium Profit","High Profit")))</f>
        <v>Low Profit</v>
      </c>
      <c r="O368" s="10" t="str">
        <f aca="false">IF(J368&gt;=500,"High Value","Standard")</f>
        <v>Standard</v>
      </c>
      <c r="P368" s="10" t="str">
        <f aca="false">H368&amp;" &gt; "&amp;I368&amp;" ("&amp;K368&amp;" units)"</f>
        <v>Office Supplies &gt; Binders (4 units)</v>
      </c>
      <c r="Q368" s="10" t="str">
        <f aca="false">VLOOKUP(G368,Region_Manager_Table,2,FALSE())</f>
        <v>Priya Menon</v>
      </c>
      <c r="R368" s="10" t="n">
        <f aca="false">INDEX(SLA_Days_Col,MATCH(A368,ShipMode_Col,0))</f>
        <v>1</v>
      </c>
    </row>
    <row r="369" customFormat="false" ht="15" hidden="false" customHeight="false" outlineLevel="0" collapsed="false">
      <c r="A369" s="16" t="s">
        <v>204</v>
      </c>
      <c r="B369" s="16" t="s">
        <v>58</v>
      </c>
      <c r="C369" s="16" t="s">
        <v>51</v>
      </c>
      <c r="D369" s="16" t="s">
        <v>205</v>
      </c>
      <c r="E369" s="16" t="s">
        <v>163</v>
      </c>
      <c r="F369" s="16" t="n">
        <v>6040</v>
      </c>
      <c r="G369" s="16" t="s">
        <v>93</v>
      </c>
      <c r="H369" s="16" t="s">
        <v>62</v>
      </c>
      <c r="I369" s="16" t="s">
        <v>146</v>
      </c>
      <c r="J369" s="17" t="n">
        <v>7.36</v>
      </c>
      <c r="K369" s="16" t="n">
        <v>2</v>
      </c>
      <c r="L369" s="18" t="n">
        <v>0</v>
      </c>
      <c r="M369" s="19" t="n">
        <v>0.1472</v>
      </c>
      <c r="N369" s="16" t="str">
        <f aca="false">IF(M369&lt;0,"Loss",IF(M369&lt;50,"Low Profit",IF(M369&lt;200,"Medium Profit","High Profit")))</f>
        <v>Low Profit</v>
      </c>
      <c r="O369" s="16" t="str">
        <f aca="false">IF(J369&gt;=500,"High Value","Standard")</f>
        <v>Standard</v>
      </c>
      <c r="P369" s="16" t="str">
        <f aca="false">H369&amp;" &gt; "&amp;I369&amp;" ("&amp;K369&amp;" units)"</f>
        <v>Office Supplies &gt; Supplies (2 units)</v>
      </c>
      <c r="Q369" s="16" t="str">
        <f aca="false">VLOOKUP(G369,Region_Manager_Table,2,FALSE())</f>
        <v>Priya Menon</v>
      </c>
      <c r="R369" s="16" t="n">
        <f aca="false">INDEX(SLA_Days_Col,MATCH(A369,ShipMode_Col,0))</f>
        <v>1</v>
      </c>
    </row>
    <row r="370" customFormat="false" ht="15" hidden="false" customHeight="false" outlineLevel="0" collapsed="false">
      <c r="A370" s="10" t="s">
        <v>204</v>
      </c>
      <c r="B370" s="10" t="s">
        <v>58</v>
      </c>
      <c r="C370" s="10" t="s">
        <v>51</v>
      </c>
      <c r="D370" s="10" t="s">
        <v>205</v>
      </c>
      <c r="E370" s="10" t="s">
        <v>163</v>
      </c>
      <c r="F370" s="10" t="n">
        <v>6040</v>
      </c>
      <c r="G370" s="10" t="s">
        <v>93</v>
      </c>
      <c r="H370" s="10" t="s">
        <v>62</v>
      </c>
      <c r="I370" s="10" t="s">
        <v>68</v>
      </c>
      <c r="J370" s="13" t="n">
        <v>104.79</v>
      </c>
      <c r="K370" s="10" t="n">
        <v>7</v>
      </c>
      <c r="L370" s="14" t="n">
        <v>0</v>
      </c>
      <c r="M370" s="15" t="n">
        <v>29.3412</v>
      </c>
      <c r="N370" s="10" t="str">
        <f aca="false">IF(M370&lt;0,"Loss",IF(M370&lt;50,"Low Profit",IF(M370&lt;200,"Medium Profit","High Profit")))</f>
        <v>Low Profit</v>
      </c>
      <c r="O370" s="10" t="str">
        <f aca="false">IF(J370&gt;=500,"High Value","Standard")</f>
        <v>Standard</v>
      </c>
      <c r="P370" s="10" t="str">
        <f aca="false">H370&amp;" &gt; "&amp;I370&amp;" ("&amp;K370&amp;" units)"</f>
        <v>Office Supplies &gt; Storage (7 units)</v>
      </c>
      <c r="Q370" s="10" t="str">
        <f aca="false">VLOOKUP(G370,Region_Manager_Table,2,FALSE())</f>
        <v>Priya Menon</v>
      </c>
      <c r="R370" s="10" t="n">
        <f aca="false">INDEX(SLA_Days_Col,MATCH(A370,ShipMode_Col,0))</f>
        <v>1</v>
      </c>
    </row>
    <row r="371" customFormat="false" ht="15" hidden="false" customHeight="false" outlineLevel="0" collapsed="false">
      <c r="A371" s="16" t="s">
        <v>204</v>
      </c>
      <c r="B371" s="16" t="s">
        <v>58</v>
      </c>
      <c r="C371" s="16" t="s">
        <v>51</v>
      </c>
      <c r="D371" s="16" t="s">
        <v>205</v>
      </c>
      <c r="E371" s="16" t="s">
        <v>163</v>
      </c>
      <c r="F371" s="16" t="n">
        <v>6040</v>
      </c>
      <c r="G371" s="16" t="s">
        <v>93</v>
      </c>
      <c r="H371" s="16" t="s">
        <v>55</v>
      </c>
      <c r="I371" s="16" t="s">
        <v>56</v>
      </c>
      <c r="J371" s="17" t="n">
        <v>1043.92</v>
      </c>
      <c r="K371" s="16" t="n">
        <v>4</v>
      </c>
      <c r="L371" s="18" t="n">
        <v>0</v>
      </c>
      <c r="M371" s="19" t="n">
        <v>271.4192</v>
      </c>
      <c r="N371" s="16" t="str">
        <f aca="false">IF(M371&lt;0,"Loss",IF(M371&lt;50,"Low Profit",IF(M371&lt;200,"Medium Profit","High Profit")))</f>
        <v>High Profit</v>
      </c>
      <c r="O371" s="16" t="str">
        <f aca="false">IF(J371&gt;=500,"High Value","Standard")</f>
        <v>High Value</v>
      </c>
      <c r="P371" s="16" t="str">
        <f aca="false">H371&amp;" &gt; "&amp;I371&amp;" ("&amp;K371&amp;" units)"</f>
        <v>Furniture &gt; Bookcases (4 units)</v>
      </c>
      <c r="Q371" s="16" t="str">
        <f aca="false">VLOOKUP(G371,Region_Manager_Table,2,FALSE())</f>
        <v>Priya Menon</v>
      </c>
      <c r="R371" s="16" t="n">
        <f aca="false">INDEX(SLA_Days_Col,MATCH(A371,ShipMode_Col,0))</f>
        <v>1</v>
      </c>
    </row>
    <row r="372" customFormat="false" ht="15" hidden="false" customHeight="false" outlineLevel="0" collapsed="false">
      <c r="A372" s="10" t="s">
        <v>64</v>
      </c>
      <c r="B372" s="10" t="s">
        <v>50</v>
      </c>
      <c r="C372" s="10" t="s">
        <v>51</v>
      </c>
      <c r="D372" s="10" t="s">
        <v>206</v>
      </c>
      <c r="E372" s="10" t="s">
        <v>82</v>
      </c>
      <c r="F372" s="10" t="n">
        <v>78550</v>
      </c>
      <c r="G372" s="10" t="s">
        <v>83</v>
      </c>
      <c r="H372" s="10" t="s">
        <v>62</v>
      </c>
      <c r="I372" s="10" t="s">
        <v>77</v>
      </c>
      <c r="J372" s="13" t="n">
        <v>25.92</v>
      </c>
      <c r="K372" s="10" t="n">
        <v>5</v>
      </c>
      <c r="L372" s="14" t="n">
        <v>0.2</v>
      </c>
      <c r="M372" s="15" t="n">
        <v>9.396</v>
      </c>
      <c r="N372" s="10" t="str">
        <f aca="false">IF(M372&lt;0,"Loss",IF(M372&lt;50,"Low Profit",IF(M372&lt;200,"Medium Profit","High Profit")))</f>
        <v>Low Profit</v>
      </c>
      <c r="O372" s="10" t="str">
        <f aca="false">IF(J372&gt;=500,"High Value","Standard")</f>
        <v>Standard</v>
      </c>
      <c r="P372" s="10" t="str">
        <f aca="false">H372&amp;" &gt; "&amp;I372&amp;" ("&amp;K372&amp;" units)"</f>
        <v>Office Supplies &gt; Paper (5 units)</v>
      </c>
      <c r="Q372" s="10" t="str">
        <f aca="false">VLOOKUP(G372,Region_Manager_Table,2,FALSE())</f>
        <v>Aditya Rao</v>
      </c>
      <c r="R372" s="10" t="n">
        <f aca="false">INDEX(SLA_Days_Col,MATCH(A372,ShipMode_Col,0))</f>
        <v>6</v>
      </c>
    </row>
    <row r="373" customFormat="false" ht="15" hidden="false" customHeight="false" outlineLevel="0" collapsed="false">
      <c r="A373" s="16" t="s">
        <v>64</v>
      </c>
      <c r="B373" s="16" t="s">
        <v>50</v>
      </c>
      <c r="C373" s="16" t="s">
        <v>51</v>
      </c>
      <c r="D373" s="16" t="s">
        <v>206</v>
      </c>
      <c r="E373" s="16" t="s">
        <v>82</v>
      </c>
      <c r="F373" s="16" t="n">
        <v>78550</v>
      </c>
      <c r="G373" s="16" t="s">
        <v>83</v>
      </c>
      <c r="H373" s="16" t="s">
        <v>62</v>
      </c>
      <c r="I373" s="16" t="s">
        <v>68</v>
      </c>
      <c r="J373" s="17" t="n">
        <v>53.424</v>
      </c>
      <c r="K373" s="16" t="n">
        <v>3</v>
      </c>
      <c r="L373" s="18" t="n">
        <v>0.2</v>
      </c>
      <c r="M373" s="19" t="n">
        <v>4.6746</v>
      </c>
      <c r="N373" s="16" t="str">
        <f aca="false">IF(M373&lt;0,"Loss",IF(M373&lt;50,"Low Profit",IF(M373&lt;200,"Medium Profit","High Profit")))</f>
        <v>Low Profit</v>
      </c>
      <c r="O373" s="16" t="str">
        <f aca="false">IF(J373&gt;=500,"High Value","Standard")</f>
        <v>Standard</v>
      </c>
      <c r="P373" s="16" t="str">
        <f aca="false">H373&amp;" &gt; "&amp;I373&amp;" ("&amp;K373&amp;" units)"</f>
        <v>Office Supplies &gt; Storage (3 units)</v>
      </c>
      <c r="Q373" s="16" t="str">
        <f aca="false">VLOOKUP(G373,Region_Manager_Table,2,FALSE())</f>
        <v>Aditya Rao</v>
      </c>
      <c r="R373" s="16" t="n">
        <f aca="false">INDEX(SLA_Days_Col,MATCH(A373,ShipMode_Col,0))</f>
        <v>6</v>
      </c>
    </row>
    <row r="374" customFormat="false" ht="15" hidden="false" customHeight="false" outlineLevel="0" collapsed="false">
      <c r="A374" s="10" t="s">
        <v>64</v>
      </c>
      <c r="B374" s="10" t="s">
        <v>50</v>
      </c>
      <c r="C374" s="10" t="s">
        <v>51</v>
      </c>
      <c r="D374" s="10" t="s">
        <v>207</v>
      </c>
      <c r="E374" s="10" t="s">
        <v>117</v>
      </c>
      <c r="F374" s="10" t="n">
        <v>85705</v>
      </c>
      <c r="G374" s="10" t="s">
        <v>61</v>
      </c>
      <c r="H374" s="10" t="s">
        <v>62</v>
      </c>
      <c r="I374" s="10" t="s">
        <v>73</v>
      </c>
      <c r="J374" s="13" t="n">
        <v>8.16</v>
      </c>
      <c r="K374" s="10" t="n">
        <v>5</v>
      </c>
      <c r="L374" s="14" t="n">
        <v>0.7</v>
      </c>
      <c r="M374" s="15" t="n">
        <v>-5.712</v>
      </c>
      <c r="N374" s="10" t="str">
        <f aca="false">IF(M374&lt;0,"Loss",IF(M374&lt;50,"Low Profit",IF(M374&lt;200,"Medium Profit","High Profit")))</f>
        <v>Loss</v>
      </c>
      <c r="O374" s="10" t="str">
        <f aca="false">IF(J374&gt;=500,"High Value","Standard")</f>
        <v>Standard</v>
      </c>
      <c r="P374" s="10" t="str">
        <f aca="false">H374&amp;" &gt; "&amp;I374&amp;" ("&amp;K374&amp;" units)"</f>
        <v>Office Supplies &gt; Binders (5 units)</v>
      </c>
      <c r="Q374" s="10" t="str">
        <f aca="false">VLOOKUP(G374,Region_Manager_Table,2,FALSE())</f>
        <v>Sana Sheikh</v>
      </c>
      <c r="R374" s="10" t="n">
        <f aca="false">INDEX(SLA_Days_Col,MATCH(A374,ShipMode_Col,0))</f>
        <v>6</v>
      </c>
    </row>
    <row r="375" customFormat="false" ht="15" hidden="false" customHeight="false" outlineLevel="0" collapsed="false">
      <c r="A375" s="16" t="s">
        <v>64</v>
      </c>
      <c r="B375" s="16" t="s">
        <v>50</v>
      </c>
      <c r="C375" s="16" t="s">
        <v>51</v>
      </c>
      <c r="D375" s="16" t="s">
        <v>207</v>
      </c>
      <c r="E375" s="16" t="s">
        <v>117</v>
      </c>
      <c r="F375" s="16" t="n">
        <v>85705</v>
      </c>
      <c r="G375" s="16" t="s">
        <v>61</v>
      </c>
      <c r="H375" s="16" t="s">
        <v>71</v>
      </c>
      <c r="I375" s="16" t="s">
        <v>95</v>
      </c>
      <c r="J375" s="17" t="n">
        <v>1023.936</v>
      </c>
      <c r="K375" s="16" t="n">
        <v>8</v>
      </c>
      <c r="L375" s="18" t="n">
        <v>0.2</v>
      </c>
      <c r="M375" s="19" t="n">
        <v>179.1888</v>
      </c>
      <c r="N375" s="16" t="str">
        <f aca="false">IF(M375&lt;0,"Loss",IF(M375&lt;50,"Low Profit",IF(M375&lt;200,"Medium Profit","High Profit")))</f>
        <v>Medium Profit</v>
      </c>
      <c r="O375" s="16" t="str">
        <f aca="false">IF(J375&gt;=500,"High Value","Standard")</f>
        <v>High Value</v>
      </c>
      <c r="P375" s="16" t="str">
        <f aca="false">H375&amp;" &gt; "&amp;I375&amp;" ("&amp;K375&amp;" units)"</f>
        <v>Technology &gt; Accessories (8 units)</v>
      </c>
      <c r="Q375" s="16" t="str">
        <f aca="false">VLOOKUP(G375,Region_Manager_Table,2,FALSE())</f>
        <v>Sana Sheikh</v>
      </c>
      <c r="R375" s="16" t="n">
        <f aca="false">INDEX(SLA_Days_Col,MATCH(A375,ShipMode_Col,0))</f>
        <v>6</v>
      </c>
    </row>
    <row r="376" customFormat="false" ht="15" hidden="false" customHeight="false" outlineLevel="0" collapsed="false">
      <c r="A376" s="10" t="s">
        <v>64</v>
      </c>
      <c r="B376" s="10" t="s">
        <v>50</v>
      </c>
      <c r="C376" s="10" t="s">
        <v>51</v>
      </c>
      <c r="D376" s="10" t="s">
        <v>207</v>
      </c>
      <c r="E376" s="10" t="s">
        <v>117</v>
      </c>
      <c r="F376" s="10" t="n">
        <v>85705</v>
      </c>
      <c r="G376" s="10" t="s">
        <v>61</v>
      </c>
      <c r="H376" s="10" t="s">
        <v>62</v>
      </c>
      <c r="I376" s="10" t="s">
        <v>70</v>
      </c>
      <c r="J376" s="13" t="n">
        <v>9.24</v>
      </c>
      <c r="K376" s="10" t="n">
        <v>1</v>
      </c>
      <c r="L376" s="14" t="n">
        <v>0.2</v>
      </c>
      <c r="M376" s="15" t="n">
        <v>0.924</v>
      </c>
      <c r="N376" s="10" t="str">
        <f aca="false">IF(M376&lt;0,"Loss",IF(M376&lt;50,"Low Profit",IF(M376&lt;200,"Medium Profit","High Profit")))</f>
        <v>Low Profit</v>
      </c>
      <c r="O376" s="10" t="str">
        <f aca="false">IF(J376&gt;=500,"High Value","Standard")</f>
        <v>Standard</v>
      </c>
      <c r="P376" s="10" t="str">
        <f aca="false">H376&amp;" &gt; "&amp;I376&amp;" ("&amp;K376&amp;" units)"</f>
        <v>Office Supplies &gt; Art (1 units)</v>
      </c>
      <c r="Q376" s="10" t="str">
        <f aca="false">VLOOKUP(G376,Region_Manager_Table,2,FALSE())</f>
        <v>Sana Sheikh</v>
      </c>
      <c r="R376" s="10" t="n">
        <f aca="false">INDEX(SLA_Days_Col,MATCH(A376,ShipMode_Col,0))</f>
        <v>6</v>
      </c>
    </row>
    <row r="377" customFormat="false" ht="15" hidden="false" customHeight="false" outlineLevel="0" collapsed="false">
      <c r="A377" s="16" t="s">
        <v>64</v>
      </c>
      <c r="B377" s="16" t="s">
        <v>50</v>
      </c>
      <c r="C377" s="16" t="s">
        <v>51</v>
      </c>
      <c r="D377" s="16" t="s">
        <v>207</v>
      </c>
      <c r="E377" s="16" t="s">
        <v>117</v>
      </c>
      <c r="F377" s="16" t="n">
        <v>85705</v>
      </c>
      <c r="G377" s="16" t="s">
        <v>61</v>
      </c>
      <c r="H377" s="16" t="s">
        <v>71</v>
      </c>
      <c r="I377" s="16" t="s">
        <v>95</v>
      </c>
      <c r="J377" s="17" t="n">
        <v>479.04</v>
      </c>
      <c r="K377" s="16" t="n">
        <v>10</v>
      </c>
      <c r="L377" s="18" t="n">
        <v>0.2</v>
      </c>
      <c r="M377" s="19" t="n">
        <v>-29.94</v>
      </c>
      <c r="N377" s="16" t="str">
        <f aca="false">IF(M377&lt;0,"Loss",IF(M377&lt;50,"Low Profit",IF(M377&lt;200,"Medium Profit","High Profit")))</f>
        <v>Loss</v>
      </c>
      <c r="O377" s="16" t="str">
        <f aca="false">IF(J377&gt;=500,"High Value","Standard")</f>
        <v>Standard</v>
      </c>
      <c r="P377" s="16" t="str">
        <f aca="false">H377&amp;" &gt; "&amp;I377&amp;" ("&amp;K377&amp;" units)"</f>
        <v>Technology &gt; Accessories (10 units)</v>
      </c>
      <c r="Q377" s="16" t="str">
        <f aca="false">VLOOKUP(G377,Region_Manager_Table,2,FALSE())</f>
        <v>Sana Sheikh</v>
      </c>
      <c r="R377" s="16" t="n">
        <f aca="false">INDEX(SLA_Days_Col,MATCH(A377,ShipMode_Col,0))</f>
        <v>6</v>
      </c>
    </row>
    <row r="378" customFormat="false" ht="15" hidden="false" customHeight="false" outlineLevel="0" collapsed="false">
      <c r="A378" s="10" t="s">
        <v>98</v>
      </c>
      <c r="B378" s="10" t="s">
        <v>58</v>
      </c>
      <c r="C378" s="10" t="s">
        <v>51</v>
      </c>
      <c r="D378" s="10" t="s">
        <v>208</v>
      </c>
      <c r="E378" s="10" t="s">
        <v>101</v>
      </c>
      <c r="F378" s="10" t="n">
        <v>62301</v>
      </c>
      <c r="G378" s="10" t="s">
        <v>83</v>
      </c>
      <c r="H378" s="10" t="s">
        <v>62</v>
      </c>
      <c r="I378" s="10" t="s">
        <v>77</v>
      </c>
      <c r="J378" s="13" t="n">
        <v>99.136</v>
      </c>
      <c r="K378" s="10" t="n">
        <v>4</v>
      </c>
      <c r="L378" s="14" t="n">
        <v>0.2</v>
      </c>
      <c r="M378" s="15" t="n">
        <v>30.98</v>
      </c>
      <c r="N378" s="10" t="str">
        <f aca="false">IF(M378&lt;0,"Loss",IF(M378&lt;50,"Low Profit",IF(M378&lt;200,"Medium Profit","High Profit")))</f>
        <v>Low Profit</v>
      </c>
      <c r="O378" s="10" t="str">
        <f aca="false">IF(J378&gt;=500,"High Value","Standard")</f>
        <v>Standard</v>
      </c>
      <c r="P378" s="10" t="str">
        <f aca="false">H378&amp;" &gt; "&amp;I378&amp;" ("&amp;K378&amp;" units)"</f>
        <v>Office Supplies &gt; Paper (4 units)</v>
      </c>
      <c r="Q378" s="10" t="str">
        <f aca="false">VLOOKUP(G378,Region_Manager_Table,2,FALSE())</f>
        <v>Aditya Rao</v>
      </c>
      <c r="R378" s="10" t="n">
        <f aca="false">INDEX(SLA_Days_Col,MATCH(A378,ShipMode_Col,0))</f>
        <v>2</v>
      </c>
    </row>
    <row r="379" customFormat="false" ht="15" hidden="false" customHeight="false" outlineLevel="0" collapsed="false">
      <c r="A379" s="16" t="s">
        <v>64</v>
      </c>
      <c r="B379" s="16" t="s">
        <v>58</v>
      </c>
      <c r="C379" s="16" t="s">
        <v>51</v>
      </c>
      <c r="D379" s="16" t="s">
        <v>151</v>
      </c>
      <c r="E379" s="16" t="s">
        <v>202</v>
      </c>
      <c r="F379" s="16" t="n">
        <v>2038</v>
      </c>
      <c r="G379" s="16" t="s">
        <v>93</v>
      </c>
      <c r="H379" s="16" t="s">
        <v>55</v>
      </c>
      <c r="I379" s="16" t="s">
        <v>67</v>
      </c>
      <c r="J379" s="17" t="n">
        <v>1488.424</v>
      </c>
      <c r="K379" s="16" t="n">
        <v>7</v>
      </c>
      <c r="L379" s="18" t="n">
        <v>0.3</v>
      </c>
      <c r="M379" s="19" t="n">
        <v>-297.6848</v>
      </c>
      <c r="N379" s="16" t="str">
        <f aca="false">IF(M379&lt;0,"Loss",IF(M379&lt;50,"Low Profit",IF(M379&lt;200,"Medium Profit","High Profit")))</f>
        <v>Loss</v>
      </c>
      <c r="O379" s="16" t="str">
        <f aca="false">IF(J379&gt;=500,"High Value","Standard")</f>
        <v>High Value</v>
      </c>
      <c r="P379" s="16" t="str">
        <f aca="false">H379&amp;" &gt; "&amp;I379&amp;" ("&amp;K379&amp;" units)"</f>
        <v>Furniture &gt; Tables (7 units)</v>
      </c>
      <c r="Q379" s="16" t="str">
        <f aca="false">VLOOKUP(G379,Region_Manager_Table,2,FALSE())</f>
        <v>Priya Menon</v>
      </c>
      <c r="R379" s="16" t="n">
        <f aca="false">INDEX(SLA_Days_Col,MATCH(A379,ShipMode_Col,0))</f>
        <v>6</v>
      </c>
    </row>
    <row r="380" customFormat="false" ht="15" hidden="false" customHeight="false" outlineLevel="0" collapsed="false">
      <c r="A380" s="10" t="s">
        <v>64</v>
      </c>
      <c r="B380" s="10" t="s">
        <v>50</v>
      </c>
      <c r="C380" s="10" t="s">
        <v>51</v>
      </c>
      <c r="D380" s="10" t="s">
        <v>97</v>
      </c>
      <c r="E380" s="10" t="s">
        <v>82</v>
      </c>
      <c r="F380" s="10" t="n">
        <v>77095</v>
      </c>
      <c r="G380" s="10" t="s">
        <v>83</v>
      </c>
      <c r="H380" s="10" t="s">
        <v>62</v>
      </c>
      <c r="I380" s="10" t="s">
        <v>74</v>
      </c>
      <c r="J380" s="13" t="n">
        <v>8.652</v>
      </c>
      <c r="K380" s="10" t="n">
        <v>3</v>
      </c>
      <c r="L380" s="14" t="n">
        <v>0.8</v>
      </c>
      <c r="M380" s="15" t="n">
        <v>-20.3322</v>
      </c>
      <c r="N380" s="10" t="str">
        <f aca="false">IF(M380&lt;0,"Loss",IF(M380&lt;50,"Low Profit",IF(M380&lt;200,"Medium Profit","High Profit")))</f>
        <v>Loss</v>
      </c>
      <c r="O380" s="10" t="str">
        <f aca="false">IF(J380&gt;=500,"High Value","Standard")</f>
        <v>Standard</v>
      </c>
      <c r="P380" s="10" t="str">
        <f aca="false">H380&amp;" &gt; "&amp;I380&amp;" ("&amp;K380&amp;" units)"</f>
        <v>Office Supplies &gt; Appliances (3 units)</v>
      </c>
      <c r="Q380" s="10" t="str">
        <f aca="false">VLOOKUP(G380,Region_Manager_Table,2,FALSE())</f>
        <v>Aditya Rao</v>
      </c>
      <c r="R380" s="10" t="n">
        <f aca="false">INDEX(SLA_Days_Col,MATCH(A380,ShipMode_Col,0))</f>
        <v>6</v>
      </c>
    </row>
    <row r="381" customFormat="false" ht="15" hidden="false" customHeight="false" outlineLevel="0" collapsed="false">
      <c r="A381" s="16" t="s">
        <v>64</v>
      </c>
      <c r="B381" s="16" t="s">
        <v>50</v>
      </c>
      <c r="C381" s="16" t="s">
        <v>51</v>
      </c>
      <c r="D381" s="16" t="s">
        <v>97</v>
      </c>
      <c r="E381" s="16" t="s">
        <v>82</v>
      </c>
      <c r="F381" s="16" t="n">
        <v>77095</v>
      </c>
      <c r="G381" s="16" t="s">
        <v>83</v>
      </c>
      <c r="H381" s="16" t="s">
        <v>62</v>
      </c>
      <c r="I381" s="16" t="s">
        <v>68</v>
      </c>
      <c r="J381" s="17" t="n">
        <v>23.832</v>
      </c>
      <c r="K381" s="16" t="n">
        <v>3</v>
      </c>
      <c r="L381" s="18" t="n">
        <v>0.2</v>
      </c>
      <c r="M381" s="19" t="n">
        <v>2.6811</v>
      </c>
      <c r="N381" s="16" t="str">
        <f aca="false">IF(M381&lt;0,"Loss",IF(M381&lt;50,"Low Profit",IF(M381&lt;200,"Medium Profit","High Profit")))</f>
        <v>Low Profit</v>
      </c>
      <c r="O381" s="16" t="str">
        <f aca="false">IF(J381&gt;=500,"High Value","Standard")</f>
        <v>Standard</v>
      </c>
      <c r="P381" s="16" t="str">
        <f aca="false">H381&amp;" &gt; "&amp;I381&amp;" ("&amp;K381&amp;" units)"</f>
        <v>Office Supplies &gt; Storage (3 units)</v>
      </c>
      <c r="Q381" s="16" t="str">
        <f aca="false">VLOOKUP(G381,Region_Manager_Table,2,FALSE())</f>
        <v>Aditya Rao</v>
      </c>
      <c r="R381" s="16" t="n">
        <f aca="false">INDEX(SLA_Days_Col,MATCH(A381,ShipMode_Col,0))</f>
        <v>6</v>
      </c>
    </row>
    <row r="382" customFormat="false" ht="15" hidden="false" customHeight="false" outlineLevel="0" collapsed="false">
      <c r="A382" s="10" t="s">
        <v>64</v>
      </c>
      <c r="B382" s="10" t="s">
        <v>50</v>
      </c>
      <c r="C382" s="10" t="s">
        <v>51</v>
      </c>
      <c r="D382" s="10" t="s">
        <v>97</v>
      </c>
      <c r="E382" s="10" t="s">
        <v>82</v>
      </c>
      <c r="F382" s="10" t="n">
        <v>77095</v>
      </c>
      <c r="G382" s="10" t="s">
        <v>83</v>
      </c>
      <c r="H382" s="10" t="s">
        <v>62</v>
      </c>
      <c r="I382" s="10" t="s">
        <v>73</v>
      </c>
      <c r="J382" s="13" t="n">
        <v>12.176</v>
      </c>
      <c r="K382" s="10" t="n">
        <v>4</v>
      </c>
      <c r="L382" s="14" t="n">
        <v>0.8</v>
      </c>
      <c r="M382" s="15" t="n">
        <v>-18.8728</v>
      </c>
      <c r="N382" s="10" t="str">
        <f aca="false">IF(M382&lt;0,"Loss",IF(M382&lt;50,"Low Profit",IF(M382&lt;200,"Medium Profit","High Profit")))</f>
        <v>Loss</v>
      </c>
      <c r="O382" s="10" t="str">
        <f aca="false">IF(J382&gt;=500,"High Value","Standard")</f>
        <v>Standard</v>
      </c>
      <c r="P382" s="10" t="str">
        <f aca="false">H382&amp;" &gt; "&amp;I382&amp;" ("&amp;K382&amp;" units)"</f>
        <v>Office Supplies &gt; Binders (4 units)</v>
      </c>
      <c r="Q382" s="10" t="str">
        <f aca="false">VLOOKUP(G382,Region_Manager_Table,2,FALSE())</f>
        <v>Aditya Rao</v>
      </c>
      <c r="R382" s="10" t="n">
        <f aca="false">INDEX(SLA_Days_Col,MATCH(A382,ShipMode_Col,0))</f>
        <v>6</v>
      </c>
    </row>
    <row r="383" customFormat="false" ht="15" hidden="false" customHeight="false" outlineLevel="0" collapsed="false">
      <c r="A383" s="16" t="s">
        <v>98</v>
      </c>
      <c r="B383" s="16" t="s">
        <v>58</v>
      </c>
      <c r="C383" s="16" t="s">
        <v>51</v>
      </c>
      <c r="D383" s="16" t="s">
        <v>88</v>
      </c>
      <c r="E383" s="16" t="s">
        <v>60</v>
      </c>
      <c r="F383" s="16" t="n">
        <v>94109</v>
      </c>
      <c r="G383" s="16" t="s">
        <v>61</v>
      </c>
      <c r="H383" s="16" t="s">
        <v>62</v>
      </c>
      <c r="I383" s="16" t="s">
        <v>77</v>
      </c>
      <c r="J383" s="17" t="n">
        <v>50.96</v>
      </c>
      <c r="K383" s="16" t="n">
        <v>7</v>
      </c>
      <c r="L383" s="18" t="n">
        <v>0</v>
      </c>
      <c r="M383" s="19" t="n">
        <v>25.48</v>
      </c>
      <c r="N383" s="16" t="str">
        <f aca="false">IF(M383&lt;0,"Loss",IF(M383&lt;50,"Low Profit",IF(M383&lt;200,"Medium Profit","High Profit")))</f>
        <v>Low Profit</v>
      </c>
      <c r="O383" s="16" t="str">
        <f aca="false">IF(J383&gt;=500,"High Value","Standard")</f>
        <v>Standard</v>
      </c>
      <c r="P383" s="16" t="str">
        <f aca="false">H383&amp;" &gt; "&amp;I383&amp;" ("&amp;K383&amp;" units)"</f>
        <v>Office Supplies &gt; Paper (7 units)</v>
      </c>
      <c r="Q383" s="16" t="str">
        <f aca="false">VLOOKUP(G383,Region_Manager_Table,2,FALSE())</f>
        <v>Sana Sheikh</v>
      </c>
      <c r="R383" s="16" t="n">
        <f aca="false">INDEX(SLA_Days_Col,MATCH(A383,ShipMode_Col,0))</f>
        <v>2</v>
      </c>
    </row>
    <row r="384" customFormat="false" ht="15" hidden="false" customHeight="false" outlineLevel="0" collapsed="false">
      <c r="A384" s="10" t="s">
        <v>98</v>
      </c>
      <c r="B384" s="10" t="s">
        <v>58</v>
      </c>
      <c r="C384" s="10" t="s">
        <v>51</v>
      </c>
      <c r="D384" s="10" t="s">
        <v>88</v>
      </c>
      <c r="E384" s="10" t="s">
        <v>60</v>
      </c>
      <c r="F384" s="10" t="n">
        <v>94109</v>
      </c>
      <c r="G384" s="10" t="s">
        <v>61</v>
      </c>
      <c r="H384" s="10" t="s">
        <v>62</v>
      </c>
      <c r="I384" s="10" t="s">
        <v>73</v>
      </c>
      <c r="J384" s="13" t="n">
        <v>49.536</v>
      </c>
      <c r="K384" s="10" t="n">
        <v>3</v>
      </c>
      <c r="L384" s="14" t="n">
        <v>0.2</v>
      </c>
      <c r="M384" s="15" t="n">
        <v>17.3376</v>
      </c>
      <c r="N384" s="10" t="str">
        <f aca="false">IF(M384&lt;0,"Loss",IF(M384&lt;50,"Low Profit",IF(M384&lt;200,"Medium Profit","High Profit")))</f>
        <v>Low Profit</v>
      </c>
      <c r="O384" s="10" t="str">
        <f aca="false">IF(J384&gt;=500,"High Value","Standard")</f>
        <v>Standard</v>
      </c>
      <c r="P384" s="10" t="str">
        <f aca="false">H384&amp;" &gt; "&amp;I384&amp;" ("&amp;K384&amp;" units)"</f>
        <v>Office Supplies &gt; Binders (3 units)</v>
      </c>
      <c r="Q384" s="10" t="str">
        <f aca="false">VLOOKUP(G384,Region_Manager_Table,2,FALSE())</f>
        <v>Sana Sheikh</v>
      </c>
      <c r="R384" s="10" t="n">
        <f aca="false">INDEX(SLA_Days_Col,MATCH(A384,ShipMode_Col,0))</f>
        <v>2</v>
      </c>
    </row>
    <row r="385" customFormat="false" ht="15" hidden="false" customHeight="false" outlineLevel="0" collapsed="false">
      <c r="A385" s="16" t="s">
        <v>49</v>
      </c>
      <c r="B385" s="16" t="s">
        <v>58</v>
      </c>
      <c r="C385" s="16" t="s">
        <v>51</v>
      </c>
      <c r="D385" s="16" t="s">
        <v>189</v>
      </c>
      <c r="E385" s="16" t="s">
        <v>106</v>
      </c>
      <c r="F385" s="16" t="n">
        <v>48180</v>
      </c>
      <c r="G385" s="16" t="s">
        <v>83</v>
      </c>
      <c r="H385" s="16" t="s">
        <v>71</v>
      </c>
      <c r="I385" s="16" t="s">
        <v>95</v>
      </c>
      <c r="J385" s="17" t="n">
        <v>41.9</v>
      </c>
      <c r="K385" s="16" t="n">
        <v>2</v>
      </c>
      <c r="L385" s="18" t="n">
        <v>0</v>
      </c>
      <c r="M385" s="19" t="n">
        <v>8.799</v>
      </c>
      <c r="N385" s="16" t="str">
        <f aca="false">IF(M385&lt;0,"Loss",IF(M385&lt;50,"Low Profit",IF(M385&lt;200,"Medium Profit","High Profit")))</f>
        <v>Low Profit</v>
      </c>
      <c r="O385" s="16" t="str">
        <f aca="false">IF(J385&gt;=500,"High Value","Standard")</f>
        <v>Standard</v>
      </c>
      <c r="P385" s="16" t="str">
        <f aca="false">H385&amp;" &gt; "&amp;I385&amp;" ("&amp;K385&amp;" units)"</f>
        <v>Technology &gt; Accessories (2 units)</v>
      </c>
      <c r="Q385" s="16" t="str">
        <f aca="false">VLOOKUP(G385,Region_Manager_Table,2,FALSE())</f>
        <v>Aditya Rao</v>
      </c>
      <c r="R385" s="16" t="n">
        <f aca="false">INDEX(SLA_Days_Col,MATCH(A385,ShipMode_Col,0))</f>
        <v>4</v>
      </c>
    </row>
    <row r="386" customFormat="false" ht="15" hidden="false" customHeight="false" outlineLevel="0" collapsed="false">
      <c r="A386" s="10" t="s">
        <v>64</v>
      </c>
      <c r="B386" s="10" t="s">
        <v>50</v>
      </c>
      <c r="C386" s="10" t="s">
        <v>51</v>
      </c>
      <c r="D386" s="10" t="s">
        <v>209</v>
      </c>
      <c r="E386" s="10" t="s">
        <v>66</v>
      </c>
      <c r="F386" s="10" t="n">
        <v>33024</v>
      </c>
      <c r="G386" s="10" t="s">
        <v>54</v>
      </c>
      <c r="H386" s="10" t="s">
        <v>55</v>
      </c>
      <c r="I386" s="10" t="s">
        <v>67</v>
      </c>
      <c r="J386" s="13" t="n">
        <v>375.4575</v>
      </c>
      <c r="K386" s="10" t="n">
        <v>3</v>
      </c>
      <c r="L386" s="14" t="n">
        <v>0.45</v>
      </c>
      <c r="M386" s="15" t="n">
        <v>-157.0095</v>
      </c>
      <c r="N386" s="10" t="str">
        <f aca="false">IF(M386&lt;0,"Loss",IF(M386&lt;50,"Low Profit",IF(M386&lt;200,"Medium Profit","High Profit")))</f>
        <v>Loss</v>
      </c>
      <c r="O386" s="10" t="str">
        <f aca="false">IF(J386&gt;=500,"High Value","Standard")</f>
        <v>Standard</v>
      </c>
      <c r="P386" s="10" t="str">
        <f aca="false">H386&amp;" &gt; "&amp;I386&amp;" ("&amp;K386&amp;" units)"</f>
        <v>Furniture &gt; Tables (3 units)</v>
      </c>
      <c r="Q386" s="10" t="str">
        <f aca="false">VLOOKUP(G386,Region_Manager_Table,2,FALSE())</f>
        <v>Karthik Iyer</v>
      </c>
      <c r="R386" s="10" t="n">
        <f aca="false">INDEX(SLA_Days_Col,MATCH(A386,ShipMode_Col,0))</f>
        <v>6</v>
      </c>
    </row>
    <row r="387" customFormat="false" ht="15" hidden="false" customHeight="false" outlineLevel="0" collapsed="false">
      <c r="A387" s="16" t="s">
        <v>64</v>
      </c>
      <c r="B387" s="16" t="s">
        <v>50</v>
      </c>
      <c r="C387" s="16" t="s">
        <v>51</v>
      </c>
      <c r="D387" s="16" t="s">
        <v>209</v>
      </c>
      <c r="E387" s="16" t="s">
        <v>66</v>
      </c>
      <c r="F387" s="16" t="n">
        <v>33024</v>
      </c>
      <c r="G387" s="16" t="s">
        <v>54</v>
      </c>
      <c r="H387" s="16" t="s">
        <v>71</v>
      </c>
      <c r="I387" s="16" t="s">
        <v>95</v>
      </c>
      <c r="J387" s="17" t="n">
        <v>83.976</v>
      </c>
      <c r="K387" s="16" t="n">
        <v>3</v>
      </c>
      <c r="L387" s="18" t="n">
        <v>0.2</v>
      </c>
      <c r="M387" s="19" t="n">
        <v>-1.0497</v>
      </c>
      <c r="N387" s="16" t="str">
        <f aca="false">IF(M387&lt;0,"Loss",IF(M387&lt;50,"Low Profit",IF(M387&lt;200,"Medium Profit","High Profit")))</f>
        <v>Loss</v>
      </c>
      <c r="O387" s="16" t="str">
        <f aca="false">IF(J387&gt;=500,"High Value","Standard")</f>
        <v>Standard</v>
      </c>
      <c r="P387" s="16" t="str">
        <f aca="false">H387&amp;" &gt; "&amp;I387&amp;" ("&amp;K387&amp;" units)"</f>
        <v>Technology &gt; Accessories (3 units)</v>
      </c>
      <c r="Q387" s="16" t="str">
        <f aca="false">VLOOKUP(G387,Region_Manager_Table,2,FALSE())</f>
        <v>Karthik Iyer</v>
      </c>
      <c r="R387" s="16" t="n">
        <f aca="false">INDEX(SLA_Days_Col,MATCH(A387,ShipMode_Col,0))</f>
        <v>6</v>
      </c>
    </row>
    <row r="388" customFormat="false" ht="15" hidden="false" customHeight="false" outlineLevel="0" collapsed="false">
      <c r="A388" s="10" t="s">
        <v>64</v>
      </c>
      <c r="B388" s="10" t="s">
        <v>58</v>
      </c>
      <c r="C388" s="10" t="s">
        <v>51</v>
      </c>
      <c r="D388" s="10" t="s">
        <v>91</v>
      </c>
      <c r="E388" s="10" t="s">
        <v>92</v>
      </c>
      <c r="F388" s="10" t="n">
        <v>19140</v>
      </c>
      <c r="G388" s="10" t="s">
        <v>93</v>
      </c>
      <c r="H388" s="10" t="s">
        <v>71</v>
      </c>
      <c r="I388" s="10" t="s">
        <v>159</v>
      </c>
      <c r="J388" s="13" t="n">
        <v>482.34</v>
      </c>
      <c r="K388" s="10" t="n">
        <v>4</v>
      </c>
      <c r="L388" s="14" t="n">
        <v>0.7</v>
      </c>
      <c r="M388" s="15" t="n">
        <v>-337.638</v>
      </c>
      <c r="N388" s="10" t="str">
        <f aca="false">IF(M388&lt;0,"Loss",IF(M388&lt;50,"Low Profit",IF(M388&lt;200,"Medium Profit","High Profit")))</f>
        <v>Loss</v>
      </c>
      <c r="O388" s="10" t="str">
        <f aca="false">IF(J388&gt;=500,"High Value","Standard")</f>
        <v>Standard</v>
      </c>
      <c r="P388" s="10" t="str">
        <f aca="false">H388&amp;" &gt; "&amp;I388&amp;" ("&amp;K388&amp;" units)"</f>
        <v>Technology &gt; Machines (4 units)</v>
      </c>
      <c r="Q388" s="10" t="str">
        <f aca="false">VLOOKUP(G388,Region_Manager_Table,2,FALSE())</f>
        <v>Priya Menon</v>
      </c>
      <c r="R388" s="10" t="n">
        <f aca="false">INDEX(SLA_Days_Col,MATCH(A388,ShipMode_Col,0))</f>
        <v>6</v>
      </c>
    </row>
    <row r="389" customFormat="false" ht="15" hidden="false" customHeight="false" outlineLevel="0" collapsed="false">
      <c r="A389" s="16" t="s">
        <v>64</v>
      </c>
      <c r="B389" s="16" t="s">
        <v>58</v>
      </c>
      <c r="C389" s="16" t="s">
        <v>51</v>
      </c>
      <c r="D389" s="16" t="s">
        <v>91</v>
      </c>
      <c r="E389" s="16" t="s">
        <v>92</v>
      </c>
      <c r="F389" s="16" t="n">
        <v>19140</v>
      </c>
      <c r="G389" s="16" t="s">
        <v>93</v>
      </c>
      <c r="H389" s="16" t="s">
        <v>55</v>
      </c>
      <c r="I389" s="16" t="s">
        <v>69</v>
      </c>
      <c r="J389" s="17" t="n">
        <v>2.96</v>
      </c>
      <c r="K389" s="16" t="n">
        <v>1</v>
      </c>
      <c r="L389" s="18" t="n">
        <v>0.2</v>
      </c>
      <c r="M389" s="19" t="n">
        <v>0.777</v>
      </c>
      <c r="N389" s="16" t="str">
        <f aca="false">IF(M389&lt;0,"Loss",IF(M389&lt;50,"Low Profit",IF(M389&lt;200,"Medium Profit","High Profit")))</f>
        <v>Low Profit</v>
      </c>
      <c r="O389" s="16" t="str">
        <f aca="false">IF(J389&gt;=500,"High Value","Standard")</f>
        <v>Standard</v>
      </c>
      <c r="P389" s="16" t="str">
        <f aca="false">H389&amp;" &gt; "&amp;I389&amp;" ("&amp;K389&amp;" units)"</f>
        <v>Furniture &gt; Furnishings (1 units)</v>
      </c>
      <c r="Q389" s="16" t="str">
        <f aca="false">VLOOKUP(G389,Region_Manager_Table,2,FALSE())</f>
        <v>Priya Menon</v>
      </c>
      <c r="R389" s="16" t="n">
        <f aca="false">INDEX(SLA_Days_Col,MATCH(A389,ShipMode_Col,0))</f>
        <v>6</v>
      </c>
    </row>
    <row r="390" customFormat="false" ht="15" hidden="false" customHeight="false" outlineLevel="0" collapsed="false">
      <c r="A390" s="10" t="s">
        <v>98</v>
      </c>
      <c r="B390" s="10" t="s">
        <v>50</v>
      </c>
      <c r="C390" s="10" t="s">
        <v>51</v>
      </c>
      <c r="D390" s="10" t="s">
        <v>184</v>
      </c>
      <c r="E390" s="10" t="s">
        <v>140</v>
      </c>
      <c r="F390" s="10" t="n">
        <v>45231</v>
      </c>
      <c r="G390" s="10" t="s">
        <v>93</v>
      </c>
      <c r="H390" s="10" t="s">
        <v>62</v>
      </c>
      <c r="I390" s="10" t="s">
        <v>70</v>
      </c>
      <c r="J390" s="13" t="n">
        <v>2.624</v>
      </c>
      <c r="K390" s="10" t="n">
        <v>1</v>
      </c>
      <c r="L390" s="14" t="n">
        <v>0.2</v>
      </c>
      <c r="M390" s="15" t="n">
        <v>0.4264</v>
      </c>
      <c r="N390" s="10" t="str">
        <f aca="false">IF(M390&lt;0,"Loss",IF(M390&lt;50,"Low Profit",IF(M390&lt;200,"Medium Profit","High Profit")))</f>
        <v>Low Profit</v>
      </c>
      <c r="O390" s="10" t="str">
        <f aca="false">IF(J390&gt;=500,"High Value","Standard")</f>
        <v>Standard</v>
      </c>
      <c r="P390" s="10" t="str">
        <f aca="false">H390&amp;" &gt; "&amp;I390&amp;" ("&amp;K390&amp;" units)"</f>
        <v>Office Supplies &gt; Art (1 units)</v>
      </c>
      <c r="Q390" s="10" t="str">
        <f aca="false">VLOOKUP(G390,Region_Manager_Table,2,FALSE())</f>
        <v>Priya Menon</v>
      </c>
      <c r="R390" s="10" t="n">
        <f aca="false">INDEX(SLA_Days_Col,MATCH(A390,ShipMode_Col,0))</f>
        <v>2</v>
      </c>
    </row>
    <row r="391" customFormat="false" ht="15" hidden="false" customHeight="false" outlineLevel="0" collapsed="false">
      <c r="A391" s="16" t="s">
        <v>64</v>
      </c>
      <c r="B391" s="16" t="s">
        <v>50</v>
      </c>
      <c r="C391" s="16" t="s">
        <v>51</v>
      </c>
      <c r="D391" s="16" t="s">
        <v>111</v>
      </c>
      <c r="E391" s="16" t="s">
        <v>112</v>
      </c>
      <c r="F391" s="16" t="n">
        <v>10009</v>
      </c>
      <c r="G391" s="16" t="s">
        <v>93</v>
      </c>
      <c r="H391" s="16" t="s">
        <v>62</v>
      </c>
      <c r="I391" s="16" t="s">
        <v>73</v>
      </c>
      <c r="J391" s="17" t="n">
        <v>23.36</v>
      </c>
      <c r="K391" s="16" t="n">
        <v>4</v>
      </c>
      <c r="L391" s="18" t="n">
        <v>0.2</v>
      </c>
      <c r="M391" s="19" t="n">
        <v>7.884</v>
      </c>
      <c r="N391" s="16" t="str">
        <f aca="false">IF(M391&lt;0,"Loss",IF(M391&lt;50,"Low Profit",IF(M391&lt;200,"Medium Profit","High Profit")))</f>
        <v>Low Profit</v>
      </c>
      <c r="O391" s="16" t="str">
        <f aca="false">IF(J391&gt;=500,"High Value","Standard")</f>
        <v>Standard</v>
      </c>
      <c r="P391" s="16" t="str">
        <f aca="false">H391&amp;" &gt; "&amp;I391&amp;" ("&amp;K391&amp;" units)"</f>
        <v>Office Supplies &gt; Binders (4 units)</v>
      </c>
      <c r="Q391" s="16" t="str">
        <f aca="false">VLOOKUP(G391,Region_Manager_Table,2,FALSE())</f>
        <v>Priya Menon</v>
      </c>
      <c r="R391" s="16" t="n">
        <f aca="false">INDEX(SLA_Days_Col,MATCH(A391,ShipMode_Col,0))</f>
        <v>6</v>
      </c>
    </row>
    <row r="392" customFormat="false" ht="15" hidden="false" customHeight="false" outlineLevel="0" collapsed="false">
      <c r="A392" s="10" t="s">
        <v>64</v>
      </c>
      <c r="B392" s="10" t="s">
        <v>50</v>
      </c>
      <c r="C392" s="10" t="s">
        <v>51</v>
      </c>
      <c r="D392" s="10" t="s">
        <v>111</v>
      </c>
      <c r="E392" s="10" t="s">
        <v>112</v>
      </c>
      <c r="F392" s="10" t="n">
        <v>10009</v>
      </c>
      <c r="G392" s="10" t="s">
        <v>93</v>
      </c>
      <c r="H392" s="10" t="s">
        <v>71</v>
      </c>
      <c r="I392" s="10" t="s">
        <v>95</v>
      </c>
      <c r="J392" s="13" t="n">
        <v>39.98</v>
      </c>
      <c r="K392" s="10" t="n">
        <v>2</v>
      </c>
      <c r="L392" s="14" t="n">
        <v>0</v>
      </c>
      <c r="M392" s="15" t="n">
        <v>13.5932</v>
      </c>
      <c r="N392" s="10" t="str">
        <f aca="false">IF(M392&lt;0,"Loss",IF(M392&lt;50,"Low Profit",IF(M392&lt;200,"Medium Profit","High Profit")))</f>
        <v>Low Profit</v>
      </c>
      <c r="O392" s="10" t="str">
        <f aca="false">IF(J392&gt;=500,"High Value","Standard")</f>
        <v>Standard</v>
      </c>
      <c r="P392" s="10" t="str">
        <f aca="false">H392&amp;" &gt; "&amp;I392&amp;" ("&amp;K392&amp;" units)"</f>
        <v>Technology &gt; Accessories (2 units)</v>
      </c>
      <c r="Q392" s="10" t="str">
        <f aca="false">VLOOKUP(G392,Region_Manager_Table,2,FALSE())</f>
        <v>Priya Menon</v>
      </c>
      <c r="R392" s="10" t="n">
        <f aca="false">INDEX(SLA_Days_Col,MATCH(A392,ShipMode_Col,0))</f>
        <v>6</v>
      </c>
    </row>
    <row r="393" customFormat="false" ht="15" hidden="false" customHeight="false" outlineLevel="0" collapsed="false">
      <c r="A393" s="16" t="s">
        <v>49</v>
      </c>
      <c r="B393" s="16" t="s">
        <v>50</v>
      </c>
      <c r="C393" s="16" t="s">
        <v>51</v>
      </c>
      <c r="D393" s="16" t="s">
        <v>210</v>
      </c>
      <c r="E393" s="16" t="s">
        <v>79</v>
      </c>
      <c r="F393" s="16" t="n">
        <v>98198</v>
      </c>
      <c r="G393" s="16" t="s">
        <v>61</v>
      </c>
      <c r="H393" s="16" t="s">
        <v>71</v>
      </c>
      <c r="I393" s="16" t="s">
        <v>72</v>
      </c>
      <c r="J393" s="17" t="n">
        <v>246.384</v>
      </c>
      <c r="K393" s="16" t="n">
        <v>2</v>
      </c>
      <c r="L393" s="18" t="n">
        <v>0.2</v>
      </c>
      <c r="M393" s="19" t="n">
        <v>27.7182</v>
      </c>
      <c r="N393" s="16" t="str">
        <f aca="false">IF(M393&lt;0,"Loss",IF(M393&lt;50,"Low Profit",IF(M393&lt;200,"Medium Profit","High Profit")))</f>
        <v>Low Profit</v>
      </c>
      <c r="O393" s="16" t="str">
        <f aca="false">IF(J393&gt;=500,"High Value","Standard")</f>
        <v>Standard</v>
      </c>
      <c r="P393" s="16" t="str">
        <f aca="false">H393&amp;" &gt; "&amp;I393&amp;" ("&amp;K393&amp;" units)"</f>
        <v>Technology &gt; Phones (2 units)</v>
      </c>
      <c r="Q393" s="16" t="str">
        <f aca="false">VLOOKUP(G393,Region_Manager_Table,2,FALSE())</f>
        <v>Sana Sheikh</v>
      </c>
      <c r="R393" s="16" t="n">
        <f aca="false">INDEX(SLA_Days_Col,MATCH(A393,ShipMode_Col,0))</f>
        <v>4</v>
      </c>
    </row>
    <row r="394" customFormat="false" ht="15" hidden="false" customHeight="false" outlineLevel="0" collapsed="false">
      <c r="A394" s="10" t="s">
        <v>49</v>
      </c>
      <c r="B394" s="10" t="s">
        <v>50</v>
      </c>
      <c r="C394" s="10" t="s">
        <v>51</v>
      </c>
      <c r="D394" s="10" t="s">
        <v>210</v>
      </c>
      <c r="E394" s="10" t="s">
        <v>79</v>
      </c>
      <c r="F394" s="10" t="n">
        <v>98198</v>
      </c>
      <c r="G394" s="10" t="s">
        <v>61</v>
      </c>
      <c r="H394" s="10" t="s">
        <v>71</v>
      </c>
      <c r="I394" s="10" t="s">
        <v>198</v>
      </c>
      <c r="J394" s="13" t="n">
        <v>1799.97</v>
      </c>
      <c r="K394" s="10" t="n">
        <v>3</v>
      </c>
      <c r="L394" s="14" t="n">
        <v>0</v>
      </c>
      <c r="M394" s="15" t="n">
        <v>701.9883</v>
      </c>
      <c r="N394" s="10" t="str">
        <f aca="false">IF(M394&lt;0,"Loss",IF(M394&lt;50,"Low Profit",IF(M394&lt;200,"Medium Profit","High Profit")))</f>
        <v>High Profit</v>
      </c>
      <c r="O394" s="10" t="str">
        <f aca="false">IF(J394&gt;=500,"High Value","Standard")</f>
        <v>High Value</v>
      </c>
      <c r="P394" s="10" t="str">
        <f aca="false">H394&amp;" &gt; "&amp;I394&amp;" ("&amp;K394&amp;" units)"</f>
        <v>Technology &gt; Copiers (3 units)</v>
      </c>
      <c r="Q394" s="10" t="str">
        <f aca="false">VLOOKUP(G394,Region_Manager_Table,2,FALSE())</f>
        <v>Sana Sheikh</v>
      </c>
      <c r="R394" s="10" t="n">
        <f aca="false">INDEX(SLA_Days_Col,MATCH(A394,ShipMode_Col,0))</f>
        <v>4</v>
      </c>
    </row>
    <row r="395" customFormat="false" ht="15" hidden="false" customHeight="false" outlineLevel="0" collapsed="false">
      <c r="A395" s="16" t="s">
        <v>49</v>
      </c>
      <c r="B395" s="16" t="s">
        <v>58</v>
      </c>
      <c r="C395" s="16" t="s">
        <v>51</v>
      </c>
      <c r="D395" s="16" t="s">
        <v>211</v>
      </c>
      <c r="E395" s="16" t="s">
        <v>101</v>
      </c>
      <c r="F395" s="16" t="n">
        <v>61604</v>
      </c>
      <c r="G395" s="16" t="s">
        <v>83</v>
      </c>
      <c r="H395" s="16" t="s">
        <v>62</v>
      </c>
      <c r="I395" s="16" t="s">
        <v>73</v>
      </c>
      <c r="J395" s="17" t="n">
        <v>12.462</v>
      </c>
      <c r="K395" s="16" t="n">
        <v>3</v>
      </c>
      <c r="L395" s="18" t="n">
        <v>0.8</v>
      </c>
      <c r="M395" s="19" t="n">
        <v>-20.5623</v>
      </c>
      <c r="N395" s="16" t="str">
        <f aca="false">IF(M395&lt;0,"Loss",IF(M395&lt;50,"Low Profit",IF(M395&lt;200,"Medium Profit","High Profit")))</f>
        <v>Loss</v>
      </c>
      <c r="O395" s="16" t="str">
        <f aca="false">IF(J395&gt;=500,"High Value","Standard")</f>
        <v>Standard</v>
      </c>
      <c r="P395" s="16" t="str">
        <f aca="false">H395&amp;" &gt; "&amp;I395&amp;" ("&amp;K395&amp;" units)"</f>
        <v>Office Supplies &gt; Binders (3 units)</v>
      </c>
      <c r="Q395" s="16" t="str">
        <f aca="false">VLOOKUP(G395,Region_Manager_Table,2,FALSE())</f>
        <v>Aditya Rao</v>
      </c>
      <c r="R395" s="16" t="n">
        <f aca="false">INDEX(SLA_Days_Col,MATCH(A395,ShipMode_Col,0))</f>
        <v>4</v>
      </c>
    </row>
    <row r="396" customFormat="false" ht="15" hidden="false" customHeight="false" outlineLevel="0" collapsed="false">
      <c r="A396" s="10" t="s">
        <v>64</v>
      </c>
      <c r="B396" s="10" t="s">
        <v>80</v>
      </c>
      <c r="C396" s="10" t="s">
        <v>51</v>
      </c>
      <c r="D396" s="10" t="s">
        <v>212</v>
      </c>
      <c r="E396" s="10" t="s">
        <v>213</v>
      </c>
      <c r="F396" s="10" t="n">
        <v>89115</v>
      </c>
      <c r="G396" s="10" t="s">
        <v>61</v>
      </c>
      <c r="H396" s="10" t="s">
        <v>62</v>
      </c>
      <c r="I396" s="10" t="s">
        <v>73</v>
      </c>
      <c r="J396" s="13" t="n">
        <v>75.792</v>
      </c>
      <c r="K396" s="10" t="n">
        <v>3</v>
      </c>
      <c r="L396" s="14" t="n">
        <v>0.2</v>
      </c>
      <c r="M396" s="15" t="n">
        <v>25.5798</v>
      </c>
      <c r="N396" s="10" t="str">
        <f aca="false">IF(M396&lt;0,"Loss",IF(M396&lt;50,"Low Profit",IF(M396&lt;200,"Medium Profit","High Profit")))</f>
        <v>Low Profit</v>
      </c>
      <c r="O396" s="10" t="str">
        <f aca="false">IF(J396&gt;=500,"High Value","Standard")</f>
        <v>Standard</v>
      </c>
      <c r="P396" s="10" t="str">
        <f aca="false">H396&amp;" &gt; "&amp;I396&amp;" ("&amp;K396&amp;" units)"</f>
        <v>Office Supplies &gt; Binders (3 units)</v>
      </c>
      <c r="Q396" s="10" t="str">
        <f aca="false">VLOOKUP(G396,Region_Manager_Table,2,FALSE())</f>
        <v>Sana Sheikh</v>
      </c>
      <c r="R396" s="10" t="n">
        <f aca="false">INDEX(SLA_Days_Col,MATCH(A396,ShipMode_Col,0))</f>
        <v>6</v>
      </c>
    </row>
    <row r="397" customFormat="false" ht="15" hidden="false" customHeight="false" outlineLevel="0" collapsed="false">
      <c r="A397" s="16" t="s">
        <v>49</v>
      </c>
      <c r="B397" s="16" t="s">
        <v>58</v>
      </c>
      <c r="C397" s="16" t="s">
        <v>51</v>
      </c>
      <c r="D397" s="16" t="s">
        <v>214</v>
      </c>
      <c r="E397" s="16" t="s">
        <v>215</v>
      </c>
      <c r="F397" s="16" t="n">
        <v>2886</v>
      </c>
      <c r="G397" s="16" t="s">
        <v>93</v>
      </c>
      <c r="H397" s="16" t="s">
        <v>62</v>
      </c>
      <c r="I397" s="16" t="s">
        <v>68</v>
      </c>
      <c r="J397" s="17" t="n">
        <v>49.96</v>
      </c>
      <c r="K397" s="16" t="n">
        <v>2</v>
      </c>
      <c r="L397" s="18" t="n">
        <v>0</v>
      </c>
      <c r="M397" s="19" t="n">
        <v>9.4924</v>
      </c>
      <c r="N397" s="16" t="str">
        <f aca="false">IF(M397&lt;0,"Loss",IF(M397&lt;50,"Low Profit",IF(M397&lt;200,"Medium Profit","High Profit")))</f>
        <v>Low Profit</v>
      </c>
      <c r="O397" s="16" t="str">
        <f aca="false">IF(J397&gt;=500,"High Value","Standard")</f>
        <v>Standard</v>
      </c>
      <c r="P397" s="16" t="str">
        <f aca="false">H397&amp;" &gt; "&amp;I397&amp;" ("&amp;K397&amp;" units)"</f>
        <v>Office Supplies &gt; Storage (2 units)</v>
      </c>
      <c r="Q397" s="16" t="str">
        <f aca="false">VLOOKUP(G397,Region_Manager_Table,2,FALSE())</f>
        <v>Priya Menon</v>
      </c>
      <c r="R397" s="16" t="n">
        <f aca="false">INDEX(SLA_Days_Col,MATCH(A397,ShipMode_Col,0))</f>
        <v>4</v>
      </c>
    </row>
    <row r="398" customFormat="false" ht="15" hidden="false" customHeight="false" outlineLevel="0" collapsed="false">
      <c r="A398" s="10" t="s">
        <v>49</v>
      </c>
      <c r="B398" s="10" t="s">
        <v>58</v>
      </c>
      <c r="C398" s="10" t="s">
        <v>51</v>
      </c>
      <c r="D398" s="10" t="s">
        <v>214</v>
      </c>
      <c r="E398" s="10" t="s">
        <v>215</v>
      </c>
      <c r="F398" s="10" t="n">
        <v>2886</v>
      </c>
      <c r="G398" s="10" t="s">
        <v>93</v>
      </c>
      <c r="H398" s="10" t="s">
        <v>62</v>
      </c>
      <c r="I398" s="10" t="s">
        <v>77</v>
      </c>
      <c r="J398" s="13" t="n">
        <v>12.96</v>
      </c>
      <c r="K398" s="10" t="n">
        <v>2</v>
      </c>
      <c r="L398" s="14" t="n">
        <v>0</v>
      </c>
      <c r="M398" s="15" t="n">
        <v>6.2208</v>
      </c>
      <c r="N398" s="10" t="str">
        <f aca="false">IF(M398&lt;0,"Loss",IF(M398&lt;50,"Low Profit",IF(M398&lt;200,"Medium Profit","High Profit")))</f>
        <v>Low Profit</v>
      </c>
      <c r="O398" s="10" t="str">
        <f aca="false">IF(J398&gt;=500,"High Value","Standard")</f>
        <v>Standard</v>
      </c>
      <c r="P398" s="10" t="str">
        <f aca="false">H398&amp;" &gt; "&amp;I398&amp;" ("&amp;K398&amp;" units)"</f>
        <v>Office Supplies &gt; Paper (2 units)</v>
      </c>
      <c r="Q398" s="10" t="str">
        <f aca="false">VLOOKUP(G398,Region_Manager_Table,2,FALSE())</f>
        <v>Priya Menon</v>
      </c>
      <c r="R398" s="10" t="n">
        <f aca="false">INDEX(SLA_Days_Col,MATCH(A398,ShipMode_Col,0))</f>
        <v>4</v>
      </c>
    </row>
    <row r="399" customFormat="false" ht="15" hidden="false" customHeight="false" outlineLevel="0" collapsed="false">
      <c r="A399" s="16" t="s">
        <v>64</v>
      </c>
      <c r="B399" s="16" t="s">
        <v>80</v>
      </c>
      <c r="C399" s="16" t="s">
        <v>51</v>
      </c>
      <c r="D399" s="16" t="s">
        <v>120</v>
      </c>
      <c r="E399" s="16" t="s">
        <v>106</v>
      </c>
      <c r="F399" s="16" t="n">
        <v>49201</v>
      </c>
      <c r="G399" s="16" t="s">
        <v>83</v>
      </c>
      <c r="H399" s="16" t="s">
        <v>62</v>
      </c>
      <c r="I399" s="16" t="s">
        <v>146</v>
      </c>
      <c r="J399" s="17" t="n">
        <v>70.12</v>
      </c>
      <c r="K399" s="16" t="n">
        <v>4</v>
      </c>
      <c r="L399" s="18" t="n">
        <v>0</v>
      </c>
      <c r="M399" s="19" t="n">
        <v>21.036</v>
      </c>
      <c r="N399" s="16" t="str">
        <f aca="false">IF(M399&lt;0,"Loss",IF(M399&lt;50,"Low Profit",IF(M399&lt;200,"Medium Profit","High Profit")))</f>
        <v>Low Profit</v>
      </c>
      <c r="O399" s="16" t="str">
        <f aca="false">IF(J399&gt;=500,"High Value","Standard")</f>
        <v>Standard</v>
      </c>
      <c r="P399" s="16" t="str">
        <f aca="false">H399&amp;" &gt; "&amp;I399&amp;" ("&amp;K399&amp;" units)"</f>
        <v>Office Supplies &gt; Supplies (4 units)</v>
      </c>
      <c r="Q399" s="16" t="str">
        <f aca="false">VLOOKUP(G399,Region_Manager_Table,2,FALSE())</f>
        <v>Aditya Rao</v>
      </c>
      <c r="R399" s="16" t="n">
        <f aca="false">INDEX(SLA_Days_Col,MATCH(A399,ShipMode_Col,0))</f>
        <v>6</v>
      </c>
    </row>
    <row r="400" customFormat="false" ht="15" hidden="false" customHeight="false" outlineLevel="0" collapsed="false">
      <c r="A400" s="10" t="s">
        <v>49</v>
      </c>
      <c r="B400" s="10" t="s">
        <v>50</v>
      </c>
      <c r="C400" s="10" t="s">
        <v>51</v>
      </c>
      <c r="D400" s="10" t="s">
        <v>97</v>
      </c>
      <c r="E400" s="10" t="s">
        <v>82</v>
      </c>
      <c r="F400" s="10" t="n">
        <v>77036</v>
      </c>
      <c r="G400" s="10" t="s">
        <v>83</v>
      </c>
      <c r="H400" s="10" t="s">
        <v>62</v>
      </c>
      <c r="I400" s="10" t="s">
        <v>68</v>
      </c>
      <c r="J400" s="13" t="n">
        <v>35.952</v>
      </c>
      <c r="K400" s="10" t="n">
        <v>3</v>
      </c>
      <c r="L400" s="14" t="n">
        <v>0.2</v>
      </c>
      <c r="M400" s="15" t="n">
        <v>3.5952</v>
      </c>
      <c r="N400" s="10" t="str">
        <f aca="false">IF(M400&lt;0,"Loss",IF(M400&lt;50,"Low Profit",IF(M400&lt;200,"Medium Profit","High Profit")))</f>
        <v>Low Profit</v>
      </c>
      <c r="O400" s="10" t="str">
        <f aca="false">IF(J400&gt;=500,"High Value","Standard")</f>
        <v>Standard</v>
      </c>
      <c r="P400" s="10" t="str">
        <f aca="false">H400&amp;" &gt; "&amp;I400&amp;" ("&amp;K400&amp;" units)"</f>
        <v>Office Supplies &gt; Storage (3 units)</v>
      </c>
      <c r="Q400" s="10" t="str">
        <f aca="false">VLOOKUP(G400,Region_Manager_Table,2,FALSE())</f>
        <v>Aditya Rao</v>
      </c>
      <c r="R400" s="10" t="n">
        <f aca="false">INDEX(SLA_Days_Col,MATCH(A400,ShipMode_Col,0))</f>
        <v>4</v>
      </c>
    </row>
    <row r="401" customFormat="false" ht="15" hidden="false" customHeight="false" outlineLevel="0" collapsed="false">
      <c r="A401" s="16" t="s">
        <v>49</v>
      </c>
      <c r="B401" s="16" t="s">
        <v>50</v>
      </c>
      <c r="C401" s="16" t="s">
        <v>51</v>
      </c>
      <c r="D401" s="16" t="s">
        <v>97</v>
      </c>
      <c r="E401" s="16" t="s">
        <v>82</v>
      </c>
      <c r="F401" s="16" t="n">
        <v>77036</v>
      </c>
      <c r="G401" s="16" t="s">
        <v>83</v>
      </c>
      <c r="H401" s="16" t="s">
        <v>55</v>
      </c>
      <c r="I401" s="16" t="s">
        <v>56</v>
      </c>
      <c r="J401" s="17" t="n">
        <v>2396.2656</v>
      </c>
      <c r="K401" s="16" t="n">
        <v>4</v>
      </c>
      <c r="L401" s="18" t="n">
        <v>0.32</v>
      </c>
      <c r="M401" s="19" t="n">
        <v>-317.1528</v>
      </c>
      <c r="N401" s="16" t="str">
        <f aca="false">IF(M401&lt;0,"Loss",IF(M401&lt;50,"Low Profit",IF(M401&lt;200,"Medium Profit","High Profit")))</f>
        <v>Loss</v>
      </c>
      <c r="O401" s="16" t="str">
        <f aca="false">IF(J401&gt;=500,"High Value","Standard")</f>
        <v>High Value</v>
      </c>
      <c r="P401" s="16" t="str">
        <f aca="false">H401&amp;" &gt; "&amp;I401&amp;" ("&amp;K401&amp;" units)"</f>
        <v>Furniture &gt; Bookcases (4 units)</v>
      </c>
      <c r="Q401" s="16" t="str">
        <f aca="false">VLOOKUP(G401,Region_Manager_Table,2,FALSE())</f>
        <v>Aditya Rao</v>
      </c>
      <c r="R401" s="16" t="n">
        <f aca="false">INDEX(SLA_Days_Col,MATCH(A401,ShipMode_Col,0))</f>
        <v>4</v>
      </c>
    </row>
    <row r="402" customFormat="false" ht="15" hidden="false" customHeight="false" outlineLevel="0" collapsed="false">
      <c r="A402" s="10" t="s">
        <v>49</v>
      </c>
      <c r="B402" s="10" t="s">
        <v>50</v>
      </c>
      <c r="C402" s="10" t="s">
        <v>51</v>
      </c>
      <c r="D402" s="10" t="s">
        <v>97</v>
      </c>
      <c r="E402" s="10" t="s">
        <v>82</v>
      </c>
      <c r="F402" s="10" t="n">
        <v>77036</v>
      </c>
      <c r="G402" s="10" t="s">
        <v>83</v>
      </c>
      <c r="H402" s="10" t="s">
        <v>62</v>
      </c>
      <c r="I402" s="10" t="s">
        <v>68</v>
      </c>
      <c r="J402" s="13" t="n">
        <v>131.136</v>
      </c>
      <c r="K402" s="10" t="n">
        <v>4</v>
      </c>
      <c r="L402" s="14" t="n">
        <v>0.2</v>
      </c>
      <c r="M402" s="15" t="n">
        <v>-32.784</v>
      </c>
      <c r="N402" s="10" t="str">
        <f aca="false">IF(M402&lt;0,"Loss",IF(M402&lt;50,"Low Profit",IF(M402&lt;200,"Medium Profit","High Profit")))</f>
        <v>Loss</v>
      </c>
      <c r="O402" s="10" t="str">
        <f aca="false">IF(J402&gt;=500,"High Value","Standard")</f>
        <v>Standard</v>
      </c>
      <c r="P402" s="10" t="str">
        <f aca="false">H402&amp;" &gt; "&amp;I402&amp;" ("&amp;K402&amp;" units)"</f>
        <v>Office Supplies &gt; Storage (4 units)</v>
      </c>
      <c r="Q402" s="10" t="str">
        <f aca="false">VLOOKUP(G402,Region_Manager_Table,2,FALSE())</f>
        <v>Aditya Rao</v>
      </c>
      <c r="R402" s="10" t="n">
        <f aca="false">INDEX(SLA_Days_Col,MATCH(A402,ShipMode_Col,0))</f>
        <v>4</v>
      </c>
    </row>
    <row r="403" customFormat="false" ht="15" hidden="false" customHeight="false" outlineLevel="0" collapsed="false">
      <c r="A403" s="16" t="s">
        <v>49</v>
      </c>
      <c r="B403" s="16" t="s">
        <v>50</v>
      </c>
      <c r="C403" s="16" t="s">
        <v>51</v>
      </c>
      <c r="D403" s="16" t="s">
        <v>97</v>
      </c>
      <c r="E403" s="16" t="s">
        <v>82</v>
      </c>
      <c r="F403" s="16" t="n">
        <v>77036</v>
      </c>
      <c r="G403" s="16" t="s">
        <v>83</v>
      </c>
      <c r="H403" s="16" t="s">
        <v>71</v>
      </c>
      <c r="I403" s="16" t="s">
        <v>95</v>
      </c>
      <c r="J403" s="17" t="n">
        <v>57.584</v>
      </c>
      <c r="K403" s="16" t="n">
        <v>2</v>
      </c>
      <c r="L403" s="18" t="n">
        <v>0.2</v>
      </c>
      <c r="M403" s="19" t="n">
        <v>0.7198</v>
      </c>
      <c r="N403" s="16" t="str">
        <f aca="false">IF(M403&lt;0,"Loss",IF(M403&lt;50,"Low Profit",IF(M403&lt;200,"Medium Profit","High Profit")))</f>
        <v>Low Profit</v>
      </c>
      <c r="O403" s="16" t="str">
        <f aca="false">IF(J403&gt;=500,"High Value","Standard")</f>
        <v>Standard</v>
      </c>
      <c r="P403" s="16" t="str">
        <f aca="false">H403&amp;" &gt; "&amp;I403&amp;" ("&amp;K403&amp;" units)"</f>
        <v>Technology &gt; Accessories (2 units)</v>
      </c>
      <c r="Q403" s="16" t="str">
        <f aca="false">VLOOKUP(G403,Region_Manager_Table,2,FALSE())</f>
        <v>Aditya Rao</v>
      </c>
      <c r="R403" s="16" t="n">
        <f aca="false">INDEX(SLA_Days_Col,MATCH(A403,ShipMode_Col,0))</f>
        <v>4</v>
      </c>
    </row>
    <row r="404" customFormat="false" ht="15" hidden="false" customHeight="false" outlineLevel="0" collapsed="false">
      <c r="A404" s="10" t="s">
        <v>98</v>
      </c>
      <c r="B404" s="10" t="s">
        <v>50</v>
      </c>
      <c r="C404" s="10" t="s">
        <v>51</v>
      </c>
      <c r="D404" s="10" t="s">
        <v>216</v>
      </c>
      <c r="E404" s="10" t="s">
        <v>66</v>
      </c>
      <c r="F404" s="10" t="n">
        <v>33180</v>
      </c>
      <c r="G404" s="10" t="s">
        <v>54</v>
      </c>
      <c r="H404" s="10" t="s">
        <v>62</v>
      </c>
      <c r="I404" s="10" t="s">
        <v>77</v>
      </c>
      <c r="J404" s="13" t="n">
        <v>9.568</v>
      </c>
      <c r="K404" s="10" t="n">
        <v>2</v>
      </c>
      <c r="L404" s="14" t="n">
        <v>0.2</v>
      </c>
      <c r="M404" s="15" t="n">
        <v>3.4684</v>
      </c>
      <c r="N404" s="10" t="str">
        <f aca="false">IF(M404&lt;0,"Loss",IF(M404&lt;50,"Low Profit",IF(M404&lt;200,"Medium Profit","High Profit")))</f>
        <v>Low Profit</v>
      </c>
      <c r="O404" s="10" t="str">
        <f aca="false">IF(J404&gt;=500,"High Value","Standard")</f>
        <v>Standard</v>
      </c>
      <c r="P404" s="10" t="str">
        <f aca="false">H404&amp;" &gt; "&amp;I404&amp;" ("&amp;K404&amp;" units)"</f>
        <v>Office Supplies &gt; Paper (2 units)</v>
      </c>
      <c r="Q404" s="10" t="str">
        <f aca="false">VLOOKUP(G404,Region_Manager_Table,2,FALSE())</f>
        <v>Karthik Iyer</v>
      </c>
      <c r="R404" s="10" t="n">
        <f aca="false">INDEX(SLA_Days_Col,MATCH(A404,ShipMode_Col,0))</f>
        <v>2</v>
      </c>
    </row>
    <row r="405" customFormat="false" ht="15" hidden="false" customHeight="false" outlineLevel="0" collapsed="false">
      <c r="A405" s="16" t="s">
        <v>64</v>
      </c>
      <c r="B405" s="16" t="s">
        <v>58</v>
      </c>
      <c r="C405" s="16" t="s">
        <v>51</v>
      </c>
      <c r="D405" s="16" t="s">
        <v>142</v>
      </c>
      <c r="E405" s="16" t="s">
        <v>76</v>
      </c>
      <c r="F405" s="16" t="n">
        <v>28403</v>
      </c>
      <c r="G405" s="16" t="s">
        <v>54</v>
      </c>
      <c r="H405" s="16" t="s">
        <v>62</v>
      </c>
      <c r="I405" s="16" t="s">
        <v>70</v>
      </c>
      <c r="J405" s="17" t="n">
        <v>39.072</v>
      </c>
      <c r="K405" s="16" t="n">
        <v>6</v>
      </c>
      <c r="L405" s="18" t="n">
        <v>0.2</v>
      </c>
      <c r="M405" s="19" t="n">
        <v>9.768</v>
      </c>
      <c r="N405" s="16" t="str">
        <f aca="false">IF(M405&lt;0,"Loss",IF(M405&lt;50,"Low Profit",IF(M405&lt;200,"Medium Profit","High Profit")))</f>
        <v>Low Profit</v>
      </c>
      <c r="O405" s="16" t="str">
        <f aca="false">IF(J405&gt;=500,"High Value","Standard")</f>
        <v>Standard</v>
      </c>
      <c r="P405" s="16" t="str">
        <f aca="false">H405&amp;" &gt; "&amp;I405&amp;" ("&amp;K405&amp;" units)"</f>
        <v>Office Supplies &gt; Art (6 units)</v>
      </c>
      <c r="Q405" s="16" t="str">
        <f aca="false">VLOOKUP(G405,Region_Manager_Table,2,FALSE())</f>
        <v>Karthik Iyer</v>
      </c>
      <c r="R405" s="16" t="n">
        <f aca="false">INDEX(SLA_Days_Col,MATCH(A405,ShipMode_Col,0))</f>
        <v>6</v>
      </c>
    </row>
    <row r="406" customFormat="false" ht="15" hidden="false" customHeight="false" outlineLevel="0" collapsed="false">
      <c r="A406" s="10" t="s">
        <v>64</v>
      </c>
      <c r="B406" s="10" t="s">
        <v>50</v>
      </c>
      <c r="C406" s="10" t="s">
        <v>51</v>
      </c>
      <c r="D406" s="10" t="s">
        <v>111</v>
      </c>
      <c r="E406" s="10" t="s">
        <v>112</v>
      </c>
      <c r="F406" s="10" t="n">
        <v>10024</v>
      </c>
      <c r="G406" s="10" t="s">
        <v>93</v>
      </c>
      <c r="H406" s="10" t="s">
        <v>62</v>
      </c>
      <c r="I406" s="10" t="s">
        <v>74</v>
      </c>
      <c r="J406" s="13" t="n">
        <v>35.91</v>
      </c>
      <c r="K406" s="10" t="n">
        <v>3</v>
      </c>
      <c r="L406" s="14" t="n">
        <v>0</v>
      </c>
      <c r="M406" s="15" t="n">
        <v>9.6957</v>
      </c>
      <c r="N406" s="10" t="str">
        <f aca="false">IF(M406&lt;0,"Loss",IF(M406&lt;50,"Low Profit",IF(M406&lt;200,"Medium Profit","High Profit")))</f>
        <v>Low Profit</v>
      </c>
      <c r="O406" s="10" t="str">
        <f aca="false">IF(J406&gt;=500,"High Value","Standard")</f>
        <v>Standard</v>
      </c>
      <c r="P406" s="10" t="str">
        <f aca="false">H406&amp;" &gt; "&amp;I406&amp;" ("&amp;K406&amp;" units)"</f>
        <v>Office Supplies &gt; Appliances (3 units)</v>
      </c>
      <c r="Q406" s="10" t="str">
        <f aca="false">VLOOKUP(G406,Region_Manager_Table,2,FALSE())</f>
        <v>Priya Menon</v>
      </c>
      <c r="R406" s="10" t="n">
        <f aca="false">INDEX(SLA_Days_Col,MATCH(A406,ShipMode_Col,0))</f>
        <v>6</v>
      </c>
    </row>
    <row r="407" customFormat="false" ht="15" hidden="false" customHeight="false" outlineLevel="0" collapsed="false">
      <c r="A407" s="16" t="s">
        <v>64</v>
      </c>
      <c r="B407" s="16" t="s">
        <v>50</v>
      </c>
      <c r="C407" s="16" t="s">
        <v>51</v>
      </c>
      <c r="D407" s="16" t="s">
        <v>88</v>
      </c>
      <c r="E407" s="16" t="s">
        <v>60</v>
      </c>
      <c r="F407" s="16" t="n">
        <v>94110</v>
      </c>
      <c r="G407" s="16" t="s">
        <v>61</v>
      </c>
      <c r="H407" s="16" t="s">
        <v>71</v>
      </c>
      <c r="I407" s="16" t="s">
        <v>95</v>
      </c>
      <c r="J407" s="17" t="n">
        <v>179.95</v>
      </c>
      <c r="K407" s="16" t="n">
        <v>5</v>
      </c>
      <c r="L407" s="18" t="n">
        <v>0</v>
      </c>
      <c r="M407" s="19" t="n">
        <v>37.7895</v>
      </c>
      <c r="N407" s="16" t="str">
        <f aca="false">IF(M407&lt;0,"Loss",IF(M407&lt;50,"Low Profit",IF(M407&lt;200,"Medium Profit","High Profit")))</f>
        <v>Low Profit</v>
      </c>
      <c r="O407" s="16" t="str">
        <f aca="false">IF(J407&gt;=500,"High Value","Standard")</f>
        <v>Standard</v>
      </c>
      <c r="P407" s="16" t="str">
        <f aca="false">H407&amp;" &gt; "&amp;I407&amp;" ("&amp;K407&amp;" units)"</f>
        <v>Technology &gt; Accessories (5 units)</v>
      </c>
      <c r="Q407" s="16" t="str">
        <f aca="false">VLOOKUP(G407,Region_Manager_Table,2,FALSE())</f>
        <v>Sana Sheikh</v>
      </c>
      <c r="R407" s="16" t="n">
        <f aca="false">INDEX(SLA_Days_Col,MATCH(A407,ShipMode_Col,0))</f>
        <v>6</v>
      </c>
    </row>
    <row r="408" customFormat="false" ht="15" hidden="false" customHeight="false" outlineLevel="0" collapsed="false">
      <c r="A408" s="10" t="s">
        <v>64</v>
      </c>
      <c r="B408" s="10" t="s">
        <v>50</v>
      </c>
      <c r="C408" s="10" t="s">
        <v>51</v>
      </c>
      <c r="D408" s="10" t="s">
        <v>88</v>
      </c>
      <c r="E408" s="10" t="s">
        <v>60</v>
      </c>
      <c r="F408" s="10" t="n">
        <v>94110</v>
      </c>
      <c r="G408" s="10" t="s">
        <v>61</v>
      </c>
      <c r="H408" s="10" t="s">
        <v>71</v>
      </c>
      <c r="I408" s="10" t="s">
        <v>198</v>
      </c>
      <c r="J408" s="13" t="n">
        <v>1199.976</v>
      </c>
      <c r="K408" s="10" t="n">
        <v>3</v>
      </c>
      <c r="L408" s="14" t="n">
        <v>0.2</v>
      </c>
      <c r="M408" s="15" t="n">
        <v>434.9913</v>
      </c>
      <c r="N408" s="10" t="str">
        <f aca="false">IF(M408&lt;0,"Loss",IF(M408&lt;50,"Low Profit",IF(M408&lt;200,"Medium Profit","High Profit")))</f>
        <v>High Profit</v>
      </c>
      <c r="O408" s="10" t="str">
        <f aca="false">IF(J408&gt;=500,"High Value","Standard")</f>
        <v>High Value</v>
      </c>
      <c r="P408" s="10" t="str">
        <f aca="false">H408&amp;" &gt; "&amp;I408&amp;" ("&amp;K408&amp;" units)"</f>
        <v>Technology &gt; Copiers (3 units)</v>
      </c>
      <c r="Q408" s="10" t="str">
        <f aca="false">VLOOKUP(G408,Region_Manager_Table,2,FALSE())</f>
        <v>Sana Sheikh</v>
      </c>
      <c r="R408" s="10" t="n">
        <f aca="false">INDEX(SLA_Days_Col,MATCH(A408,ShipMode_Col,0))</f>
        <v>6</v>
      </c>
    </row>
    <row r="409" customFormat="false" ht="15" hidden="false" customHeight="false" outlineLevel="0" collapsed="false">
      <c r="A409" s="16" t="s">
        <v>64</v>
      </c>
      <c r="B409" s="16" t="s">
        <v>50</v>
      </c>
      <c r="C409" s="16" t="s">
        <v>51</v>
      </c>
      <c r="D409" s="16" t="s">
        <v>88</v>
      </c>
      <c r="E409" s="16" t="s">
        <v>60</v>
      </c>
      <c r="F409" s="16" t="n">
        <v>94110</v>
      </c>
      <c r="G409" s="16" t="s">
        <v>61</v>
      </c>
      <c r="H409" s="16" t="s">
        <v>62</v>
      </c>
      <c r="I409" s="16" t="s">
        <v>77</v>
      </c>
      <c r="J409" s="17" t="n">
        <v>27.15</v>
      </c>
      <c r="K409" s="16" t="n">
        <v>5</v>
      </c>
      <c r="L409" s="18" t="n">
        <v>0</v>
      </c>
      <c r="M409" s="19" t="n">
        <v>13.3035</v>
      </c>
      <c r="N409" s="16" t="str">
        <f aca="false">IF(M409&lt;0,"Loss",IF(M409&lt;50,"Low Profit",IF(M409&lt;200,"Medium Profit","High Profit")))</f>
        <v>Low Profit</v>
      </c>
      <c r="O409" s="16" t="str">
        <f aca="false">IF(J409&gt;=500,"High Value","Standard")</f>
        <v>Standard</v>
      </c>
      <c r="P409" s="16" t="str">
        <f aca="false">H409&amp;" &gt; "&amp;I409&amp;" ("&amp;K409&amp;" units)"</f>
        <v>Office Supplies &gt; Paper (5 units)</v>
      </c>
      <c r="Q409" s="16" t="str">
        <f aca="false">VLOOKUP(G409,Region_Manager_Table,2,FALSE())</f>
        <v>Sana Sheikh</v>
      </c>
      <c r="R409" s="16" t="n">
        <f aca="false">INDEX(SLA_Days_Col,MATCH(A409,ShipMode_Col,0))</f>
        <v>6</v>
      </c>
    </row>
    <row r="410" customFormat="false" ht="15" hidden="false" customHeight="false" outlineLevel="0" collapsed="false">
      <c r="A410" s="10" t="s">
        <v>64</v>
      </c>
      <c r="B410" s="10" t="s">
        <v>50</v>
      </c>
      <c r="C410" s="10" t="s">
        <v>51</v>
      </c>
      <c r="D410" s="10" t="s">
        <v>88</v>
      </c>
      <c r="E410" s="10" t="s">
        <v>60</v>
      </c>
      <c r="F410" s="10" t="n">
        <v>94110</v>
      </c>
      <c r="G410" s="10" t="s">
        <v>61</v>
      </c>
      <c r="H410" s="10" t="s">
        <v>55</v>
      </c>
      <c r="I410" s="10" t="s">
        <v>67</v>
      </c>
      <c r="J410" s="13" t="n">
        <v>1004.024</v>
      </c>
      <c r="K410" s="10" t="n">
        <v>7</v>
      </c>
      <c r="L410" s="14" t="n">
        <v>0.2</v>
      </c>
      <c r="M410" s="15" t="n">
        <v>-112.9527</v>
      </c>
      <c r="N410" s="10" t="str">
        <f aca="false">IF(M410&lt;0,"Loss",IF(M410&lt;50,"Low Profit",IF(M410&lt;200,"Medium Profit","High Profit")))</f>
        <v>Loss</v>
      </c>
      <c r="O410" s="10" t="str">
        <f aca="false">IF(J410&gt;=500,"High Value","Standard")</f>
        <v>High Value</v>
      </c>
      <c r="P410" s="10" t="str">
        <f aca="false">H410&amp;" &gt; "&amp;I410&amp;" ("&amp;K410&amp;" units)"</f>
        <v>Furniture &gt; Tables (7 units)</v>
      </c>
      <c r="Q410" s="10" t="str">
        <f aca="false">VLOOKUP(G410,Region_Manager_Table,2,FALSE())</f>
        <v>Sana Sheikh</v>
      </c>
      <c r="R410" s="10" t="n">
        <f aca="false">INDEX(SLA_Days_Col,MATCH(A410,ShipMode_Col,0))</f>
        <v>6</v>
      </c>
    </row>
    <row r="411" customFormat="false" ht="15" hidden="false" customHeight="false" outlineLevel="0" collapsed="false">
      <c r="A411" s="16" t="s">
        <v>64</v>
      </c>
      <c r="B411" s="16" t="s">
        <v>50</v>
      </c>
      <c r="C411" s="16" t="s">
        <v>51</v>
      </c>
      <c r="D411" s="16" t="s">
        <v>88</v>
      </c>
      <c r="E411" s="16" t="s">
        <v>60</v>
      </c>
      <c r="F411" s="16" t="n">
        <v>94110</v>
      </c>
      <c r="G411" s="16" t="s">
        <v>61</v>
      </c>
      <c r="H411" s="16" t="s">
        <v>62</v>
      </c>
      <c r="I411" s="16" t="s">
        <v>77</v>
      </c>
      <c r="J411" s="17" t="n">
        <v>9.68</v>
      </c>
      <c r="K411" s="16" t="n">
        <v>1</v>
      </c>
      <c r="L411" s="18" t="n">
        <v>0</v>
      </c>
      <c r="M411" s="19" t="n">
        <v>4.6464</v>
      </c>
      <c r="N411" s="16" t="str">
        <f aca="false">IF(M411&lt;0,"Loss",IF(M411&lt;50,"Low Profit",IF(M411&lt;200,"Medium Profit","High Profit")))</f>
        <v>Low Profit</v>
      </c>
      <c r="O411" s="16" t="str">
        <f aca="false">IF(J411&gt;=500,"High Value","Standard")</f>
        <v>Standard</v>
      </c>
      <c r="P411" s="16" t="str">
        <f aca="false">H411&amp;" &gt; "&amp;I411&amp;" ("&amp;K411&amp;" units)"</f>
        <v>Office Supplies &gt; Paper (1 units)</v>
      </c>
      <c r="Q411" s="16" t="str">
        <f aca="false">VLOOKUP(G411,Region_Manager_Table,2,FALSE())</f>
        <v>Sana Sheikh</v>
      </c>
      <c r="R411" s="16" t="n">
        <f aca="false">INDEX(SLA_Days_Col,MATCH(A411,ShipMode_Col,0))</f>
        <v>6</v>
      </c>
    </row>
    <row r="412" customFormat="false" ht="15" hidden="false" customHeight="false" outlineLevel="0" collapsed="false">
      <c r="A412" s="10" t="s">
        <v>64</v>
      </c>
      <c r="B412" s="10" t="s">
        <v>50</v>
      </c>
      <c r="C412" s="10" t="s">
        <v>51</v>
      </c>
      <c r="D412" s="10" t="s">
        <v>88</v>
      </c>
      <c r="E412" s="10" t="s">
        <v>60</v>
      </c>
      <c r="F412" s="10" t="n">
        <v>94110</v>
      </c>
      <c r="G412" s="10" t="s">
        <v>61</v>
      </c>
      <c r="H412" s="10" t="s">
        <v>62</v>
      </c>
      <c r="I412" s="10" t="s">
        <v>63</v>
      </c>
      <c r="J412" s="13" t="n">
        <v>28.35</v>
      </c>
      <c r="K412" s="10" t="n">
        <v>9</v>
      </c>
      <c r="L412" s="14" t="n">
        <v>0</v>
      </c>
      <c r="M412" s="15" t="n">
        <v>13.608</v>
      </c>
      <c r="N412" s="10" t="str">
        <f aca="false">IF(M412&lt;0,"Loss",IF(M412&lt;50,"Low Profit",IF(M412&lt;200,"Medium Profit","High Profit")))</f>
        <v>Low Profit</v>
      </c>
      <c r="O412" s="10" t="str">
        <f aca="false">IF(J412&gt;=500,"High Value","Standard")</f>
        <v>Standard</v>
      </c>
      <c r="P412" s="10" t="str">
        <f aca="false">H412&amp;" &gt; "&amp;I412&amp;" ("&amp;K412&amp;" units)"</f>
        <v>Office Supplies &gt; Labels (9 units)</v>
      </c>
      <c r="Q412" s="10" t="str">
        <f aca="false">VLOOKUP(G412,Region_Manager_Table,2,FALSE())</f>
        <v>Sana Sheikh</v>
      </c>
      <c r="R412" s="10" t="n">
        <f aca="false">INDEX(SLA_Days_Col,MATCH(A412,ShipMode_Col,0))</f>
        <v>6</v>
      </c>
    </row>
    <row r="413" customFormat="false" ht="15" hidden="false" customHeight="false" outlineLevel="0" collapsed="false">
      <c r="A413" s="16" t="s">
        <v>64</v>
      </c>
      <c r="B413" s="16" t="s">
        <v>50</v>
      </c>
      <c r="C413" s="16" t="s">
        <v>51</v>
      </c>
      <c r="D413" s="16" t="s">
        <v>88</v>
      </c>
      <c r="E413" s="16" t="s">
        <v>60</v>
      </c>
      <c r="F413" s="16" t="n">
        <v>94110</v>
      </c>
      <c r="G413" s="16" t="s">
        <v>61</v>
      </c>
      <c r="H413" s="16" t="s">
        <v>62</v>
      </c>
      <c r="I413" s="16" t="s">
        <v>77</v>
      </c>
      <c r="J413" s="17" t="n">
        <v>55.98</v>
      </c>
      <c r="K413" s="16" t="n">
        <v>1</v>
      </c>
      <c r="L413" s="18" t="n">
        <v>0</v>
      </c>
      <c r="M413" s="19" t="n">
        <v>27.4302</v>
      </c>
      <c r="N413" s="16" t="str">
        <f aca="false">IF(M413&lt;0,"Loss",IF(M413&lt;50,"Low Profit",IF(M413&lt;200,"Medium Profit","High Profit")))</f>
        <v>Low Profit</v>
      </c>
      <c r="O413" s="16" t="str">
        <f aca="false">IF(J413&gt;=500,"High Value","Standard")</f>
        <v>Standard</v>
      </c>
      <c r="P413" s="16" t="str">
        <f aca="false">H413&amp;" &gt; "&amp;I413&amp;" ("&amp;K413&amp;" units)"</f>
        <v>Office Supplies &gt; Paper (1 units)</v>
      </c>
      <c r="Q413" s="16" t="str">
        <f aca="false">VLOOKUP(G413,Region_Manager_Table,2,FALSE())</f>
        <v>Sana Sheikh</v>
      </c>
      <c r="R413" s="16" t="n">
        <f aca="false">INDEX(SLA_Days_Col,MATCH(A413,ShipMode_Col,0))</f>
        <v>6</v>
      </c>
    </row>
    <row r="414" customFormat="false" ht="15" hidden="false" customHeight="false" outlineLevel="0" collapsed="false">
      <c r="A414" s="10" t="s">
        <v>64</v>
      </c>
      <c r="B414" s="10" t="s">
        <v>50</v>
      </c>
      <c r="C414" s="10" t="s">
        <v>51</v>
      </c>
      <c r="D414" s="10" t="s">
        <v>88</v>
      </c>
      <c r="E414" s="10" t="s">
        <v>60</v>
      </c>
      <c r="F414" s="10" t="n">
        <v>94110</v>
      </c>
      <c r="G414" s="10" t="s">
        <v>61</v>
      </c>
      <c r="H414" s="10" t="s">
        <v>55</v>
      </c>
      <c r="I414" s="10" t="s">
        <v>56</v>
      </c>
      <c r="J414" s="13" t="n">
        <v>1336.829</v>
      </c>
      <c r="K414" s="10" t="n">
        <v>13</v>
      </c>
      <c r="L414" s="14" t="n">
        <v>0.15</v>
      </c>
      <c r="M414" s="15" t="n">
        <v>31.4548</v>
      </c>
      <c r="N414" s="10" t="str">
        <f aca="false">IF(M414&lt;0,"Loss",IF(M414&lt;50,"Low Profit",IF(M414&lt;200,"Medium Profit","High Profit")))</f>
        <v>Low Profit</v>
      </c>
      <c r="O414" s="10" t="str">
        <f aca="false">IF(J414&gt;=500,"High Value","Standard")</f>
        <v>High Value</v>
      </c>
      <c r="P414" s="10" t="str">
        <f aca="false">H414&amp;" &gt; "&amp;I414&amp;" ("&amp;K414&amp;" units)"</f>
        <v>Furniture &gt; Bookcases (13 units)</v>
      </c>
      <c r="Q414" s="10" t="str">
        <f aca="false">VLOOKUP(G414,Region_Manager_Table,2,FALSE())</f>
        <v>Sana Sheikh</v>
      </c>
      <c r="R414" s="10" t="n">
        <f aca="false">INDEX(SLA_Days_Col,MATCH(A414,ShipMode_Col,0))</f>
        <v>6</v>
      </c>
    </row>
    <row r="415" customFormat="false" ht="15" hidden="false" customHeight="false" outlineLevel="0" collapsed="false">
      <c r="A415" s="16" t="s">
        <v>64</v>
      </c>
      <c r="B415" s="16" t="s">
        <v>50</v>
      </c>
      <c r="C415" s="16" t="s">
        <v>51</v>
      </c>
      <c r="D415" s="16" t="s">
        <v>88</v>
      </c>
      <c r="E415" s="16" t="s">
        <v>60</v>
      </c>
      <c r="F415" s="16" t="n">
        <v>94110</v>
      </c>
      <c r="G415" s="16" t="s">
        <v>61</v>
      </c>
      <c r="H415" s="16" t="s">
        <v>55</v>
      </c>
      <c r="I415" s="16" t="s">
        <v>57</v>
      </c>
      <c r="J415" s="17" t="n">
        <v>113.568</v>
      </c>
      <c r="K415" s="16" t="n">
        <v>2</v>
      </c>
      <c r="L415" s="18" t="n">
        <v>0.2</v>
      </c>
      <c r="M415" s="19" t="n">
        <v>-18.4548</v>
      </c>
      <c r="N415" s="16" t="str">
        <f aca="false">IF(M415&lt;0,"Loss",IF(M415&lt;50,"Low Profit",IF(M415&lt;200,"Medium Profit","High Profit")))</f>
        <v>Loss</v>
      </c>
      <c r="O415" s="16" t="str">
        <f aca="false">IF(J415&gt;=500,"High Value","Standard")</f>
        <v>Standard</v>
      </c>
      <c r="P415" s="16" t="str">
        <f aca="false">H415&amp;" &gt; "&amp;I415&amp;" ("&amp;K415&amp;" units)"</f>
        <v>Furniture &gt; Chairs (2 units)</v>
      </c>
      <c r="Q415" s="16" t="str">
        <f aca="false">VLOOKUP(G415,Region_Manager_Table,2,FALSE())</f>
        <v>Sana Sheikh</v>
      </c>
      <c r="R415" s="16" t="n">
        <f aca="false">INDEX(SLA_Days_Col,MATCH(A415,ShipMode_Col,0))</f>
        <v>6</v>
      </c>
    </row>
    <row r="416" customFormat="false" ht="15" hidden="false" customHeight="false" outlineLevel="0" collapsed="false">
      <c r="A416" s="10" t="s">
        <v>64</v>
      </c>
      <c r="B416" s="10" t="s">
        <v>58</v>
      </c>
      <c r="C416" s="10" t="s">
        <v>51</v>
      </c>
      <c r="D416" s="10" t="s">
        <v>78</v>
      </c>
      <c r="E416" s="10" t="s">
        <v>79</v>
      </c>
      <c r="F416" s="10" t="n">
        <v>98105</v>
      </c>
      <c r="G416" s="10" t="s">
        <v>61</v>
      </c>
      <c r="H416" s="10" t="s">
        <v>62</v>
      </c>
      <c r="I416" s="10" t="s">
        <v>77</v>
      </c>
      <c r="J416" s="13" t="n">
        <v>139.86</v>
      </c>
      <c r="K416" s="10" t="n">
        <v>7</v>
      </c>
      <c r="L416" s="14" t="n">
        <v>0</v>
      </c>
      <c r="M416" s="15" t="n">
        <v>65.7342</v>
      </c>
      <c r="N416" s="10" t="str">
        <f aca="false">IF(M416&lt;0,"Loss",IF(M416&lt;50,"Low Profit",IF(M416&lt;200,"Medium Profit","High Profit")))</f>
        <v>Medium Profit</v>
      </c>
      <c r="O416" s="10" t="str">
        <f aca="false">IF(J416&gt;=500,"High Value","Standard")</f>
        <v>Standard</v>
      </c>
      <c r="P416" s="10" t="str">
        <f aca="false">H416&amp;" &gt; "&amp;I416&amp;" ("&amp;K416&amp;" units)"</f>
        <v>Office Supplies &gt; Paper (7 units)</v>
      </c>
      <c r="Q416" s="10" t="str">
        <f aca="false">VLOOKUP(G416,Region_Manager_Table,2,FALSE())</f>
        <v>Sana Sheikh</v>
      </c>
      <c r="R416" s="10" t="n">
        <f aca="false">INDEX(SLA_Days_Col,MATCH(A416,ShipMode_Col,0))</f>
        <v>6</v>
      </c>
    </row>
    <row r="417" customFormat="false" ht="15" hidden="false" customHeight="false" outlineLevel="0" collapsed="false">
      <c r="A417" s="16" t="s">
        <v>64</v>
      </c>
      <c r="B417" s="16" t="s">
        <v>58</v>
      </c>
      <c r="C417" s="16" t="s">
        <v>51</v>
      </c>
      <c r="D417" s="16" t="s">
        <v>78</v>
      </c>
      <c r="E417" s="16" t="s">
        <v>79</v>
      </c>
      <c r="F417" s="16" t="n">
        <v>98105</v>
      </c>
      <c r="G417" s="16" t="s">
        <v>61</v>
      </c>
      <c r="H417" s="16" t="s">
        <v>55</v>
      </c>
      <c r="I417" s="16" t="s">
        <v>57</v>
      </c>
      <c r="J417" s="17" t="n">
        <v>307.136</v>
      </c>
      <c r="K417" s="16" t="n">
        <v>4</v>
      </c>
      <c r="L417" s="18" t="n">
        <v>0.2</v>
      </c>
      <c r="M417" s="19" t="n">
        <v>26.8744</v>
      </c>
      <c r="N417" s="16" t="str">
        <f aca="false">IF(M417&lt;0,"Loss",IF(M417&lt;50,"Low Profit",IF(M417&lt;200,"Medium Profit","High Profit")))</f>
        <v>Low Profit</v>
      </c>
      <c r="O417" s="16" t="str">
        <f aca="false">IF(J417&gt;=500,"High Value","Standard")</f>
        <v>Standard</v>
      </c>
      <c r="P417" s="16" t="str">
        <f aca="false">H417&amp;" &gt; "&amp;I417&amp;" ("&amp;K417&amp;" units)"</f>
        <v>Furniture &gt; Chairs (4 units)</v>
      </c>
      <c r="Q417" s="16" t="str">
        <f aca="false">VLOOKUP(G417,Region_Manager_Table,2,FALSE())</f>
        <v>Sana Sheikh</v>
      </c>
      <c r="R417" s="16" t="n">
        <f aca="false">INDEX(SLA_Days_Col,MATCH(A417,ShipMode_Col,0))</f>
        <v>6</v>
      </c>
    </row>
    <row r="418" customFormat="false" ht="15" hidden="false" customHeight="false" outlineLevel="0" collapsed="false">
      <c r="A418" s="10" t="s">
        <v>64</v>
      </c>
      <c r="B418" s="10" t="s">
        <v>50</v>
      </c>
      <c r="C418" s="10" t="s">
        <v>51</v>
      </c>
      <c r="D418" s="10" t="s">
        <v>217</v>
      </c>
      <c r="E418" s="10" t="s">
        <v>60</v>
      </c>
      <c r="F418" s="10" t="n">
        <v>92646</v>
      </c>
      <c r="G418" s="10" t="s">
        <v>61</v>
      </c>
      <c r="H418" s="10" t="s">
        <v>62</v>
      </c>
      <c r="I418" s="10" t="s">
        <v>70</v>
      </c>
      <c r="J418" s="13" t="n">
        <v>95.92</v>
      </c>
      <c r="K418" s="10" t="n">
        <v>8</v>
      </c>
      <c r="L418" s="14" t="n">
        <v>0</v>
      </c>
      <c r="M418" s="15" t="n">
        <v>25.8984</v>
      </c>
      <c r="N418" s="10" t="str">
        <f aca="false">IF(M418&lt;0,"Loss",IF(M418&lt;50,"Low Profit",IF(M418&lt;200,"Medium Profit","High Profit")))</f>
        <v>Low Profit</v>
      </c>
      <c r="O418" s="10" t="str">
        <f aca="false">IF(J418&gt;=500,"High Value","Standard")</f>
        <v>Standard</v>
      </c>
      <c r="P418" s="10" t="str">
        <f aca="false">H418&amp;" &gt; "&amp;I418&amp;" ("&amp;K418&amp;" units)"</f>
        <v>Office Supplies &gt; Art (8 units)</v>
      </c>
      <c r="Q418" s="10" t="str">
        <f aca="false">VLOOKUP(G418,Region_Manager_Table,2,FALSE())</f>
        <v>Sana Sheikh</v>
      </c>
      <c r="R418" s="10" t="n">
        <f aca="false">INDEX(SLA_Days_Col,MATCH(A418,ShipMode_Col,0))</f>
        <v>6</v>
      </c>
    </row>
    <row r="419" customFormat="false" ht="15" hidden="false" customHeight="false" outlineLevel="0" collapsed="false">
      <c r="A419" s="16" t="s">
        <v>64</v>
      </c>
      <c r="B419" s="16" t="s">
        <v>50</v>
      </c>
      <c r="C419" s="16" t="s">
        <v>51</v>
      </c>
      <c r="D419" s="16" t="s">
        <v>59</v>
      </c>
      <c r="E419" s="16" t="s">
        <v>60</v>
      </c>
      <c r="F419" s="16" t="n">
        <v>90004</v>
      </c>
      <c r="G419" s="16" t="s">
        <v>61</v>
      </c>
      <c r="H419" s="16" t="s">
        <v>55</v>
      </c>
      <c r="I419" s="16" t="s">
        <v>57</v>
      </c>
      <c r="J419" s="17" t="n">
        <v>383.8</v>
      </c>
      <c r="K419" s="16" t="n">
        <v>5</v>
      </c>
      <c r="L419" s="18" t="n">
        <v>0.2</v>
      </c>
      <c r="M419" s="19" t="n">
        <v>38.38</v>
      </c>
      <c r="N419" s="16" t="str">
        <f aca="false">IF(M419&lt;0,"Loss",IF(M419&lt;50,"Low Profit",IF(M419&lt;200,"Medium Profit","High Profit")))</f>
        <v>Low Profit</v>
      </c>
      <c r="O419" s="16" t="str">
        <f aca="false">IF(J419&gt;=500,"High Value","Standard")</f>
        <v>Standard</v>
      </c>
      <c r="P419" s="16" t="str">
        <f aca="false">H419&amp;" &gt; "&amp;I419&amp;" ("&amp;K419&amp;" units)"</f>
        <v>Furniture &gt; Chairs (5 units)</v>
      </c>
      <c r="Q419" s="16" t="str">
        <f aca="false">VLOOKUP(G419,Region_Manager_Table,2,FALSE())</f>
        <v>Sana Sheikh</v>
      </c>
      <c r="R419" s="16" t="n">
        <f aca="false">INDEX(SLA_Days_Col,MATCH(A419,ShipMode_Col,0))</f>
        <v>6</v>
      </c>
    </row>
    <row r="420" customFormat="false" ht="15" hidden="false" customHeight="false" outlineLevel="0" collapsed="false">
      <c r="A420" s="10" t="s">
        <v>64</v>
      </c>
      <c r="B420" s="10" t="s">
        <v>58</v>
      </c>
      <c r="C420" s="10" t="s">
        <v>51</v>
      </c>
      <c r="D420" s="10" t="s">
        <v>218</v>
      </c>
      <c r="E420" s="10" t="s">
        <v>53</v>
      </c>
      <c r="F420" s="10" t="n">
        <v>40475</v>
      </c>
      <c r="G420" s="10" t="s">
        <v>54</v>
      </c>
      <c r="H420" s="10" t="s">
        <v>62</v>
      </c>
      <c r="I420" s="10" t="s">
        <v>77</v>
      </c>
      <c r="J420" s="13" t="n">
        <v>5.78</v>
      </c>
      <c r="K420" s="10" t="n">
        <v>1</v>
      </c>
      <c r="L420" s="14" t="n">
        <v>0</v>
      </c>
      <c r="M420" s="15" t="n">
        <v>2.8322</v>
      </c>
      <c r="N420" s="10" t="str">
        <f aca="false">IF(M420&lt;0,"Loss",IF(M420&lt;50,"Low Profit",IF(M420&lt;200,"Medium Profit","High Profit")))</f>
        <v>Low Profit</v>
      </c>
      <c r="O420" s="10" t="str">
        <f aca="false">IF(J420&gt;=500,"High Value","Standard")</f>
        <v>Standard</v>
      </c>
      <c r="P420" s="10" t="str">
        <f aca="false">H420&amp;" &gt; "&amp;I420&amp;" ("&amp;K420&amp;" units)"</f>
        <v>Office Supplies &gt; Paper (1 units)</v>
      </c>
      <c r="Q420" s="10" t="str">
        <f aca="false">VLOOKUP(G420,Region_Manager_Table,2,FALSE())</f>
        <v>Karthik Iyer</v>
      </c>
      <c r="R420" s="10" t="n">
        <f aca="false">INDEX(SLA_Days_Col,MATCH(A420,ShipMode_Col,0))</f>
        <v>6</v>
      </c>
    </row>
    <row r="421" customFormat="false" ht="15" hidden="false" customHeight="false" outlineLevel="0" collapsed="false">
      <c r="A421" s="16" t="s">
        <v>64</v>
      </c>
      <c r="B421" s="16" t="s">
        <v>58</v>
      </c>
      <c r="C421" s="16" t="s">
        <v>51</v>
      </c>
      <c r="D421" s="16" t="s">
        <v>59</v>
      </c>
      <c r="E421" s="16" t="s">
        <v>60</v>
      </c>
      <c r="F421" s="16" t="n">
        <v>90045</v>
      </c>
      <c r="G421" s="16" t="s">
        <v>61</v>
      </c>
      <c r="H421" s="16" t="s">
        <v>62</v>
      </c>
      <c r="I421" s="16" t="s">
        <v>70</v>
      </c>
      <c r="J421" s="17" t="n">
        <v>9.32</v>
      </c>
      <c r="K421" s="16" t="n">
        <v>4</v>
      </c>
      <c r="L421" s="18" t="n">
        <v>0</v>
      </c>
      <c r="M421" s="19" t="n">
        <v>2.7028</v>
      </c>
      <c r="N421" s="16" t="str">
        <f aca="false">IF(M421&lt;0,"Loss",IF(M421&lt;50,"Low Profit",IF(M421&lt;200,"Medium Profit","High Profit")))</f>
        <v>Low Profit</v>
      </c>
      <c r="O421" s="16" t="str">
        <f aca="false">IF(J421&gt;=500,"High Value","Standard")</f>
        <v>Standard</v>
      </c>
      <c r="P421" s="16" t="str">
        <f aca="false">H421&amp;" &gt; "&amp;I421&amp;" ("&amp;K421&amp;" units)"</f>
        <v>Office Supplies &gt; Art (4 units)</v>
      </c>
      <c r="Q421" s="16" t="str">
        <f aca="false">VLOOKUP(G421,Region_Manager_Table,2,FALSE())</f>
        <v>Sana Sheikh</v>
      </c>
      <c r="R421" s="16" t="n">
        <f aca="false">INDEX(SLA_Days_Col,MATCH(A421,ShipMode_Col,0))</f>
        <v>6</v>
      </c>
    </row>
    <row r="422" customFormat="false" ht="15" hidden="false" customHeight="false" outlineLevel="0" collapsed="false">
      <c r="A422" s="10" t="s">
        <v>64</v>
      </c>
      <c r="B422" s="10" t="s">
        <v>58</v>
      </c>
      <c r="C422" s="10" t="s">
        <v>51</v>
      </c>
      <c r="D422" s="10" t="s">
        <v>59</v>
      </c>
      <c r="E422" s="10" t="s">
        <v>60</v>
      </c>
      <c r="F422" s="10" t="n">
        <v>90045</v>
      </c>
      <c r="G422" s="10" t="s">
        <v>61</v>
      </c>
      <c r="H422" s="10" t="s">
        <v>62</v>
      </c>
      <c r="I422" s="10" t="s">
        <v>96</v>
      </c>
      <c r="J422" s="13" t="n">
        <v>15.25</v>
      </c>
      <c r="K422" s="10" t="n">
        <v>1</v>
      </c>
      <c r="L422" s="14" t="n">
        <v>0</v>
      </c>
      <c r="M422" s="15" t="n">
        <v>7.015</v>
      </c>
      <c r="N422" s="10" t="str">
        <f aca="false">IF(M422&lt;0,"Loss",IF(M422&lt;50,"Low Profit",IF(M422&lt;200,"Medium Profit","High Profit")))</f>
        <v>Low Profit</v>
      </c>
      <c r="O422" s="10" t="str">
        <f aca="false">IF(J422&gt;=500,"High Value","Standard")</f>
        <v>Standard</v>
      </c>
      <c r="P422" s="10" t="str">
        <f aca="false">H422&amp;" &gt; "&amp;I422&amp;" ("&amp;K422&amp;" units)"</f>
        <v>Office Supplies &gt; Envelopes (1 units)</v>
      </c>
      <c r="Q422" s="10" t="str">
        <f aca="false">VLOOKUP(G422,Region_Manager_Table,2,FALSE())</f>
        <v>Sana Sheikh</v>
      </c>
      <c r="R422" s="10" t="n">
        <f aca="false">INDEX(SLA_Days_Col,MATCH(A422,ShipMode_Col,0))</f>
        <v>6</v>
      </c>
    </row>
    <row r="423" customFormat="false" ht="15" hidden="false" customHeight="false" outlineLevel="0" collapsed="false">
      <c r="A423" s="16" t="s">
        <v>98</v>
      </c>
      <c r="B423" s="16" t="s">
        <v>50</v>
      </c>
      <c r="C423" s="16" t="s">
        <v>51</v>
      </c>
      <c r="D423" s="16" t="s">
        <v>219</v>
      </c>
      <c r="E423" s="16" t="s">
        <v>134</v>
      </c>
      <c r="F423" s="16" t="n">
        <v>80027</v>
      </c>
      <c r="G423" s="16" t="s">
        <v>61</v>
      </c>
      <c r="H423" s="16" t="s">
        <v>71</v>
      </c>
      <c r="I423" s="16" t="s">
        <v>95</v>
      </c>
      <c r="J423" s="17" t="n">
        <v>196.752</v>
      </c>
      <c r="K423" s="16" t="n">
        <v>6</v>
      </c>
      <c r="L423" s="18" t="n">
        <v>0.2</v>
      </c>
      <c r="M423" s="19" t="n">
        <v>56.5662</v>
      </c>
      <c r="N423" s="16" t="str">
        <f aca="false">IF(M423&lt;0,"Loss",IF(M423&lt;50,"Low Profit",IF(M423&lt;200,"Medium Profit","High Profit")))</f>
        <v>Medium Profit</v>
      </c>
      <c r="O423" s="16" t="str">
        <f aca="false">IF(J423&gt;=500,"High Value","Standard")</f>
        <v>Standard</v>
      </c>
      <c r="P423" s="16" t="str">
        <f aca="false">H423&amp;" &gt; "&amp;I423&amp;" ("&amp;K423&amp;" units)"</f>
        <v>Technology &gt; Accessories (6 units)</v>
      </c>
      <c r="Q423" s="16" t="str">
        <f aca="false">VLOOKUP(G423,Region_Manager_Table,2,FALSE())</f>
        <v>Sana Sheikh</v>
      </c>
      <c r="R423" s="16" t="n">
        <f aca="false">INDEX(SLA_Days_Col,MATCH(A423,ShipMode_Col,0))</f>
        <v>2</v>
      </c>
    </row>
    <row r="424" customFormat="false" ht="15" hidden="false" customHeight="false" outlineLevel="0" collapsed="false">
      <c r="A424" s="10" t="s">
        <v>64</v>
      </c>
      <c r="B424" s="10" t="s">
        <v>58</v>
      </c>
      <c r="C424" s="10" t="s">
        <v>51</v>
      </c>
      <c r="D424" s="10" t="s">
        <v>220</v>
      </c>
      <c r="E424" s="10" t="s">
        <v>202</v>
      </c>
      <c r="F424" s="10" t="n">
        <v>1841</v>
      </c>
      <c r="G424" s="10" t="s">
        <v>93</v>
      </c>
      <c r="H424" s="10" t="s">
        <v>55</v>
      </c>
      <c r="I424" s="10" t="s">
        <v>69</v>
      </c>
      <c r="J424" s="13" t="n">
        <v>56.56</v>
      </c>
      <c r="K424" s="10" t="n">
        <v>4</v>
      </c>
      <c r="L424" s="14" t="n">
        <v>0</v>
      </c>
      <c r="M424" s="15" t="n">
        <v>14.7056</v>
      </c>
      <c r="N424" s="10" t="str">
        <f aca="false">IF(M424&lt;0,"Loss",IF(M424&lt;50,"Low Profit",IF(M424&lt;200,"Medium Profit","High Profit")))</f>
        <v>Low Profit</v>
      </c>
      <c r="O424" s="10" t="str">
        <f aca="false">IF(J424&gt;=500,"High Value","Standard")</f>
        <v>Standard</v>
      </c>
      <c r="P424" s="10" t="str">
        <f aca="false">H424&amp;" &gt; "&amp;I424&amp;" ("&amp;K424&amp;" units)"</f>
        <v>Furniture &gt; Furnishings (4 units)</v>
      </c>
      <c r="Q424" s="10" t="str">
        <f aca="false">VLOOKUP(G424,Region_Manager_Table,2,FALSE())</f>
        <v>Priya Menon</v>
      </c>
      <c r="R424" s="10" t="n">
        <f aca="false">INDEX(SLA_Days_Col,MATCH(A424,ShipMode_Col,0))</f>
        <v>6</v>
      </c>
    </row>
    <row r="425" customFormat="false" ht="15" hidden="false" customHeight="false" outlineLevel="0" collapsed="false">
      <c r="A425" s="16" t="s">
        <v>64</v>
      </c>
      <c r="B425" s="16" t="s">
        <v>58</v>
      </c>
      <c r="C425" s="16" t="s">
        <v>51</v>
      </c>
      <c r="D425" s="16" t="s">
        <v>220</v>
      </c>
      <c r="E425" s="16" t="s">
        <v>202</v>
      </c>
      <c r="F425" s="16" t="n">
        <v>1841</v>
      </c>
      <c r="G425" s="16" t="s">
        <v>93</v>
      </c>
      <c r="H425" s="16" t="s">
        <v>62</v>
      </c>
      <c r="I425" s="16" t="s">
        <v>68</v>
      </c>
      <c r="J425" s="17" t="n">
        <v>32.7</v>
      </c>
      <c r="K425" s="16" t="n">
        <v>3</v>
      </c>
      <c r="L425" s="18" t="n">
        <v>0</v>
      </c>
      <c r="M425" s="19" t="n">
        <v>8.502</v>
      </c>
      <c r="N425" s="16" t="str">
        <f aca="false">IF(M425&lt;0,"Loss",IF(M425&lt;50,"Low Profit",IF(M425&lt;200,"Medium Profit","High Profit")))</f>
        <v>Low Profit</v>
      </c>
      <c r="O425" s="16" t="str">
        <f aca="false">IF(J425&gt;=500,"High Value","Standard")</f>
        <v>Standard</v>
      </c>
      <c r="P425" s="16" t="str">
        <f aca="false">H425&amp;" &gt; "&amp;I425&amp;" ("&amp;K425&amp;" units)"</f>
        <v>Office Supplies &gt; Storage (3 units)</v>
      </c>
      <c r="Q425" s="16" t="str">
        <f aca="false">VLOOKUP(G425,Region_Manager_Table,2,FALSE())</f>
        <v>Priya Menon</v>
      </c>
      <c r="R425" s="16" t="n">
        <f aca="false">INDEX(SLA_Days_Col,MATCH(A425,ShipMode_Col,0))</f>
        <v>6</v>
      </c>
    </row>
    <row r="426" customFormat="false" ht="15" hidden="false" customHeight="false" outlineLevel="0" collapsed="false">
      <c r="A426" s="10" t="s">
        <v>49</v>
      </c>
      <c r="B426" s="10" t="s">
        <v>50</v>
      </c>
      <c r="C426" s="10" t="s">
        <v>51</v>
      </c>
      <c r="D426" s="10" t="s">
        <v>120</v>
      </c>
      <c r="E426" s="10" t="s">
        <v>221</v>
      </c>
      <c r="F426" s="10" t="n">
        <v>39212</v>
      </c>
      <c r="G426" s="10" t="s">
        <v>54</v>
      </c>
      <c r="H426" s="10" t="s">
        <v>55</v>
      </c>
      <c r="I426" s="10" t="s">
        <v>57</v>
      </c>
      <c r="J426" s="13" t="n">
        <v>866.4</v>
      </c>
      <c r="K426" s="10" t="n">
        <v>4</v>
      </c>
      <c r="L426" s="14" t="n">
        <v>0</v>
      </c>
      <c r="M426" s="15" t="n">
        <v>225.264</v>
      </c>
      <c r="N426" s="10" t="str">
        <f aca="false">IF(M426&lt;0,"Loss",IF(M426&lt;50,"Low Profit",IF(M426&lt;200,"Medium Profit","High Profit")))</f>
        <v>High Profit</v>
      </c>
      <c r="O426" s="10" t="str">
        <f aca="false">IF(J426&gt;=500,"High Value","Standard")</f>
        <v>High Value</v>
      </c>
      <c r="P426" s="10" t="str">
        <f aca="false">H426&amp;" &gt; "&amp;I426&amp;" ("&amp;K426&amp;" units)"</f>
        <v>Furniture &gt; Chairs (4 units)</v>
      </c>
      <c r="Q426" s="10" t="str">
        <f aca="false">VLOOKUP(G426,Region_Manager_Table,2,FALSE())</f>
        <v>Karthik Iyer</v>
      </c>
      <c r="R426" s="10" t="n">
        <f aca="false">INDEX(SLA_Days_Col,MATCH(A426,ShipMode_Col,0))</f>
        <v>4</v>
      </c>
    </row>
    <row r="427" customFormat="false" ht="15" hidden="false" customHeight="false" outlineLevel="0" collapsed="false">
      <c r="A427" s="16" t="s">
        <v>49</v>
      </c>
      <c r="B427" s="16" t="s">
        <v>58</v>
      </c>
      <c r="C427" s="16" t="s">
        <v>51</v>
      </c>
      <c r="D427" s="16" t="s">
        <v>222</v>
      </c>
      <c r="E427" s="16" t="s">
        <v>106</v>
      </c>
      <c r="F427" s="16" t="n">
        <v>48187</v>
      </c>
      <c r="G427" s="16" t="s">
        <v>83</v>
      </c>
      <c r="H427" s="16" t="s">
        <v>55</v>
      </c>
      <c r="I427" s="16" t="s">
        <v>69</v>
      </c>
      <c r="J427" s="17" t="n">
        <v>28.4</v>
      </c>
      <c r="K427" s="16" t="n">
        <v>2</v>
      </c>
      <c r="L427" s="18" t="n">
        <v>0</v>
      </c>
      <c r="M427" s="19" t="n">
        <v>11.076</v>
      </c>
      <c r="N427" s="16" t="str">
        <f aca="false">IF(M427&lt;0,"Loss",IF(M427&lt;50,"Low Profit",IF(M427&lt;200,"Medium Profit","High Profit")))</f>
        <v>Low Profit</v>
      </c>
      <c r="O427" s="16" t="str">
        <f aca="false">IF(J427&gt;=500,"High Value","Standard")</f>
        <v>Standard</v>
      </c>
      <c r="P427" s="16" t="str">
        <f aca="false">H427&amp;" &gt; "&amp;I427&amp;" ("&amp;K427&amp;" units)"</f>
        <v>Furniture &gt; Furnishings (2 units)</v>
      </c>
      <c r="Q427" s="16" t="str">
        <f aca="false">VLOOKUP(G427,Region_Manager_Table,2,FALSE())</f>
        <v>Aditya Rao</v>
      </c>
      <c r="R427" s="16" t="n">
        <f aca="false">INDEX(SLA_Days_Col,MATCH(A427,ShipMode_Col,0))</f>
        <v>4</v>
      </c>
    </row>
    <row r="428" customFormat="false" ht="15" hidden="false" customHeight="false" outlineLevel="0" collapsed="false">
      <c r="A428" s="10" t="s">
        <v>49</v>
      </c>
      <c r="B428" s="10" t="s">
        <v>58</v>
      </c>
      <c r="C428" s="10" t="s">
        <v>51</v>
      </c>
      <c r="D428" s="10" t="s">
        <v>222</v>
      </c>
      <c r="E428" s="10" t="s">
        <v>106</v>
      </c>
      <c r="F428" s="10" t="n">
        <v>48187</v>
      </c>
      <c r="G428" s="10" t="s">
        <v>83</v>
      </c>
      <c r="H428" s="10" t="s">
        <v>62</v>
      </c>
      <c r="I428" s="10" t="s">
        <v>73</v>
      </c>
      <c r="J428" s="13" t="n">
        <v>287.92</v>
      </c>
      <c r="K428" s="10" t="n">
        <v>8</v>
      </c>
      <c r="L428" s="14" t="n">
        <v>0</v>
      </c>
      <c r="M428" s="15" t="n">
        <v>138.2016</v>
      </c>
      <c r="N428" s="10" t="str">
        <f aca="false">IF(M428&lt;0,"Loss",IF(M428&lt;50,"Low Profit",IF(M428&lt;200,"Medium Profit","High Profit")))</f>
        <v>Medium Profit</v>
      </c>
      <c r="O428" s="10" t="str">
        <f aca="false">IF(J428&gt;=500,"High Value","Standard")</f>
        <v>Standard</v>
      </c>
      <c r="P428" s="10" t="str">
        <f aca="false">H428&amp;" &gt; "&amp;I428&amp;" ("&amp;K428&amp;" units)"</f>
        <v>Office Supplies &gt; Binders (8 units)</v>
      </c>
      <c r="Q428" s="10" t="str">
        <f aca="false">VLOOKUP(G428,Region_Manager_Table,2,FALSE())</f>
        <v>Aditya Rao</v>
      </c>
      <c r="R428" s="10" t="n">
        <f aca="false">INDEX(SLA_Days_Col,MATCH(A428,ShipMode_Col,0))</f>
        <v>4</v>
      </c>
    </row>
    <row r="429" customFormat="false" ht="15" hidden="false" customHeight="false" outlineLevel="0" collapsed="false">
      <c r="A429" s="16" t="s">
        <v>98</v>
      </c>
      <c r="B429" s="16" t="s">
        <v>80</v>
      </c>
      <c r="C429" s="16" t="s">
        <v>51</v>
      </c>
      <c r="D429" s="16" t="s">
        <v>223</v>
      </c>
      <c r="E429" s="16" t="s">
        <v>112</v>
      </c>
      <c r="F429" s="16" t="n">
        <v>10801</v>
      </c>
      <c r="G429" s="16" t="s">
        <v>93</v>
      </c>
      <c r="H429" s="16" t="s">
        <v>71</v>
      </c>
      <c r="I429" s="16" t="s">
        <v>159</v>
      </c>
      <c r="J429" s="17" t="n">
        <v>69.99</v>
      </c>
      <c r="K429" s="16" t="n">
        <v>1</v>
      </c>
      <c r="L429" s="18" t="n">
        <v>0</v>
      </c>
      <c r="M429" s="19" t="n">
        <v>30.0957</v>
      </c>
      <c r="N429" s="16" t="str">
        <f aca="false">IF(M429&lt;0,"Loss",IF(M429&lt;50,"Low Profit",IF(M429&lt;200,"Medium Profit","High Profit")))</f>
        <v>Low Profit</v>
      </c>
      <c r="O429" s="16" t="str">
        <f aca="false">IF(J429&gt;=500,"High Value","Standard")</f>
        <v>Standard</v>
      </c>
      <c r="P429" s="16" t="str">
        <f aca="false">H429&amp;" &gt; "&amp;I429&amp;" ("&amp;K429&amp;" units)"</f>
        <v>Technology &gt; Machines (1 units)</v>
      </c>
      <c r="Q429" s="16" t="str">
        <f aca="false">VLOOKUP(G429,Region_Manager_Table,2,FALSE())</f>
        <v>Priya Menon</v>
      </c>
      <c r="R429" s="16" t="n">
        <f aca="false">INDEX(SLA_Days_Col,MATCH(A429,ShipMode_Col,0))</f>
        <v>2</v>
      </c>
    </row>
    <row r="430" customFormat="false" ht="15" hidden="false" customHeight="false" outlineLevel="0" collapsed="false">
      <c r="A430" s="10" t="s">
        <v>64</v>
      </c>
      <c r="B430" s="10" t="s">
        <v>58</v>
      </c>
      <c r="C430" s="10" t="s">
        <v>51</v>
      </c>
      <c r="D430" s="10" t="s">
        <v>158</v>
      </c>
      <c r="E430" s="10" t="s">
        <v>82</v>
      </c>
      <c r="F430" s="10" t="n">
        <v>78207</v>
      </c>
      <c r="G430" s="10" t="s">
        <v>83</v>
      </c>
      <c r="H430" s="10" t="s">
        <v>62</v>
      </c>
      <c r="I430" s="10" t="s">
        <v>70</v>
      </c>
      <c r="J430" s="13" t="n">
        <v>6.672</v>
      </c>
      <c r="K430" s="10" t="n">
        <v>6</v>
      </c>
      <c r="L430" s="14" t="n">
        <v>0.2</v>
      </c>
      <c r="M430" s="15" t="n">
        <v>0.5004</v>
      </c>
      <c r="N430" s="10" t="str">
        <f aca="false">IF(M430&lt;0,"Loss",IF(M430&lt;50,"Low Profit",IF(M430&lt;200,"Medium Profit","High Profit")))</f>
        <v>Low Profit</v>
      </c>
      <c r="O430" s="10" t="str">
        <f aca="false">IF(J430&gt;=500,"High Value","Standard")</f>
        <v>Standard</v>
      </c>
      <c r="P430" s="10" t="str">
        <f aca="false">H430&amp;" &gt; "&amp;I430&amp;" ("&amp;K430&amp;" units)"</f>
        <v>Office Supplies &gt; Art (6 units)</v>
      </c>
      <c r="Q430" s="10" t="str">
        <f aca="false">VLOOKUP(G430,Region_Manager_Table,2,FALSE())</f>
        <v>Aditya Rao</v>
      </c>
      <c r="R430" s="10" t="n">
        <f aca="false">INDEX(SLA_Days_Col,MATCH(A430,ShipMode_Col,0))</f>
        <v>6</v>
      </c>
    </row>
    <row r="431" customFormat="false" ht="15" hidden="false" customHeight="false" outlineLevel="0" collapsed="false">
      <c r="A431" s="16" t="s">
        <v>64</v>
      </c>
      <c r="B431" s="16" t="s">
        <v>80</v>
      </c>
      <c r="C431" s="16" t="s">
        <v>51</v>
      </c>
      <c r="D431" s="16" t="s">
        <v>224</v>
      </c>
      <c r="E431" s="16" t="s">
        <v>76</v>
      </c>
      <c r="F431" s="16" t="n">
        <v>28052</v>
      </c>
      <c r="G431" s="16" t="s">
        <v>54</v>
      </c>
      <c r="H431" s="16" t="s">
        <v>62</v>
      </c>
      <c r="I431" s="16" t="s">
        <v>73</v>
      </c>
      <c r="J431" s="17" t="n">
        <v>189.588</v>
      </c>
      <c r="K431" s="16" t="n">
        <v>2</v>
      </c>
      <c r="L431" s="18" t="n">
        <v>0.7</v>
      </c>
      <c r="M431" s="19" t="n">
        <v>-145.3508</v>
      </c>
      <c r="N431" s="16" t="str">
        <f aca="false">IF(M431&lt;0,"Loss",IF(M431&lt;50,"Low Profit",IF(M431&lt;200,"Medium Profit","High Profit")))</f>
        <v>Loss</v>
      </c>
      <c r="O431" s="16" t="str">
        <f aca="false">IF(J431&gt;=500,"High Value","Standard")</f>
        <v>Standard</v>
      </c>
      <c r="P431" s="16" t="str">
        <f aca="false">H431&amp;" &gt; "&amp;I431&amp;" ("&amp;K431&amp;" units)"</f>
        <v>Office Supplies &gt; Binders (2 units)</v>
      </c>
      <c r="Q431" s="16" t="str">
        <f aca="false">VLOOKUP(G431,Region_Manager_Table,2,FALSE())</f>
        <v>Karthik Iyer</v>
      </c>
      <c r="R431" s="16" t="n">
        <f aca="false">INDEX(SLA_Days_Col,MATCH(A431,ShipMode_Col,0))</f>
        <v>6</v>
      </c>
    </row>
    <row r="432" customFormat="false" ht="15" hidden="false" customHeight="false" outlineLevel="0" collapsed="false">
      <c r="A432" s="10" t="s">
        <v>64</v>
      </c>
      <c r="B432" s="10" t="s">
        <v>80</v>
      </c>
      <c r="C432" s="10" t="s">
        <v>51</v>
      </c>
      <c r="D432" s="10" t="s">
        <v>224</v>
      </c>
      <c r="E432" s="10" t="s">
        <v>76</v>
      </c>
      <c r="F432" s="10" t="n">
        <v>28052</v>
      </c>
      <c r="G432" s="10" t="s">
        <v>54</v>
      </c>
      <c r="H432" s="10" t="s">
        <v>71</v>
      </c>
      <c r="I432" s="10" t="s">
        <v>95</v>
      </c>
      <c r="J432" s="13" t="n">
        <v>408.744</v>
      </c>
      <c r="K432" s="10" t="n">
        <v>7</v>
      </c>
      <c r="L432" s="14" t="n">
        <v>0.2</v>
      </c>
      <c r="M432" s="15" t="n">
        <v>76.6395</v>
      </c>
      <c r="N432" s="10" t="str">
        <f aca="false">IF(M432&lt;0,"Loss",IF(M432&lt;50,"Low Profit",IF(M432&lt;200,"Medium Profit","High Profit")))</f>
        <v>Medium Profit</v>
      </c>
      <c r="O432" s="10" t="str">
        <f aca="false">IF(J432&gt;=500,"High Value","Standard")</f>
        <v>Standard</v>
      </c>
      <c r="P432" s="10" t="str">
        <f aca="false">H432&amp;" &gt; "&amp;I432&amp;" ("&amp;K432&amp;" units)"</f>
        <v>Technology &gt; Accessories (7 units)</v>
      </c>
      <c r="Q432" s="10" t="str">
        <f aca="false">VLOOKUP(G432,Region_Manager_Table,2,FALSE())</f>
        <v>Karthik Iyer</v>
      </c>
      <c r="R432" s="10" t="n">
        <f aca="false">INDEX(SLA_Days_Col,MATCH(A432,ShipMode_Col,0))</f>
        <v>6</v>
      </c>
    </row>
    <row r="433" customFormat="false" ht="15" hidden="false" customHeight="false" outlineLevel="0" collapsed="false">
      <c r="A433" s="16" t="s">
        <v>64</v>
      </c>
      <c r="B433" s="16" t="s">
        <v>80</v>
      </c>
      <c r="C433" s="16" t="s">
        <v>51</v>
      </c>
      <c r="D433" s="16" t="s">
        <v>224</v>
      </c>
      <c r="E433" s="16" t="s">
        <v>76</v>
      </c>
      <c r="F433" s="16" t="n">
        <v>28052</v>
      </c>
      <c r="G433" s="16" t="s">
        <v>54</v>
      </c>
      <c r="H433" s="16" t="s">
        <v>71</v>
      </c>
      <c r="I433" s="16" t="s">
        <v>95</v>
      </c>
      <c r="J433" s="17" t="n">
        <v>291.96</v>
      </c>
      <c r="K433" s="16" t="n">
        <v>5</v>
      </c>
      <c r="L433" s="18" t="n">
        <v>0.2</v>
      </c>
      <c r="M433" s="19" t="n">
        <v>54.7425</v>
      </c>
      <c r="N433" s="16" t="str">
        <f aca="false">IF(M433&lt;0,"Loss",IF(M433&lt;50,"Low Profit",IF(M433&lt;200,"Medium Profit","High Profit")))</f>
        <v>Medium Profit</v>
      </c>
      <c r="O433" s="16" t="str">
        <f aca="false">IF(J433&gt;=500,"High Value","Standard")</f>
        <v>Standard</v>
      </c>
      <c r="P433" s="16" t="str">
        <f aca="false">H433&amp;" &gt; "&amp;I433&amp;" ("&amp;K433&amp;" units)"</f>
        <v>Technology &gt; Accessories (5 units)</v>
      </c>
      <c r="Q433" s="16" t="str">
        <f aca="false">VLOOKUP(G433,Region_Manager_Table,2,FALSE())</f>
        <v>Karthik Iyer</v>
      </c>
      <c r="R433" s="16" t="n">
        <f aca="false">INDEX(SLA_Days_Col,MATCH(A433,ShipMode_Col,0))</f>
        <v>6</v>
      </c>
    </row>
    <row r="434" customFormat="false" ht="15" hidden="false" customHeight="false" outlineLevel="0" collapsed="false">
      <c r="A434" s="10" t="s">
        <v>64</v>
      </c>
      <c r="B434" s="10" t="s">
        <v>80</v>
      </c>
      <c r="C434" s="10" t="s">
        <v>51</v>
      </c>
      <c r="D434" s="10" t="s">
        <v>224</v>
      </c>
      <c r="E434" s="10" t="s">
        <v>76</v>
      </c>
      <c r="F434" s="10" t="n">
        <v>28052</v>
      </c>
      <c r="G434" s="10" t="s">
        <v>54</v>
      </c>
      <c r="H434" s="10" t="s">
        <v>62</v>
      </c>
      <c r="I434" s="10" t="s">
        <v>68</v>
      </c>
      <c r="J434" s="13" t="n">
        <v>4.768</v>
      </c>
      <c r="K434" s="10" t="n">
        <v>2</v>
      </c>
      <c r="L434" s="14" t="n">
        <v>0.2</v>
      </c>
      <c r="M434" s="15" t="n">
        <v>-0.7748</v>
      </c>
      <c r="N434" s="10" t="str">
        <f aca="false">IF(M434&lt;0,"Loss",IF(M434&lt;50,"Low Profit",IF(M434&lt;200,"Medium Profit","High Profit")))</f>
        <v>Loss</v>
      </c>
      <c r="O434" s="10" t="str">
        <f aca="false">IF(J434&gt;=500,"High Value","Standard")</f>
        <v>Standard</v>
      </c>
      <c r="P434" s="10" t="str">
        <f aca="false">H434&amp;" &gt; "&amp;I434&amp;" ("&amp;K434&amp;" units)"</f>
        <v>Office Supplies &gt; Storage (2 units)</v>
      </c>
      <c r="Q434" s="10" t="str">
        <f aca="false">VLOOKUP(G434,Region_Manager_Table,2,FALSE())</f>
        <v>Karthik Iyer</v>
      </c>
      <c r="R434" s="10" t="n">
        <f aca="false">INDEX(SLA_Days_Col,MATCH(A434,ShipMode_Col,0))</f>
        <v>6</v>
      </c>
    </row>
    <row r="435" customFormat="false" ht="15" hidden="false" customHeight="false" outlineLevel="0" collapsed="false">
      <c r="A435" s="16" t="s">
        <v>98</v>
      </c>
      <c r="B435" s="16" t="s">
        <v>50</v>
      </c>
      <c r="C435" s="16" t="s">
        <v>51</v>
      </c>
      <c r="D435" s="16" t="s">
        <v>201</v>
      </c>
      <c r="E435" s="16" t="s">
        <v>202</v>
      </c>
      <c r="F435" s="16" t="n">
        <v>1852</v>
      </c>
      <c r="G435" s="16" t="s">
        <v>93</v>
      </c>
      <c r="H435" s="16" t="s">
        <v>62</v>
      </c>
      <c r="I435" s="16" t="s">
        <v>68</v>
      </c>
      <c r="J435" s="17" t="n">
        <v>714.3</v>
      </c>
      <c r="K435" s="16" t="n">
        <v>5</v>
      </c>
      <c r="L435" s="18" t="n">
        <v>0</v>
      </c>
      <c r="M435" s="19" t="n">
        <v>207.147</v>
      </c>
      <c r="N435" s="16" t="str">
        <f aca="false">IF(M435&lt;0,"Loss",IF(M435&lt;50,"Low Profit",IF(M435&lt;200,"Medium Profit","High Profit")))</f>
        <v>High Profit</v>
      </c>
      <c r="O435" s="16" t="str">
        <f aca="false">IF(J435&gt;=500,"High Value","Standard")</f>
        <v>High Value</v>
      </c>
      <c r="P435" s="16" t="str">
        <f aca="false">H435&amp;" &gt; "&amp;I435&amp;" ("&amp;K435&amp;" units)"</f>
        <v>Office Supplies &gt; Storage (5 units)</v>
      </c>
      <c r="Q435" s="16" t="str">
        <f aca="false">VLOOKUP(G435,Region_Manager_Table,2,FALSE())</f>
        <v>Priya Menon</v>
      </c>
      <c r="R435" s="16" t="n">
        <f aca="false">INDEX(SLA_Days_Col,MATCH(A435,ShipMode_Col,0))</f>
        <v>2</v>
      </c>
    </row>
    <row r="436" customFormat="false" ht="15" hidden="false" customHeight="false" outlineLevel="0" collapsed="false">
      <c r="A436" s="10" t="s">
        <v>64</v>
      </c>
      <c r="B436" s="10" t="s">
        <v>50</v>
      </c>
      <c r="C436" s="10" t="s">
        <v>51</v>
      </c>
      <c r="D436" s="10" t="s">
        <v>225</v>
      </c>
      <c r="E436" s="10" t="s">
        <v>66</v>
      </c>
      <c r="F436" s="10" t="n">
        <v>32216</v>
      </c>
      <c r="G436" s="10" t="s">
        <v>54</v>
      </c>
      <c r="H436" s="10" t="s">
        <v>62</v>
      </c>
      <c r="I436" s="10" t="s">
        <v>73</v>
      </c>
      <c r="J436" s="13" t="n">
        <v>4.812</v>
      </c>
      <c r="K436" s="10" t="n">
        <v>2</v>
      </c>
      <c r="L436" s="14" t="n">
        <v>0.7</v>
      </c>
      <c r="M436" s="15" t="n">
        <v>-3.6892</v>
      </c>
      <c r="N436" s="10" t="str">
        <f aca="false">IF(M436&lt;0,"Loss",IF(M436&lt;50,"Low Profit",IF(M436&lt;200,"Medium Profit","High Profit")))</f>
        <v>Loss</v>
      </c>
      <c r="O436" s="10" t="str">
        <f aca="false">IF(J436&gt;=500,"High Value","Standard")</f>
        <v>Standard</v>
      </c>
      <c r="P436" s="10" t="str">
        <f aca="false">H436&amp;" &gt; "&amp;I436&amp;" ("&amp;K436&amp;" units)"</f>
        <v>Office Supplies &gt; Binders (2 units)</v>
      </c>
      <c r="Q436" s="10" t="str">
        <f aca="false">VLOOKUP(G436,Region_Manager_Table,2,FALSE())</f>
        <v>Karthik Iyer</v>
      </c>
      <c r="R436" s="10" t="n">
        <f aca="false">INDEX(SLA_Days_Col,MATCH(A436,ShipMode_Col,0))</f>
        <v>6</v>
      </c>
    </row>
    <row r="437" customFormat="false" ht="15" hidden="false" customHeight="false" outlineLevel="0" collapsed="false">
      <c r="A437" s="16" t="s">
        <v>64</v>
      </c>
      <c r="B437" s="16" t="s">
        <v>50</v>
      </c>
      <c r="C437" s="16" t="s">
        <v>51</v>
      </c>
      <c r="D437" s="16" t="s">
        <v>225</v>
      </c>
      <c r="E437" s="16" t="s">
        <v>66</v>
      </c>
      <c r="F437" s="16" t="n">
        <v>32216</v>
      </c>
      <c r="G437" s="16" t="s">
        <v>54</v>
      </c>
      <c r="H437" s="16" t="s">
        <v>71</v>
      </c>
      <c r="I437" s="16" t="s">
        <v>95</v>
      </c>
      <c r="J437" s="17" t="n">
        <v>247.8</v>
      </c>
      <c r="K437" s="16" t="n">
        <v>5</v>
      </c>
      <c r="L437" s="18" t="n">
        <v>0.2</v>
      </c>
      <c r="M437" s="19" t="n">
        <v>-18.585</v>
      </c>
      <c r="N437" s="16" t="str">
        <f aca="false">IF(M437&lt;0,"Loss",IF(M437&lt;50,"Low Profit",IF(M437&lt;200,"Medium Profit","High Profit")))</f>
        <v>Loss</v>
      </c>
      <c r="O437" s="16" t="str">
        <f aca="false">IF(J437&gt;=500,"High Value","Standard")</f>
        <v>Standard</v>
      </c>
      <c r="P437" s="16" t="str">
        <f aca="false">H437&amp;" &gt; "&amp;I437&amp;" ("&amp;K437&amp;" units)"</f>
        <v>Technology &gt; Accessories (5 units)</v>
      </c>
      <c r="Q437" s="16" t="str">
        <f aca="false">VLOOKUP(G437,Region_Manager_Table,2,FALSE())</f>
        <v>Karthik Iyer</v>
      </c>
      <c r="R437" s="16" t="n">
        <f aca="false">INDEX(SLA_Days_Col,MATCH(A437,ShipMode_Col,0))</f>
        <v>6</v>
      </c>
    </row>
    <row r="438" customFormat="false" ht="15" hidden="false" customHeight="false" outlineLevel="0" collapsed="false">
      <c r="A438" s="10" t="s">
        <v>49</v>
      </c>
      <c r="B438" s="10" t="s">
        <v>80</v>
      </c>
      <c r="C438" s="10" t="s">
        <v>51</v>
      </c>
      <c r="D438" s="10" t="s">
        <v>115</v>
      </c>
      <c r="E438" s="10" t="s">
        <v>101</v>
      </c>
      <c r="F438" s="10" t="n">
        <v>60623</v>
      </c>
      <c r="G438" s="10" t="s">
        <v>83</v>
      </c>
      <c r="H438" s="10" t="s">
        <v>71</v>
      </c>
      <c r="I438" s="10" t="s">
        <v>159</v>
      </c>
      <c r="J438" s="13" t="n">
        <v>1007.979</v>
      </c>
      <c r="K438" s="10" t="n">
        <v>3</v>
      </c>
      <c r="L438" s="14" t="n">
        <v>0.3</v>
      </c>
      <c r="M438" s="15" t="n">
        <v>43.1991</v>
      </c>
      <c r="N438" s="10" t="str">
        <f aca="false">IF(M438&lt;0,"Loss",IF(M438&lt;50,"Low Profit",IF(M438&lt;200,"Medium Profit","High Profit")))</f>
        <v>Low Profit</v>
      </c>
      <c r="O438" s="10" t="str">
        <f aca="false">IF(J438&gt;=500,"High Value","Standard")</f>
        <v>High Value</v>
      </c>
      <c r="P438" s="10" t="str">
        <f aca="false">H438&amp;" &gt; "&amp;I438&amp;" ("&amp;K438&amp;" units)"</f>
        <v>Technology &gt; Machines (3 units)</v>
      </c>
      <c r="Q438" s="10" t="str">
        <f aca="false">VLOOKUP(G438,Region_Manager_Table,2,FALSE())</f>
        <v>Aditya Rao</v>
      </c>
      <c r="R438" s="10" t="n">
        <f aca="false">INDEX(SLA_Days_Col,MATCH(A438,ShipMode_Col,0))</f>
        <v>4</v>
      </c>
    </row>
    <row r="439" customFormat="false" ht="15" hidden="false" customHeight="false" outlineLevel="0" collapsed="false">
      <c r="A439" s="16" t="s">
        <v>49</v>
      </c>
      <c r="B439" s="16" t="s">
        <v>80</v>
      </c>
      <c r="C439" s="16" t="s">
        <v>51</v>
      </c>
      <c r="D439" s="16" t="s">
        <v>115</v>
      </c>
      <c r="E439" s="16" t="s">
        <v>101</v>
      </c>
      <c r="F439" s="16" t="n">
        <v>60623</v>
      </c>
      <c r="G439" s="16" t="s">
        <v>83</v>
      </c>
      <c r="H439" s="16" t="s">
        <v>62</v>
      </c>
      <c r="I439" s="16" t="s">
        <v>77</v>
      </c>
      <c r="J439" s="17" t="n">
        <v>313.488</v>
      </c>
      <c r="K439" s="16" t="n">
        <v>7</v>
      </c>
      <c r="L439" s="18" t="n">
        <v>0.2</v>
      </c>
      <c r="M439" s="19" t="n">
        <v>113.6394</v>
      </c>
      <c r="N439" s="16" t="str">
        <f aca="false">IF(M439&lt;0,"Loss",IF(M439&lt;50,"Low Profit",IF(M439&lt;200,"Medium Profit","High Profit")))</f>
        <v>Medium Profit</v>
      </c>
      <c r="O439" s="16" t="str">
        <f aca="false">IF(J439&gt;=500,"High Value","Standard")</f>
        <v>Standard</v>
      </c>
      <c r="P439" s="16" t="str">
        <f aca="false">H439&amp;" &gt; "&amp;I439&amp;" ("&amp;K439&amp;" units)"</f>
        <v>Office Supplies &gt; Paper (7 units)</v>
      </c>
      <c r="Q439" s="16" t="str">
        <f aca="false">VLOOKUP(G439,Region_Manager_Table,2,FALSE())</f>
        <v>Aditya Rao</v>
      </c>
      <c r="R439" s="16" t="n">
        <f aca="false">INDEX(SLA_Days_Col,MATCH(A439,ShipMode_Col,0))</f>
        <v>4</v>
      </c>
    </row>
    <row r="440" customFormat="false" ht="15" hidden="false" customHeight="false" outlineLevel="0" collapsed="false">
      <c r="A440" s="10" t="s">
        <v>64</v>
      </c>
      <c r="B440" s="10" t="s">
        <v>58</v>
      </c>
      <c r="C440" s="10" t="s">
        <v>51</v>
      </c>
      <c r="D440" s="10" t="s">
        <v>97</v>
      </c>
      <c r="E440" s="10" t="s">
        <v>82</v>
      </c>
      <c r="F440" s="10" t="n">
        <v>77070</v>
      </c>
      <c r="G440" s="10" t="s">
        <v>83</v>
      </c>
      <c r="H440" s="10" t="s">
        <v>62</v>
      </c>
      <c r="I440" s="10" t="s">
        <v>77</v>
      </c>
      <c r="J440" s="13" t="n">
        <v>31.872</v>
      </c>
      <c r="K440" s="10" t="n">
        <v>8</v>
      </c>
      <c r="L440" s="14" t="n">
        <v>0.2</v>
      </c>
      <c r="M440" s="15" t="n">
        <v>11.5536</v>
      </c>
      <c r="N440" s="10" t="str">
        <f aca="false">IF(M440&lt;0,"Loss",IF(M440&lt;50,"Low Profit",IF(M440&lt;200,"Medium Profit","High Profit")))</f>
        <v>Low Profit</v>
      </c>
      <c r="O440" s="10" t="str">
        <f aca="false">IF(J440&gt;=500,"High Value","Standard")</f>
        <v>Standard</v>
      </c>
      <c r="P440" s="10" t="str">
        <f aca="false">H440&amp;" &gt; "&amp;I440&amp;" ("&amp;K440&amp;" units)"</f>
        <v>Office Supplies &gt; Paper (8 units)</v>
      </c>
      <c r="Q440" s="10" t="str">
        <f aca="false">VLOOKUP(G440,Region_Manager_Table,2,FALSE())</f>
        <v>Aditya Rao</v>
      </c>
      <c r="R440" s="10" t="n">
        <f aca="false">INDEX(SLA_Days_Col,MATCH(A440,ShipMode_Col,0))</f>
        <v>6</v>
      </c>
    </row>
    <row r="441" customFormat="false" ht="15" hidden="false" customHeight="false" outlineLevel="0" collapsed="false">
      <c r="A441" s="16" t="s">
        <v>49</v>
      </c>
      <c r="B441" s="16" t="s">
        <v>58</v>
      </c>
      <c r="C441" s="16" t="s">
        <v>51</v>
      </c>
      <c r="D441" s="16" t="s">
        <v>111</v>
      </c>
      <c r="E441" s="16" t="s">
        <v>112</v>
      </c>
      <c r="F441" s="16" t="n">
        <v>10024</v>
      </c>
      <c r="G441" s="16" t="s">
        <v>93</v>
      </c>
      <c r="H441" s="16" t="s">
        <v>55</v>
      </c>
      <c r="I441" s="16" t="s">
        <v>57</v>
      </c>
      <c r="J441" s="17" t="n">
        <v>207.846</v>
      </c>
      <c r="K441" s="16" t="n">
        <v>3</v>
      </c>
      <c r="L441" s="18" t="n">
        <v>0.1</v>
      </c>
      <c r="M441" s="19" t="n">
        <v>2.3094</v>
      </c>
      <c r="N441" s="16" t="str">
        <f aca="false">IF(M441&lt;0,"Loss",IF(M441&lt;50,"Low Profit",IF(M441&lt;200,"Medium Profit","High Profit")))</f>
        <v>Low Profit</v>
      </c>
      <c r="O441" s="16" t="str">
        <f aca="false">IF(J441&gt;=500,"High Value","Standard")</f>
        <v>Standard</v>
      </c>
      <c r="P441" s="16" t="str">
        <f aca="false">H441&amp;" &gt; "&amp;I441&amp;" ("&amp;K441&amp;" units)"</f>
        <v>Furniture &gt; Chairs (3 units)</v>
      </c>
      <c r="Q441" s="16" t="str">
        <f aca="false">VLOOKUP(G441,Region_Manager_Table,2,FALSE())</f>
        <v>Priya Menon</v>
      </c>
      <c r="R441" s="16" t="n">
        <f aca="false">INDEX(SLA_Days_Col,MATCH(A441,ShipMode_Col,0))</f>
        <v>4</v>
      </c>
    </row>
    <row r="442" customFormat="false" ht="15" hidden="false" customHeight="false" outlineLevel="0" collapsed="false">
      <c r="A442" s="10" t="s">
        <v>49</v>
      </c>
      <c r="B442" s="10" t="s">
        <v>50</v>
      </c>
      <c r="C442" s="10" t="s">
        <v>51</v>
      </c>
      <c r="D442" s="10" t="s">
        <v>176</v>
      </c>
      <c r="E442" s="10" t="s">
        <v>106</v>
      </c>
      <c r="F442" s="10" t="n">
        <v>48227</v>
      </c>
      <c r="G442" s="10" t="s">
        <v>83</v>
      </c>
      <c r="H442" s="10" t="s">
        <v>55</v>
      </c>
      <c r="I442" s="10" t="s">
        <v>69</v>
      </c>
      <c r="J442" s="13" t="n">
        <v>12.22</v>
      </c>
      <c r="K442" s="10" t="n">
        <v>1</v>
      </c>
      <c r="L442" s="14" t="n">
        <v>0</v>
      </c>
      <c r="M442" s="15" t="n">
        <v>3.666</v>
      </c>
      <c r="N442" s="10" t="str">
        <f aca="false">IF(M442&lt;0,"Loss",IF(M442&lt;50,"Low Profit",IF(M442&lt;200,"Medium Profit","High Profit")))</f>
        <v>Low Profit</v>
      </c>
      <c r="O442" s="10" t="str">
        <f aca="false">IF(J442&gt;=500,"High Value","Standard")</f>
        <v>Standard</v>
      </c>
      <c r="P442" s="10" t="str">
        <f aca="false">H442&amp;" &gt; "&amp;I442&amp;" ("&amp;K442&amp;" units)"</f>
        <v>Furniture &gt; Furnishings (1 units)</v>
      </c>
      <c r="Q442" s="10" t="str">
        <f aca="false">VLOOKUP(G442,Region_Manager_Table,2,FALSE())</f>
        <v>Aditya Rao</v>
      </c>
      <c r="R442" s="10" t="n">
        <f aca="false">INDEX(SLA_Days_Col,MATCH(A442,ShipMode_Col,0))</f>
        <v>4</v>
      </c>
    </row>
    <row r="443" customFormat="false" ht="15" hidden="false" customHeight="false" outlineLevel="0" collapsed="false">
      <c r="A443" s="16" t="s">
        <v>49</v>
      </c>
      <c r="B443" s="16" t="s">
        <v>50</v>
      </c>
      <c r="C443" s="16" t="s">
        <v>51</v>
      </c>
      <c r="D443" s="16" t="s">
        <v>176</v>
      </c>
      <c r="E443" s="16" t="s">
        <v>106</v>
      </c>
      <c r="F443" s="16" t="n">
        <v>48227</v>
      </c>
      <c r="G443" s="16" t="s">
        <v>83</v>
      </c>
      <c r="H443" s="16" t="s">
        <v>62</v>
      </c>
      <c r="I443" s="16" t="s">
        <v>68</v>
      </c>
      <c r="J443" s="17" t="n">
        <v>194.94</v>
      </c>
      <c r="K443" s="16" t="n">
        <v>3</v>
      </c>
      <c r="L443" s="18" t="n">
        <v>0</v>
      </c>
      <c r="M443" s="19" t="n">
        <v>23.3928</v>
      </c>
      <c r="N443" s="16" t="str">
        <f aca="false">IF(M443&lt;0,"Loss",IF(M443&lt;50,"Low Profit",IF(M443&lt;200,"Medium Profit","High Profit")))</f>
        <v>Low Profit</v>
      </c>
      <c r="O443" s="16" t="str">
        <f aca="false">IF(J443&gt;=500,"High Value","Standard")</f>
        <v>Standard</v>
      </c>
      <c r="P443" s="16" t="str">
        <f aca="false">H443&amp;" &gt; "&amp;I443&amp;" ("&amp;K443&amp;" units)"</f>
        <v>Office Supplies &gt; Storage (3 units)</v>
      </c>
      <c r="Q443" s="16" t="str">
        <f aca="false">VLOOKUP(G443,Region_Manager_Table,2,FALSE())</f>
        <v>Aditya Rao</v>
      </c>
      <c r="R443" s="16" t="n">
        <f aca="false">INDEX(SLA_Days_Col,MATCH(A443,ShipMode_Col,0))</f>
        <v>4</v>
      </c>
    </row>
    <row r="444" customFormat="false" ht="15" hidden="false" customHeight="false" outlineLevel="0" collapsed="false">
      <c r="A444" s="10" t="s">
        <v>49</v>
      </c>
      <c r="B444" s="10" t="s">
        <v>50</v>
      </c>
      <c r="C444" s="10" t="s">
        <v>51</v>
      </c>
      <c r="D444" s="10" t="s">
        <v>176</v>
      </c>
      <c r="E444" s="10" t="s">
        <v>106</v>
      </c>
      <c r="F444" s="10" t="n">
        <v>48227</v>
      </c>
      <c r="G444" s="10" t="s">
        <v>83</v>
      </c>
      <c r="H444" s="10" t="s">
        <v>62</v>
      </c>
      <c r="I444" s="10" t="s">
        <v>68</v>
      </c>
      <c r="J444" s="13" t="n">
        <v>70.95</v>
      </c>
      <c r="K444" s="10" t="n">
        <v>3</v>
      </c>
      <c r="L444" s="14" t="n">
        <v>0</v>
      </c>
      <c r="M444" s="15" t="n">
        <v>20.5755</v>
      </c>
      <c r="N444" s="10" t="str">
        <f aca="false">IF(M444&lt;0,"Loss",IF(M444&lt;50,"Low Profit",IF(M444&lt;200,"Medium Profit","High Profit")))</f>
        <v>Low Profit</v>
      </c>
      <c r="O444" s="10" t="str">
        <f aca="false">IF(J444&gt;=500,"High Value","Standard")</f>
        <v>Standard</v>
      </c>
      <c r="P444" s="10" t="str">
        <f aca="false">H444&amp;" &gt; "&amp;I444&amp;" ("&amp;K444&amp;" units)"</f>
        <v>Office Supplies &gt; Storage (3 units)</v>
      </c>
      <c r="Q444" s="10" t="str">
        <f aca="false">VLOOKUP(G444,Region_Manager_Table,2,FALSE())</f>
        <v>Aditya Rao</v>
      </c>
      <c r="R444" s="10" t="n">
        <f aca="false">INDEX(SLA_Days_Col,MATCH(A444,ShipMode_Col,0))</f>
        <v>4</v>
      </c>
    </row>
    <row r="445" customFormat="false" ht="15" hidden="false" customHeight="false" outlineLevel="0" collapsed="false">
      <c r="A445" s="16" t="s">
        <v>49</v>
      </c>
      <c r="B445" s="16" t="s">
        <v>50</v>
      </c>
      <c r="C445" s="16" t="s">
        <v>51</v>
      </c>
      <c r="D445" s="16" t="s">
        <v>176</v>
      </c>
      <c r="E445" s="16" t="s">
        <v>106</v>
      </c>
      <c r="F445" s="16" t="n">
        <v>48227</v>
      </c>
      <c r="G445" s="16" t="s">
        <v>83</v>
      </c>
      <c r="H445" s="16" t="s">
        <v>62</v>
      </c>
      <c r="I445" s="16" t="s">
        <v>77</v>
      </c>
      <c r="J445" s="17" t="n">
        <v>91.36</v>
      </c>
      <c r="K445" s="16" t="n">
        <v>4</v>
      </c>
      <c r="L445" s="18" t="n">
        <v>0</v>
      </c>
      <c r="M445" s="19" t="n">
        <v>42.0256</v>
      </c>
      <c r="N445" s="16" t="str">
        <f aca="false">IF(M445&lt;0,"Loss",IF(M445&lt;50,"Low Profit",IF(M445&lt;200,"Medium Profit","High Profit")))</f>
        <v>Low Profit</v>
      </c>
      <c r="O445" s="16" t="str">
        <f aca="false">IF(J445&gt;=500,"High Value","Standard")</f>
        <v>Standard</v>
      </c>
      <c r="P445" s="16" t="str">
        <f aca="false">H445&amp;" &gt; "&amp;I445&amp;" ("&amp;K445&amp;" units)"</f>
        <v>Office Supplies &gt; Paper (4 units)</v>
      </c>
      <c r="Q445" s="16" t="str">
        <f aca="false">VLOOKUP(G445,Region_Manager_Table,2,FALSE())</f>
        <v>Aditya Rao</v>
      </c>
      <c r="R445" s="16" t="n">
        <f aca="false">INDEX(SLA_Days_Col,MATCH(A445,ShipMode_Col,0))</f>
        <v>4</v>
      </c>
    </row>
    <row r="446" customFormat="false" ht="15" hidden="false" customHeight="false" outlineLevel="0" collapsed="false">
      <c r="A446" s="10" t="s">
        <v>49</v>
      </c>
      <c r="B446" s="10" t="s">
        <v>50</v>
      </c>
      <c r="C446" s="10" t="s">
        <v>51</v>
      </c>
      <c r="D446" s="10" t="s">
        <v>176</v>
      </c>
      <c r="E446" s="10" t="s">
        <v>106</v>
      </c>
      <c r="F446" s="10" t="n">
        <v>48227</v>
      </c>
      <c r="G446" s="10" t="s">
        <v>83</v>
      </c>
      <c r="H446" s="10" t="s">
        <v>55</v>
      </c>
      <c r="I446" s="10" t="s">
        <v>57</v>
      </c>
      <c r="J446" s="13" t="n">
        <v>242.94</v>
      </c>
      <c r="K446" s="10" t="n">
        <v>3</v>
      </c>
      <c r="L446" s="14" t="n">
        <v>0</v>
      </c>
      <c r="M446" s="15" t="n">
        <v>29.1528</v>
      </c>
      <c r="N446" s="10" t="str">
        <f aca="false">IF(M446&lt;0,"Loss",IF(M446&lt;50,"Low Profit",IF(M446&lt;200,"Medium Profit","High Profit")))</f>
        <v>Low Profit</v>
      </c>
      <c r="O446" s="10" t="str">
        <f aca="false">IF(J446&gt;=500,"High Value","Standard")</f>
        <v>Standard</v>
      </c>
      <c r="P446" s="10" t="str">
        <f aca="false">H446&amp;" &gt; "&amp;I446&amp;" ("&amp;K446&amp;" units)"</f>
        <v>Furniture &gt; Chairs (3 units)</v>
      </c>
      <c r="Q446" s="10" t="str">
        <f aca="false">VLOOKUP(G446,Region_Manager_Table,2,FALSE())</f>
        <v>Aditya Rao</v>
      </c>
      <c r="R446" s="10" t="n">
        <f aca="false">INDEX(SLA_Days_Col,MATCH(A446,ShipMode_Col,0))</f>
        <v>4</v>
      </c>
    </row>
    <row r="447" customFormat="false" ht="15" hidden="false" customHeight="false" outlineLevel="0" collapsed="false">
      <c r="A447" s="16" t="s">
        <v>49</v>
      </c>
      <c r="B447" s="16" t="s">
        <v>50</v>
      </c>
      <c r="C447" s="16" t="s">
        <v>51</v>
      </c>
      <c r="D447" s="16" t="s">
        <v>176</v>
      </c>
      <c r="E447" s="16" t="s">
        <v>106</v>
      </c>
      <c r="F447" s="16" t="n">
        <v>48227</v>
      </c>
      <c r="G447" s="16" t="s">
        <v>83</v>
      </c>
      <c r="H447" s="16" t="s">
        <v>62</v>
      </c>
      <c r="I447" s="16" t="s">
        <v>63</v>
      </c>
      <c r="J447" s="17" t="n">
        <v>22.05</v>
      </c>
      <c r="K447" s="16" t="n">
        <v>7</v>
      </c>
      <c r="L447" s="18" t="n">
        <v>0</v>
      </c>
      <c r="M447" s="19" t="n">
        <v>10.584</v>
      </c>
      <c r="N447" s="16" t="str">
        <f aca="false">IF(M447&lt;0,"Loss",IF(M447&lt;50,"Low Profit",IF(M447&lt;200,"Medium Profit","High Profit")))</f>
        <v>Low Profit</v>
      </c>
      <c r="O447" s="16" t="str">
        <f aca="false">IF(J447&gt;=500,"High Value","Standard")</f>
        <v>Standard</v>
      </c>
      <c r="P447" s="16" t="str">
        <f aca="false">H447&amp;" &gt; "&amp;I447&amp;" ("&amp;K447&amp;" units)"</f>
        <v>Office Supplies &gt; Labels (7 units)</v>
      </c>
      <c r="Q447" s="16" t="str">
        <f aca="false">VLOOKUP(G447,Region_Manager_Table,2,FALSE())</f>
        <v>Aditya Rao</v>
      </c>
      <c r="R447" s="16" t="n">
        <f aca="false">INDEX(SLA_Days_Col,MATCH(A447,ShipMode_Col,0))</f>
        <v>4</v>
      </c>
    </row>
    <row r="448" customFormat="false" ht="15" hidden="false" customHeight="false" outlineLevel="0" collapsed="false">
      <c r="A448" s="10" t="s">
        <v>49</v>
      </c>
      <c r="B448" s="10" t="s">
        <v>50</v>
      </c>
      <c r="C448" s="10" t="s">
        <v>51</v>
      </c>
      <c r="D448" s="10" t="s">
        <v>139</v>
      </c>
      <c r="E448" s="10" t="s">
        <v>110</v>
      </c>
      <c r="F448" s="10" t="n">
        <v>47201</v>
      </c>
      <c r="G448" s="10" t="s">
        <v>83</v>
      </c>
      <c r="H448" s="10" t="s">
        <v>55</v>
      </c>
      <c r="I448" s="10" t="s">
        <v>69</v>
      </c>
      <c r="J448" s="13" t="n">
        <v>2.91</v>
      </c>
      <c r="K448" s="10" t="n">
        <v>1</v>
      </c>
      <c r="L448" s="14" t="n">
        <v>0</v>
      </c>
      <c r="M448" s="15" t="n">
        <v>1.3677</v>
      </c>
      <c r="N448" s="10" t="str">
        <f aca="false">IF(M448&lt;0,"Loss",IF(M448&lt;50,"Low Profit",IF(M448&lt;200,"Medium Profit","High Profit")))</f>
        <v>Low Profit</v>
      </c>
      <c r="O448" s="10" t="str">
        <f aca="false">IF(J448&gt;=500,"High Value","Standard")</f>
        <v>Standard</v>
      </c>
      <c r="P448" s="10" t="str">
        <f aca="false">H448&amp;" &gt; "&amp;I448&amp;" ("&amp;K448&amp;" units)"</f>
        <v>Furniture &gt; Furnishings (1 units)</v>
      </c>
      <c r="Q448" s="10" t="str">
        <f aca="false">VLOOKUP(G448,Region_Manager_Table,2,FALSE())</f>
        <v>Aditya Rao</v>
      </c>
      <c r="R448" s="10" t="n">
        <f aca="false">INDEX(SLA_Days_Col,MATCH(A448,ShipMode_Col,0))</f>
        <v>4</v>
      </c>
    </row>
    <row r="449" customFormat="false" ht="15" hidden="false" customHeight="false" outlineLevel="0" collapsed="false">
      <c r="A449" s="16" t="s">
        <v>49</v>
      </c>
      <c r="B449" s="16" t="s">
        <v>50</v>
      </c>
      <c r="C449" s="16" t="s">
        <v>51</v>
      </c>
      <c r="D449" s="16" t="s">
        <v>226</v>
      </c>
      <c r="E449" s="16" t="s">
        <v>112</v>
      </c>
      <c r="F449" s="16" t="n">
        <v>13021</v>
      </c>
      <c r="G449" s="16" t="s">
        <v>93</v>
      </c>
      <c r="H449" s="16" t="s">
        <v>62</v>
      </c>
      <c r="I449" s="16" t="s">
        <v>70</v>
      </c>
      <c r="J449" s="17" t="n">
        <v>59.52</v>
      </c>
      <c r="K449" s="16" t="n">
        <v>3</v>
      </c>
      <c r="L449" s="18" t="n">
        <v>0</v>
      </c>
      <c r="M449" s="19" t="n">
        <v>15.4752</v>
      </c>
      <c r="N449" s="16" t="str">
        <f aca="false">IF(M449&lt;0,"Loss",IF(M449&lt;50,"Low Profit",IF(M449&lt;200,"Medium Profit","High Profit")))</f>
        <v>Low Profit</v>
      </c>
      <c r="O449" s="16" t="str">
        <f aca="false">IF(J449&gt;=500,"High Value","Standard")</f>
        <v>Standard</v>
      </c>
      <c r="P449" s="16" t="str">
        <f aca="false">H449&amp;" &gt; "&amp;I449&amp;" ("&amp;K449&amp;" units)"</f>
        <v>Office Supplies &gt; Art (3 units)</v>
      </c>
      <c r="Q449" s="16" t="str">
        <f aca="false">VLOOKUP(G449,Region_Manager_Table,2,FALSE())</f>
        <v>Priya Menon</v>
      </c>
      <c r="R449" s="16" t="n">
        <f aca="false">INDEX(SLA_Days_Col,MATCH(A449,ShipMode_Col,0))</f>
        <v>4</v>
      </c>
    </row>
    <row r="450" customFormat="false" ht="15" hidden="false" customHeight="false" outlineLevel="0" collapsed="false">
      <c r="A450" s="10" t="s">
        <v>49</v>
      </c>
      <c r="B450" s="10" t="s">
        <v>50</v>
      </c>
      <c r="C450" s="10" t="s">
        <v>51</v>
      </c>
      <c r="D450" s="10" t="s">
        <v>226</v>
      </c>
      <c r="E450" s="10" t="s">
        <v>112</v>
      </c>
      <c r="F450" s="10" t="n">
        <v>13021</v>
      </c>
      <c r="G450" s="10" t="s">
        <v>93</v>
      </c>
      <c r="H450" s="10" t="s">
        <v>62</v>
      </c>
      <c r="I450" s="10" t="s">
        <v>68</v>
      </c>
      <c r="J450" s="13" t="n">
        <v>161.94</v>
      </c>
      <c r="K450" s="10" t="n">
        <v>3</v>
      </c>
      <c r="L450" s="14" t="n">
        <v>0</v>
      </c>
      <c r="M450" s="15" t="n">
        <v>9.7164</v>
      </c>
      <c r="N450" s="10" t="str">
        <f aca="false">IF(M450&lt;0,"Loss",IF(M450&lt;50,"Low Profit",IF(M450&lt;200,"Medium Profit","High Profit")))</f>
        <v>Low Profit</v>
      </c>
      <c r="O450" s="10" t="str">
        <f aca="false">IF(J450&gt;=500,"High Value","Standard")</f>
        <v>Standard</v>
      </c>
      <c r="P450" s="10" t="str">
        <f aca="false">H450&amp;" &gt; "&amp;I450&amp;" ("&amp;K450&amp;" units)"</f>
        <v>Office Supplies &gt; Storage (3 units)</v>
      </c>
      <c r="Q450" s="10" t="str">
        <f aca="false">VLOOKUP(G450,Region_Manager_Table,2,FALSE())</f>
        <v>Priya Menon</v>
      </c>
      <c r="R450" s="10" t="n">
        <f aca="false">INDEX(SLA_Days_Col,MATCH(A450,ShipMode_Col,0))</f>
        <v>4</v>
      </c>
    </row>
    <row r="451" customFormat="false" ht="15" hidden="false" customHeight="false" outlineLevel="0" collapsed="false">
      <c r="A451" s="16" t="s">
        <v>49</v>
      </c>
      <c r="B451" s="16" t="s">
        <v>50</v>
      </c>
      <c r="C451" s="16" t="s">
        <v>51</v>
      </c>
      <c r="D451" s="16" t="s">
        <v>226</v>
      </c>
      <c r="E451" s="16" t="s">
        <v>112</v>
      </c>
      <c r="F451" s="16" t="n">
        <v>13021</v>
      </c>
      <c r="G451" s="16" t="s">
        <v>93</v>
      </c>
      <c r="H451" s="16" t="s">
        <v>62</v>
      </c>
      <c r="I451" s="16" t="s">
        <v>70</v>
      </c>
      <c r="J451" s="17" t="n">
        <v>263.88</v>
      </c>
      <c r="K451" s="16" t="n">
        <v>6</v>
      </c>
      <c r="L451" s="18" t="n">
        <v>0</v>
      </c>
      <c r="M451" s="19" t="n">
        <v>71.2476</v>
      </c>
      <c r="N451" s="16" t="str">
        <f aca="false">IF(M451&lt;0,"Loss",IF(M451&lt;50,"Low Profit",IF(M451&lt;200,"Medium Profit","High Profit")))</f>
        <v>Medium Profit</v>
      </c>
      <c r="O451" s="16" t="str">
        <f aca="false">IF(J451&gt;=500,"High Value","Standard")</f>
        <v>Standard</v>
      </c>
      <c r="P451" s="16" t="str">
        <f aca="false">H451&amp;" &gt; "&amp;I451&amp;" ("&amp;K451&amp;" units)"</f>
        <v>Office Supplies &gt; Art (6 units)</v>
      </c>
      <c r="Q451" s="16" t="str">
        <f aca="false">VLOOKUP(G451,Region_Manager_Table,2,FALSE())</f>
        <v>Priya Menon</v>
      </c>
      <c r="R451" s="16" t="n">
        <f aca="false">INDEX(SLA_Days_Col,MATCH(A451,ShipMode_Col,0))</f>
        <v>4</v>
      </c>
    </row>
    <row r="452" customFormat="false" ht="15" hidden="false" customHeight="false" outlineLevel="0" collapsed="false">
      <c r="A452" s="10" t="s">
        <v>49</v>
      </c>
      <c r="B452" s="10" t="s">
        <v>50</v>
      </c>
      <c r="C452" s="10" t="s">
        <v>51</v>
      </c>
      <c r="D452" s="10" t="s">
        <v>226</v>
      </c>
      <c r="E452" s="10" t="s">
        <v>112</v>
      </c>
      <c r="F452" s="10" t="n">
        <v>13021</v>
      </c>
      <c r="G452" s="10" t="s">
        <v>93</v>
      </c>
      <c r="H452" s="10" t="s">
        <v>62</v>
      </c>
      <c r="I452" s="10" t="s">
        <v>70</v>
      </c>
      <c r="J452" s="13" t="n">
        <v>30.48</v>
      </c>
      <c r="K452" s="10" t="n">
        <v>3</v>
      </c>
      <c r="L452" s="14" t="n">
        <v>0</v>
      </c>
      <c r="M452" s="15" t="n">
        <v>7.9248</v>
      </c>
      <c r="N452" s="10" t="str">
        <f aca="false">IF(M452&lt;0,"Loss",IF(M452&lt;50,"Low Profit",IF(M452&lt;200,"Medium Profit","High Profit")))</f>
        <v>Low Profit</v>
      </c>
      <c r="O452" s="10" t="str">
        <f aca="false">IF(J452&gt;=500,"High Value","Standard")</f>
        <v>Standard</v>
      </c>
      <c r="P452" s="10" t="str">
        <f aca="false">H452&amp;" &gt; "&amp;I452&amp;" ("&amp;K452&amp;" units)"</f>
        <v>Office Supplies &gt; Art (3 units)</v>
      </c>
      <c r="Q452" s="10" t="str">
        <f aca="false">VLOOKUP(G452,Region_Manager_Table,2,FALSE())</f>
        <v>Priya Menon</v>
      </c>
      <c r="R452" s="10" t="n">
        <f aca="false">INDEX(SLA_Days_Col,MATCH(A452,ShipMode_Col,0))</f>
        <v>4</v>
      </c>
    </row>
    <row r="453" customFormat="false" ht="15" hidden="false" customHeight="false" outlineLevel="0" collapsed="false">
      <c r="A453" s="16" t="s">
        <v>49</v>
      </c>
      <c r="B453" s="16" t="s">
        <v>50</v>
      </c>
      <c r="C453" s="16" t="s">
        <v>51</v>
      </c>
      <c r="D453" s="16" t="s">
        <v>226</v>
      </c>
      <c r="E453" s="16" t="s">
        <v>112</v>
      </c>
      <c r="F453" s="16" t="n">
        <v>13021</v>
      </c>
      <c r="G453" s="16" t="s">
        <v>93</v>
      </c>
      <c r="H453" s="16" t="s">
        <v>62</v>
      </c>
      <c r="I453" s="16" t="s">
        <v>70</v>
      </c>
      <c r="J453" s="17" t="n">
        <v>9.84</v>
      </c>
      <c r="K453" s="16" t="n">
        <v>3</v>
      </c>
      <c r="L453" s="18" t="n">
        <v>0</v>
      </c>
      <c r="M453" s="19" t="n">
        <v>2.8536</v>
      </c>
      <c r="N453" s="16" t="str">
        <f aca="false">IF(M453&lt;0,"Loss",IF(M453&lt;50,"Low Profit",IF(M453&lt;200,"Medium Profit","High Profit")))</f>
        <v>Low Profit</v>
      </c>
      <c r="O453" s="16" t="str">
        <f aca="false">IF(J453&gt;=500,"High Value","Standard")</f>
        <v>Standard</v>
      </c>
      <c r="P453" s="16" t="str">
        <f aca="false">H453&amp;" &gt; "&amp;I453&amp;" ("&amp;K453&amp;" units)"</f>
        <v>Office Supplies &gt; Art (3 units)</v>
      </c>
      <c r="Q453" s="16" t="str">
        <f aca="false">VLOOKUP(G453,Region_Manager_Table,2,FALSE())</f>
        <v>Priya Menon</v>
      </c>
      <c r="R453" s="16" t="n">
        <f aca="false">INDEX(SLA_Days_Col,MATCH(A453,ShipMode_Col,0))</f>
        <v>4</v>
      </c>
    </row>
    <row r="454" customFormat="false" ht="15" hidden="false" customHeight="false" outlineLevel="0" collapsed="false">
      <c r="A454" s="10" t="s">
        <v>49</v>
      </c>
      <c r="B454" s="10" t="s">
        <v>50</v>
      </c>
      <c r="C454" s="10" t="s">
        <v>51</v>
      </c>
      <c r="D454" s="10" t="s">
        <v>226</v>
      </c>
      <c r="E454" s="10" t="s">
        <v>112</v>
      </c>
      <c r="F454" s="10" t="n">
        <v>13021</v>
      </c>
      <c r="G454" s="10" t="s">
        <v>93</v>
      </c>
      <c r="H454" s="10" t="s">
        <v>71</v>
      </c>
      <c r="I454" s="10" t="s">
        <v>72</v>
      </c>
      <c r="J454" s="13" t="n">
        <v>35.12</v>
      </c>
      <c r="K454" s="10" t="n">
        <v>4</v>
      </c>
      <c r="L454" s="14" t="n">
        <v>0</v>
      </c>
      <c r="M454" s="15" t="n">
        <v>9.1312</v>
      </c>
      <c r="N454" s="10" t="str">
        <f aca="false">IF(M454&lt;0,"Loss",IF(M454&lt;50,"Low Profit",IF(M454&lt;200,"Medium Profit","High Profit")))</f>
        <v>Low Profit</v>
      </c>
      <c r="O454" s="10" t="str">
        <f aca="false">IF(J454&gt;=500,"High Value","Standard")</f>
        <v>Standard</v>
      </c>
      <c r="P454" s="10" t="str">
        <f aca="false">H454&amp;" &gt; "&amp;I454&amp;" ("&amp;K454&amp;" units)"</f>
        <v>Technology &gt; Phones (4 units)</v>
      </c>
      <c r="Q454" s="10" t="str">
        <f aca="false">VLOOKUP(G454,Region_Manager_Table,2,FALSE())</f>
        <v>Priya Menon</v>
      </c>
      <c r="R454" s="10" t="n">
        <f aca="false">INDEX(SLA_Days_Col,MATCH(A454,ShipMode_Col,0))</f>
        <v>4</v>
      </c>
    </row>
    <row r="455" customFormat="false" ht="15" hidden="false" customHeight="false" outlineLevel="0" collapsed="false">
      <c r="A455" s="16" t="s">
        <v>64</v>
      </c>
      <c r="B455" s="16" t="s">
        <v>58</v>
      </c>
      <c r="C455" s="16" t="s">
        <v>51</v>
      </c>
      <c r="D455" s="16" t="s">
        <v>169</v>
      </c>
      <c r="E455" s="16" t="s">
        <v>140</v>
      </c>
      <c r="F455" s="16" t="n">
        <v>44312</v>
      </c>
      <c r="G455" s="16" t="s">
        <v>93</v>
      </c>
      <c r="H455" s="16" t="s">
        <v>55</v>
      </c>
      <c r="I455" s="16" t="s">
        <v>67</v>
      </c>
      <c r="J455" s="17" t="n">
        <v>284.364</v>
      </c>
      <c r="K455" s="16" t="n">
        <v>2</v>
      </c>
      <c r="L455" s="18" t="n">
        <v>0.4</v>
      </c>
      <c r="M455" s="19" t="n">
        <v>-75.8304</v>
      </c>
      <c r="N455" s="16" t="str">
        <f aca="false">IF(M455&lt;0,"Loss",IF(M455&lt;50,"Low Profit",IF(M455&lt;200,"Medium Profit","High Profit")))</f>
        <v>Loss</v>
      </c>
      <c r="O455" s="16" t="str">
        <f aca="false">IF(J455&gt;=500,"High Value","Standard")</f>
        <v>Standard</v>
      </c>
      <c r="P455" s="16" t="str">
        <f aca="false">H455&amp;" &gt; "&amp;I455&amp;" ("&amp;K455&amp;" units)"</f>
        <v>Furniture &gt; Tables (2 units)</v>
      </c>
      <c r="Q455" s="16" t="str">
        <f aca="false">VLOOKUP(G455,Region_Manager_Table,2,FALSE())</f>
        <v>Priya Menon</v>
      </c>
      <c r="R455" s="16" t="n">
        <f aca="false">INDEX(SLA_Days_Col,MATCH(A455,ShipMode_Col,0))</f>
        <v>6</v>
      </c>
    </row>
    <row r="456" customFormat="false" ht="15" hidden="false" customHeight="false" outlineLevel="0" collapsed="false">
      <c r="A456" s="10" t="s">
        <v>64</v>
      </c>
      <c r="B456" s="10" t="s">
        <v>58</v>
      </c>
      <c r="C456" s="10" t="s">
        <v>51</v>
      </c>
      <c r="D456" s="10" t="s">
        <v>169</v>
      </c>
      <c r="E456" s="10" t="s">
        <v>140</v>
      </c>
      <c r="F456" s="10" t="n">
        <v>44312</v>
      </c>
      <c r="G456" s="10" t="s">
        <v>93</v>
      </c>
      <c r="H456" s="10" t="s">
        <v>62</v>
      </c>
      <c r="I456" s="10" t="s">
        <v>68</v>
      </c>
      <c r="J456" s="13" t="n">
        <v>665.408</v>
      </c>
      <c r="K456" s="10" t="n">
        <v>2</v>
      </c>
      <c r="L456" s="14" t="n">
        <v>0.2</v>
      </c>
      <c r="M456" s="15" t="n">
        <v>66.5408</v>
      </c>
      <c r="N456" s="10" t="str">
        <f aca="false">IF(M456&lt;0,"Loss",IF(M456&lt;50,"Low Profit",IF(M456&lt;200,"Medium Profit","High Profit")))</f>
        <v>Medium Profit</v>
      </c>
      <c r="O456" s="10" t="str">
        <f aca="false">IF(J456&gt;=500,"High Value","Standard")</f>
        <v>High Value</v>
      </c>
      <c r="P456" s="10" t="str">
        <f aca="false">H456&amp;" &gt; "&amp;I456&amp;" ("&amp;K456&amp;" units)"</f>
        <v>Office Supplies &gt; Storage (2 units)</v>
      </c>
      <c r="Q456" s="10" t="str">
        <f aca="false">VLOOKUP(G456,Region_Manager_Table,2,FALSE())</f>
        <v>Priya Menon</v>
      </c>
      <c r="R456" s="10" t="n">
        <f aca="false">INDEX(SLA_Days_Col,MATCH(A456,ShipMode_Col,0))</f>
        <v>6</v>
      </c>
    </row>
    <row r="457" customFormat="false" ht="15" hidden="false" customHeight="false" outlineLevel="0" collapsed="false">
      <c r="A457" s="16" t="s">
        <v>64</v>
      </c>
      <c r="B457" s="16" t="s">
        <v>58</v>
      </c>
      <c r="C457" s="16" t="s">
        <v>51</v>
      </c>
      <c r="D457" s="16" t="s">
        <v>227</v>
      </c>
      <c r="E457" s="16" t="s">
        <v>155</v>
      </c>
      <c r="F457" s="16" t="n">
        <v>73071</v>
      </c>
      <c r="G457" s="16" t="s">
        <v>83</v>
      </c>
      <c r="H457" s="16" t="s">
        <v>71</v>
      </c>
      <c r="I457" s="16" t="s">
        <v>95</v>
      </c>
      <c r="J457" s="17" t="n">
        <v>63.88</v>
      </c>
      <c r="K457" s="16" t="n">
        <v>4</v>
      </c>
      <c r="L457" s="18" t="n">
        <v>0</v>
      </c>
      <c r="M457" s="19" t="n">
        <v>24.9132</v>
      </c>
      <c r="N457" s="16" t="str">
        <f aca="false">IF(M457&lt;0,"Loss",IF(M457&lt;50,"Low Profit",IF(M457&lt;200,"Medium Profit","High Profit")))</f>
        <v>Low Profit</v>
      </c>
      <c r="O457" s="16" t="str">
        <f aca="false">IF(J457&gt;=500,"High Value","Standard")</f>
        <v>Standard</v>
      </c>
      <c r="P457" s="16" t="str">
        <f aca="false">H457&amp;" &gt; "&amp;I457&amp;" ("&amp;K457&amp;" units)"</f>
        <v>Technology &gt; Accessories (4 units)</v>
      </c>
      <c r="Q457" s="16" t="str">
        <f aca="false">VLOOKUP(G457,Region_Manager_Table,2,FALSE())</f>
        <v>Aditya Rao</v>
      </c>
      <c r="R457" s="16" t="n">
        <f aca="false">INDEX(SLA_Days_Col,MATCH(A457,ShipMode_Col,0))</f>
        <v>6</v>
      </c>
    </row>
    <row r="458" customFormat="false" ht="15" hidden="false" customHeight="false" outlineLevel="0" collapsed="false">
      <c r="A458" s="10" t="s">
        <v>64</v>
      </c>
      <c r="B458" s="10" t="s">
        <v>50</v>
      </c>
      <c r="C458" s="10" t="s">
        <v>51</v>
      </c>
      <c r="D458" s="10" t="s">
        <v>75</v>
      </c>
      <c r="E458" s="10" t="s">
        <v>60</v>
      </c>
      <c r="F458" s="10" t="n">
        <v>94521</v>
      </c>
      <c r="G458" s="10" t="s">
        <v>61</v>
      </c>
      <c r="H458" s="10" t="s">
        <v>55</v>
      </c>
      <c r="I458" s="10" t="s">
        <v>57</v>
      </c>
      <c r="J458" s="13" t="n">
        <v>129.568</v>
      </c>
      <c r="K458" s="10" t="n">
        <v>2</v>
      </c>
      <c r="L458" s="14" t="n">
        <v>0.2</v>
      </c>
      <c r="M458" s="15" t="n">
        <v>-24.294</v>
      </c>
      <c r="N458" s="10" t="str">
        <f aca="false">IF(M458&lt;0,"Loss",IF(M458&lt;50,"Low Profit",IF(M458&lt;200,"Medium Profit","High Profit")))</f>
        <v>Loss</v>
      </c>
      <c r="O458" s="10" t="str">
        <f aca="false">IF(J458&gt;=500,"High Value","Standard")</f>
        <v>Standard</v>
      </c>
      <c r="P458" s="10" t="str">
        <f aca="false">H458&amp;" &gt; "&amp;I458&amp;" ("&amp;K458&amp;" units)"</f>
        <v>Furniture &gt; Chairs (2 units)</v>
      </c>
      <c r="Q458" s="10" t="str">
        <f aca="false">VLOOKUP(G458,Region_Manager_Table,2,FALSE())</f>
        <v>Sana Sheikh</v>
      </c>
      <c r="R458" s="10" t="n">
        <f aca="false">INDEX(SLA_Days_Col,MATCH(A458,ShipMode_Col,0))</f>
        <v>6</v>
      </c>
    </row>
    <row r="459" customFormat="false" ht="15" hidden="false" customHeight="false" outlineLevel="0" collapsed="false">
      <c r="A459" s="16" t="s">
        <v>64</v>
      </c>
      <c r="B459" s="16" t="s">
        <v>50</v>
      </c>
      <c r="C459" s="16" t="s">
        <v>51</v>
      </c>
      <c r="D459" s="16" t="s">
        <v>123</v>
      </c>
      <c r="E459" s="16" t="s">
        <v>101</v>
      </c>
      <c r="F459" s="16" t="n">
        <v>62521</v>
      </c>
      <c r="G459" s="16" t="s">
        <v>83</v>
      </c>
      <c r="H459" s="16" t="s">
        <v>55</v>
      </c>
      <c r="I459" s="16" t="s">
        <v>57</v>
      </c>
      <c r="J459" s="17" t="n">
        <v>747.558</v>
      </c>
      <c r="K459" s="16" t="n">
        <v>3</v>
      </c>
      <c r="L459" s="18" t="n">
        <v>0.3</v>
      </c>
      <c r="M459" s="19" t="n">
        <v>-96.1146</v>
      </c>
      <c r="N459" s="16" t="str">
        <f aca="false">IF(M459&lt;0,"Loss",IF(M459&lt;50,"Low Profit",IF(M459&lt;200,"Medium Profit","High Profit")))</f>
        <v>Loss</v>
      </c>
      <c r="O459" s="16" t="str">
        <f aca="false">IF(J459&gt;=500,"High Value","Standard")</f>
        <v>High Value</v>
      </c>
      <c r="P459" s="16" t="str">
        <f aca="false">H459&amp;" &gt; "&amp;I459&amp;" ("&amp;K459&amp;" units)"</f>
        <v>Furniture &gt; Chairs (3 units)</v>
      </c>
      <c r="Q459" s="16" t="str">
        <f aca="false">VLOOKUP(G459,Region_Manager_Table,2,FALSE())</f>
        <v>Aditya Rao</v>
      </c>
      <c r="R459" s="16" t="n">
        <f aca="false">INDEX(SLA_Days_Col,MATCH(A459,ShipMode_Col,0))</f>
        <v>6</v>
      </c>
    </row>
    <row r="460" customFormat="false" ht="15" hidden="false" customHeight="false" outlineLevel="0" collapsed="false">
      <c r="A460" s="10" t="s">
        <v>64</v>
      </c>
      <c r="B460" s="10" t="s">
        <v>50</v>
      </c>
      <c r="C460" s="10" t="s">
        <v>51</v>
      </c>
      <c r="D460" s="10" t="s">
        <v>123</v>
      </c>
      <c r="E460" s="10" t="s">
        <v>101</v>
      </c>
      <c r="F460" s="10" t="n">
        <v>62521</v>
      </c>
      <c r="G460" s="10" t="s">
        <v>83</v>
      </c>
      <c r="H460" s="10" t="s">
        <v>62</v>
      </c>
      <c r="I460" s="10" t="s">
        <v>96</v>
      </c>
      <c r="J460" s="13" t="n">
        <v>8.928</v>
      </c>
      <c r="K460" s="10" t="n">
        <v>2</v>
      </c>
      <c r="L460" s="14" t="n">
        <v>0.2</v>
      </c>
      <c r="M460" s="15" t="n">
        <v>3.348</v>
      </c>
      <c r="N460" s="10" t="str">
        <f aca="false">IF(M460&lt;0,"Loss",IF(M460&lt;50,"Low Profit",IF(M460&lt;200,"Medium Profit","High Profit")))</f>
        <v>Low Profit</v>
      </c>
      <c r="O460" s="10" t="str">
        <f aca="false">IF(J460&gt;=500,"High Value","Standard")</f>
        <v>Standard</v>
      </c>
      <c r="P460" s="10" t="str">
        <f aca="false">H460&amp;" &gt; "&amp;I460&amp;" ("&amp;K460&amp;" units)"</f>
        <v>Office Supplies &gt; Envelopes (2 units)</v>
      </c>
      <c r="Q460" s="10" t="str">
        <f aca="false">VLOOKUP(G460,Region_Manager_Table,2,FALSE())</f>
        <v>Aditya Rao</v>
      </c>
      <c r="R460" s="10" t="n">
        <f aca="false">INDEX(SLA_Days_Col,MATCH(A460,ShipMode_Col,0))</f>
        <v>6</v>
      </c>
    </row>
    <row r="461" customFormat="false" ht="15" hidden="false" customHeight="false" outlineLevel="0" collapsed="false">
      <c r="A461" s="16" t="s">
        <v>64</v>
      </c>
      <c r="B461" s="16" t="s">
        <v>50</v>
      </c>
      <c r="C461" s="16" t="s">
        <v>51</v>
      </c>
      <c r="D461" s="16" t="s">
        <v>78</v>
      </c>
      <c r="E461" s="16" t="s">
        <v>79</v>
      </c>
      <c r="F461" s="16" t="n">
        <v>98115</v>
      </c>
      <c r="G461" s="16" t="s">
        <v>61</v>
      </c>
      <c r="H461" s="16" t="s">
        <v>62</v>
      </c>
      <c r="I461" s="16" t="s">
        <v>74</v>
      </c>
      <c r="J461" s="17" t="n">
        <v>103.92</v>
      </c>
      <c r="K461" s="16" t="n">
        <v>4</v>
      </c>
      <c r="L461" s="18" t="n">
        <v>0</v>
      </c>
      <c r="M461" s="19" t="n">
        <v>36.372</v>
      </c>
      <c r="N461" s="16" t="str">
        <f aca="false">IF(M461&lt;0,"Loss",IF(M461&lt;50,"Low Profit",IF(M461&lt;200,"Medium Profit","High Profit")))</f>
        <v>Low Profit</v>
      </c>
      <c r="O461" s="16" t="str">
        <f aca="false">IF(J461&gt;=500,"High Value","Standard")</f>
        <v>Standard</v>
      </c>
      <c r="P461" s="16" t="str">
        <f aca="false">H461&amp;" &gt; "&amp;I461&amp;" ("&amp;K461&amp;" units)"</f>
        <v>Office Supplies &gt; Appliances (4 units)</v>
      </c>
      <c r="Q461" s="16" t="str">
        <f aca="false">VLOOKUP(G461,Region_Manager_Table,2,FALSE())</f>
        <v>Sana Sheikh</v>
      </c>
      <c r="R461" s="16" t="n">
        <f aca="false">INDEX(SLA_Days_Col,MATCH(A461,ShipMode_Col,0))</f>
        <v>6</v>
      </c>
    </row>
    <row r="462" customFormat="false" ht="15" hidden="false" customHeight="false" outlineLevel="0" collapsed="false">
      <c r="A462" s="10" t="s">
        <v>64</v>
      </c>
      <c r="B462" s="10" t="s">
        <v>50</v>
      </c>
      <c r="C462" s="10" t="s">
        <v>51</v>
      </c>
      <c r="D462" s="10" t="s">
        <v>78</v>
      </c>
      <c r="E462" s="10" t="s">
        <v>79</v>
      </c>
      <c r="F462" s="10" t="n">
        <v>98115</v>
      </c>
      <c r="G462" s="10" t="s">
        <v>61</v>
      </c>
      <c r="H462" s="10" t="s">
        <v>71</v>
      </c>
      <c r="I462" s="10" t="s">
        <v>95</v>
      </c>
      <c r="J462" s="13" t="n">
        <v>899.91</v>
      </c>
      <c r="K462" s="10" t="n">
        <v>9</v>
      </c>
      <c r="L462" s="14" t="n">
        <v>0</v>
      </c>
      <c r="M462" s="15" t="n">
        <v>377.9622</v>
      </c>
      <c r="N462" s="10" t="str">
        <f aca="false">IF(M462&lt;0,"Loss",IF(M462&lt;50,"Low Profit",IF(M462&lt;200,"Medium Profit","High Profit")))</f>
        <v>High Profit</v>
      </c>
      <c r="O462" s="10" t="str">
        <f aca="false">IF(J462&gt;=500,"High Value","Standard")</f>
        <v>High Value</v>
      </c>
      <c r="P462" s="10" t="str">
        <f aca="false">H462&amp;" &gt; "&amp;I462&amp;" ("&amp;K462&amp;" units)"</f>
        <v>Technology &gt; Accessories (9 units)</v>
      </c>
      <c r="Q462" s="10" t="str">
        <f aca="false">VLOOKUP(G462,Region_Manager_Table,2,FALSE())</f>
        <v>Sana Sheikh</v>
      </c>
      <c r="R462" s="10" t="n">
        <f aca="false">INDEX(SLA_Days_Col,MATCH(A462,ShipMode_Col,0))</f>
        <v>6</v>
      </c>
    </row>
    <row r="463" customFormat="false" ht="15" hidden="false" customHeight="false" outlineLevel="0" collapsed="false">
      <c r="A463" s="16" t="s">
        <v>64</v>
      </c>
      <c r="B463" s="16" t="s">
        <v>50</v>
      </c>
      <c r="C463" s="16" t="s">
        <v>51</v>
      </c>
      <c r="D463" s="16" t="s">
        <v>78</v>
      </c>
      <c r="E463" s="16" t="s">
        <v>79</v>
      </c>
      <c r="F463" s="16" t="n">
        <v>98115</v>
      </c>
      <c r="G463" s="16" t="s">
        <v>61</v>
      </c>
      <c r="H463" s="16" t="s">
        <v>62</v>
      </c>
      <c r="I463" s="16" t="s">
        <v>73</v>
      </c>
      <c r="J463" s="17" t="n">
        <v>51.312</v>
      </c>
      <c r="K463" s="16" t="n">
        <v>3</v>
      </c>
      <c r="L463" s="18" t="n">
        <v>0.2</v>
      </c>
      <c r="M463" s="19" t="n">
        <v>18.6006</v>
      </c>
      <c r="N463" s="16" t="str">
        <f aca="false">IF(M463&lt;0,"Loss",IF(M463&lt;50,"Low Profit",IF(M463&lt;200,"Medium Profit","High Profit")))</f>
        <v>Low Profit</v>
      </c>
      <c r="O463" s="16" t="str">
        <f aca="false">IF(J463&gt;=500,"High Value","Standard")</f>
        <v>Standard</v>
      </c>
      <c r="P463" s="16" t="str">
        <f aca="false">H463&amp;" &gt; "&amp;I463&amp;" ("&amp;K463&amp;" units)"</f>
        <v>Office Supplies &gt; Binders (3 units)</v>
      </c>
      <c r="Q463" s="16" t="str">
        <f aca="false">VLOOKUP(G463,Region_Manager_Table,2,FALSE())</f>
        <v>Sana Sheikh</v>
      </c>
      <c r="R463" s="16" t="n">
        <f aca="false">INDEX(SLA_Days_Col,MATCH(A463,ShipMode_Col,0))</f>
        <v>6</v>
      </c>
    </row>
    <row r="464" customFormat="false" ht="15" hidden="false" customHeight="false" outlineLevel="0" collapsed="false">
      <c r="A464" s="10" t="s">
        <v>64</v>
      </c>
      <c r="B464" s="10" t="s">
        <v>80</v>
      </c>
      <c r="C464" s="10" t="s">
        <v>51</v>
      </c>
      <c r="D464" s="10" t="s">
        <v>144</v>
      </c>
      <c r="E464" s="10" t="s">
        <v>117</v>
      </c>
      <c r="F464" s="10" t="n">
        <v>85023</v>
      </c>
      <c r="G464" s="10" t="s">
        <v>61</v>
      </c>
      <c r="H464" s="10" t="s">
        <v>55</v>
      </c>
      <c r="I464" s="10" t="s">
        <v>69</v>
      </c>
      <c r="J464" s="13" t="n">
        <v>23.56</v>
      </c>
      <c r="K464" s="10" t="n">
        <v>5</v>
      </c>
      <c r="L464" s="14" t="n">
        <v>0.2</v>
      </c>
      <c r="M464" s="15" t="n">
        <v>7.068</v>
      </c>
      <c r="N464" s="10" t="str">
        <f aca="false">IF(M464&lt;0,"Loss",IF(M464&lt;50,"Low Profit",IF(M464&lt;200,"Medium Profit","High Profit")))</f>
        <v>Low Profit</v>
      </c>
      <c r="O464" s="10" t="str">
        <f aca="false">IF(J464&gt;=500,"High Value","Standard")</f>
        <v>Standard</v>
      </c>
      <c r="P464" s="10" t="str">
        <f aca="false">H464&amp;" &gt; "&amp;I464&amp;" ("&amp;K464&amp;" units)"</f>
        <v>Furniture &gt; Furnishings (5 units)</v>
      </c>
      <c r="Q464" s="10" t="str">
        <f aca="false">VLOOKUP(G464,Region_Manager_Table,2,FALSE())</f>
        <v>Sana Sheikh</v>
      </c>
      <c r="R464" s="10" t="n">
        <f aca="false">INDEX(SLA_Days_Col,MATCH(A464,ShipMode_Col,0))</f>
        <v>6</v>
      </c>
    </row>
    <row r="465" customFormat="false" ht="15" hidden="false" customHeight="false" outlineLevel="0" collapsed="false">
      <c r="A465" s="16" t="s">
        <v>64</v>
      </c>
      <c r="B465" s="16" t="s">
        <v>80</v>
      </c>
      <c r="C465" s="16" t="s">
        <v>51</v>
      </c>
      <c r="D465" s="16" t="s">
        <v>144</v>
      </c>
      <c r="E465" s="16" t="s">
        <v>117</v>
      </c>
      <c r="F465" s="16" t="n">
        <v>85023</v>
      </c>
      <c r="G465" s="16" t="s">
        <v>61</v>
      </c>
      <c r="H465" s="16" t="s">
        <v>55</v>
      </c>
      <c r="I465" s="16" t="s">
        <v>67</v>
      </c>
      <c r="J465" s="17" t="n">
        <v>1272.63</v>
      </c>
      <c r="K465" s="16" t="n">
        <v>6</v>
      </c>
      <c r="L465" s="18" t="n">
        <v>0.5</v>
      </c>
      <c r="M465" s="19" t="n">
        <v>-814.4832</v>
      </c>
      <c r="N465" s="16" t="str">
        <f aca="false">IF(M465&lt;0,"Loss",IF(M465&lt;50,"Low Profit",IF(M465&lt;200,"Medium Profit","High Profit")))</f>
        <v>Loss</v>
      </c>
      <c r="O465" s="16" t="str">
        <f aca="false">IF(J465&gt;=500,"High Value","Standard")</f>
        <v>High Value</v>
      </c>
      <c r="P465" s="16" t="str">
        <f aca="false">H465&amp;" &gt; "&amp;I465&amp;" ("&amp;K465&amp;" units)"</f>
        <v>Furniture &gt; Tables (6 units)</v>
      </c>
      <c r="Q465" s="16" t="str">
        <f aca="false">VLOOKUP(G465,Region_Manager_Table,2,FALSE())</f>
        <v>Sana Sheikh</v>
      </c>
      <c r="R465" s="16" t="n">
        <f aca="false">INDEX(SLA_Days_Col,MATCH(A465,ShipMode_Col,0))</f>
        <v>6</v>
      </c>
    </row>
    <row r="466" customFormat="false" ht="15" hidden="false" customHeight="false" outlineLevel="0" collapsed="false">
      <c r="A466" s="10" t="s">
        <v>64</v>
      </c>
      <c r="B466" s="10" t="s">
        <v>80</v>
      </c>
      <c r="C466" s="10" t="s">
        <v>51</v>
      </c>
      <c r="D466" s="10" t="s">
        <v>144</v>
      </c>
      <c r="E466" s="10" t="s">
        <v>117</v>
      </c>
      <c r="F466" s="10" t="n">
        <v>85023</v>
      </c>
      <c r="G466" s="10" t="s">
        <v>61</v>
      </c>
      <c r="H466" s="10" t="s">
        <v>62</v>
      </c>
      <c r="I466" s="10" t="s">
        <v>73</v>
      </c>
      <c r="J466" s="13" t="n">
        <v>28.485</v>
      </c>
      <c r="K466" s="10" t="n">
        <v>5</v>
      </c>
      <c r="L466" s="14" t="n">
        <v>0.7</v>
      </c>
      <c r="M466" s="15" t="n">
        <v>-20.889</v>
      </c>
      <c r="N466" s="10" t="str">
        <f aca="false">IF(M466&lt;0,"Loss",IF(M466&lt;50,"Low Profit",IF(M466&lt;200,"Medium Profit","High Profit")))</f>
        <v>Loss</v>
      </c>
      <c r="O466" s="10" t="str">
        <f aca="false">IF(J466&gt;=500,"High Value","Standard")</f>
        <v>Standard</v>
      </c>
      <c r="P466" s="10" t="str">
        <f aca="false">H466&amp;" &gt; "&amp;I466&amp;" ("&amp;K466&amp;" units)"</f>
        <v>Office Supplies &gt; Binders (5 units)</v>
      </c>
      <c r="Q466" s="10" t="str">
        <f aca="false">VLOOKUP(G466,Region_Manager_Table,2,FALSE())</f>
        <v>Sana Sheikh</v>
      </c>
      <c r="R466" s="10" t="n">
        <f aca="false">INDEX(SLA_Days_Col,MATCH(A466,ShipMode_Col,0))</f>
        <v>6</v>
      </c>
    </row>
    <row r="467" customFormat="false" ht="15" hidden="false" customHeight="false" outlineLevel="0" collapsed="false">
      <c r="A467" s="16" t="s">
        <v>64</v>
      </c>
      <c r="B467" s="16" t="s">
        <v>80</v>
      </c>
      <c r="C467" s="16" t="s">
        <v>51</v>
      </c>
      <c r="D467" s="16" t="s">
        <v>144</v>
      </c>
      <c r="E467" s="16" t="s">
        <v>117</v>
      </c>
      <c r="F467" s="16" t="n">
        <v>85023</v>
      </c>
      <c r="G467" s="16" t="s">
        <v>61</v>
      </c>
      <c r="H467" s="16" t="s">
        <v>62</v>
      </c>
      <c r="I467" s="16" t="s">
        <v>146</v>
      </c>
      <c r="J467" s="17" t="n">
        <v>185.376</v>
      </c>
      <c r="K467" s="16" t="n">
        <v>2</v>
      </c>
      <c r="L467" s="18" t="n">
        <v>0.2</v>
      </c>
      <c r="M467" s="19" t="n">
        <v>-34.758</v>
      </c>
      <c r="N467" s="16" t="str">
        <f aca="false">IF(M467&lt;0,"Loss",IF(M467&lt;50,"Low Profit",IF(M467&lt;200,"Medium Profit","High Profit")))</f>
        <v>Loss</v>
      </c>
      <c r="O467" s="16" t="str">
        <f aca="false">IF(J467&gt;=500,"High Value","Standard")</f>
        <v>Standard</v>
      </c>
      <c r="P467" s="16" t="str">
        <f aca="false">H467&amp;" &gt; "&amp;I467&amp;" ("&amp;K467&amp;" units)"</f>
        <v>Office Supplies &gt; Supplies (2 units)</v>
      </c>
      <c r="Q467" s="16" t="str">
        <f aca="false">VLOOKUP(G467,Region_Manager_Table,2,FALSE())</f>
        <v>Sana Sheikh</v>
      </c>
      <c r="R467" s="16" t="n">
        <f aca="false">INDEX(SLA_Days_Col,MATCH(A467,ShipMode_Col,0))</f>
        <v>6</v>
      </c>
    </row>
    <row r="468" customFormat="false" ht="15" hidden="false" customHeight="false" outlineLevel="0" collapsed="false">
      <c r="A468" s="10" t="s">
        <v>64</v>
      </c>
      <c r="B468" s="10" t="s">
        <v>80</v>
      </c>
      <c r="C468" s="10" t="s">
        <v>51</v>
      </c>
      <c r="D468" s="10" t="s">
        <v>144</v>
      </c>
      <c r="E468" s="10" t="s">
        <v>117</v>
      </c>
      <c r="F468" s="10" t="n">
        <v>85023</v>
      </c>
      <c r="G468" s="10" t="s">
        <v>61</v>
      </c>
      <c r="H468" s="10" t="s">
        <v>62</v>
      </c>
      <c r="I468" s="10" t="s">
        <v>74</v>
      </c>
      <c r="J468" s="13" t="n">
        <v>78.272</v>
      </c>
      <c r="K468" s="10" t="n">
        <v>2</v>
      </c>
      <c r="L468" s="14" t="n">
        <v>0.2</v>
      </c>
      <c r="M468" s="15" t="n">
        <v>5.8704</v>
      </c>
      <c r="N468" s="10" t="str">
        <f aca="false">IF(M468&lt;0,"Loss",IF(M468&lt;50,"Low Profit",IF(M468&lt;200,"Medium Profit","High Profit")))</f>
        <v>Low Profit</v>
      </c>
      <c r="O468" s="10" t="str">
        <f aca="false">IF(J468&gt;=500,"High Value","Standard")</f>
        <v>Standard</v>
      </c>
      <c r="P468" s="10" t="str">
        <f aca="false">H468&amp;" &gt; "&amp;I468&amp;" ("&amp;K468&amp;" units)"</f>
        <v>Office Supplies &gt; Appliances (2 units)</v>
      </c>
      <c r="Q468" s="10" t="str">
        <f aca="false">VLOOKUP(G468,Region_Manager_Table,2,FALSE())</f>
        <v>Sana Sheikh</v>
      </c>
      <c r="R468" s="10" t="n">
        <f aca="false">INDEX(SLA_Days_Col,MATCH(A468,ShipMode_Col,0))</f>
        <v>6</v>
      </c>
    </row>
    <row r="469" customFormat="false" ht="15" hidden="false" customHeight="false" outlineLevel="0" collapsed="false">
      <c r="A469" s="16" t="s">
        <v>64</v>
      </c>
      <c r="B469" s="16" t="s">
        <v>80</v>
      </c>
      <c r="C469" s="16" t="s">
        <v>51</v>
      </c>
      <c r="D469" s="16" t="s">
        <v>228</v>
      </c>
      <c r="E469" s="16" t="s">
        <v>101</v>
      </c>
      <c r="F469" s="16" t="n">
        <v>60068</v>
      </c>
      <c r="G469" s="16" t="s">
        <v>83</v>
      </c>
      <c r="H469" s="16" t="s">
        <v>55</v>
      </c>
      <c r="I469" s="16" t="s">
        <v>69</v>
      </c>
      <c r="J469" s="17" t="n">
        <v>254.744</v>
      </c>
      <c r="K469" s="16" t="n">
        <v>7</v>
      </c>
      <c r="L469" s="18" t="n">
        <v>0.6</v>
      </c>
      <c r="M469" s="19" t="n">
        <v>-312.0614</v>
      </c>
      <c r="N469" s="16" t="str">
        <f aca="false">IF(M469&lt;0,"Loss",IF(M469&lt;50,"Low Profit",IF(M469&lt;200,"Medium Profit","High Profit")))</f>
        <v>Loss</v>
      </c>
      <c r="O469" s="16" t="str">
        <f aca="false">IF(J469&gt;=500,"High Value","Standard")</f>
        <v>Standard</v>
      </c>
      <c r="P469" s="16" t="str">
        <f aca="false">H469&amp;" &gt; "&amp;I469&amp;" ("&amp;K469&amp;" units)"</f>
        <v>Furniture &gt; Furnishings (7 units)</v>
      </c>
      <c r="Q469" s="16" t="str">
        <f aca="false">VLOOKUP(G469,Region_Manager_Table,2,FALSE())</f>
        <v>Aditya Rao</v>
      </c>
      <c r="R469" s="16" t="n">
        <f aca="false">INDEX(SLA_Days_Col,MATCH(A469,ShipMode_Col,0))</f>
        <v>6</v>
      </c>
    </row>
    <row r="470" customFormat="false" ht="15" hidden="false" customHeight="false" outlineLevel="0" collapsed="false">
      <c r="A470" s="10" t="s">
        <v>64</v>
      </c>
      <c r="B470" s="10" t="s">
        <v>58</v>
      </c>
      <c r="C470" s="10" t="s">
        <v>51</v>
      </c>
      <c r="D470" s="10" t="s">
        <v>229</v>
      </c>
      <c r="E470" s="10" t="s">
        <v>82</v>
      </c>
      <c r="F470" s="10" t="n">
        <v>79109</v>
      </c>
      <c r="G470" s="10" t="s">
        <v>83</v>
      </c>
      <c r="H470" s="10" t="s">
        <v>55</v>
      </c>
      <c r="I470" s="10" t="s">
        <v>56</v>
      </c>
      <c r="J470" s="13" t="n">
        <v>205.3328</v>
      </c>
      <c r="K470" s="10" t="n">
        <v>2</v>
      </c>
      <c r="L470" s="14" t="n">
        <v>0.32</v>
      </c>
      <c r="M470" s="15" t="n">
        <v>-36.2352</v>
      </c>
      <c r="N470" s="10" t="str">
        <f aca="false">IF(M470&lt;0,"Loss",IF(M470&lt;50,"Low Profit",IF(M470&lt;200,"Medium Profit","High Profit")))</f>
        <v>Loss</v>
      </c>
      <c r="O470" s="10" t="str">
        <f aca="false">IF(J470&gt;=500,"High Value","Standard")</f>
        <v>Standard</v>
      </c>
      <c r="P470" s="10" t="str">
        <f aca="false">H470&amp;" &gt; "&amp;I470&amp;" ("&amp;K470&amp;" units)"</f>
        <v>Furniture &gt; Bookcases (2 units)</v>
      </c>
      <c r="Q470" s="10" t="str">
        <f aca="false">VLOOKUP(G470,Region_Manager_Table,2,FALSE())</f>
        <v>Aditya Rao</v>
      </c>
      <c r="R470" s="10" t="n">
        <f aca="false">INDEX(SLA_Days_Col,MATCH(A470,ShipMode_Col,0))</f>
        <v>6</v>
      </c>
    </row>
    <row r="471" customFormat="false" ht="15" hidden="false" customHeight="false" outlineLevel="0" collapsed="false">
      <c r="A471" s="16" t="s">
        <v>49</v>
      </c>
      <c r="B471" s="16" t="s">
        <v>50</v>
      </c>
      <c r="C471" s="16" t="s">
        <v>51</v>
      </c>
      <c r="D471" s="16" t="s">
        <v>115</v>
      </c>
      <c r="E471" s="16" t="s">
        <v>101</v>
      </c>
      <c r="F471" s="16" t="n">
        <v>60610</v>
      </c>
      <c r="G471" s="16" t="s">
        <v>83</v>
      </c>
      <c r="H471" s="16" t="s">
        <v>62</v>
      </c>
      <c r="I471" s="16" t="s">
        <v>73</v>
      </c>
      <c r="J471" s="17" t="n">
        <v>4.788</v>
      </c>
      <c r="K471" s="16" t="n">
        <v>3</v>
      </c>
      <c r="L471" s="18" t="n">
        <v>0.8</v>
      </c>
      <c r="M471" s="19" t="n">
        <v>-7.9002</v>
      </c>
      <c r="N471" s="16" t="str">
        <f aca="false">IF(M471&lt;0,"Loss",IF(M471&lt;50,"Low Profit",IF(M471&lt;200,"Medium Profit","High Profit")))</f>
        <v>Loss</v>
      </c>
      <c r="O471" s="16" t="str">
        <f aca="false">IF(J471&gt;=500,"High Value","Standard")</f>
        <v>Standard</v>
      </c>
      <c r="P471" s="16" t="str">
        <f aca="false">H471&amp;" &gt; "&amp;I471&amp;" ("&amp;K471&amp;" units)"</f>
        <v>Office Supplies &gt; Binders (3 units)</v>
      </c>
      <c r="Q471" s="16" t="str">
        <f aca="false">VLOOKUP(G471,Region_Manager_Table,2,FALSE())</f>
        <v>Aditya Rao</v>
      </c>
      <c r="R471" s="16" t="n">
        <f aca="false">INDEX(SLA_Days_Col,MATCH(A471,ShipMode_Col,0))</f>
        <v>4</v>
      </c>
    </row>
    <row r="472" customFormat="false" ht="15" hidden="false" customHeight="false" outlineLevel="0" collapsed="false">
      <c r="A472" s="10" t="s">
        <v>64</v>
      </c>
      <c r="B472" s="10" t="s">
        <v>58</v>
      </c>
      <c r="C472" s="10" t="s">
        <v>51</v>
      </c>
      <c r="D472" s="10" t="s">
        <v>230</v>
      </c>
      <c r="E472" s="10" t="s">
        <v>112</v>
      </c>
      <c r="F472" s="10" t="n">
        <v>11757</v>
      </c>
      <c r="G472" s="10" t="s">
        <v>93</v>
      </c>
      <c r="H472" s="10" t="s">
        <v>62</v>
      </c>
      <c r="I472" s="10" t="s">
        <v>77</v>
      </c>
      <c r="J472" s="13" t="n">
        <v>55.48</v>
      </c>
      <c r="K472" s="10" t="n">
        <v>1</v>
      </c>
      <c r="L472" s="14" t="n">
        <v>0</v>
      </c>
      <c r="M472" s="15" t="n">
        <v>26.6304</v>
      </c>
      <c r="N472" s="10" t="str">
        <f aca="false">IF(M472&lt;0,"Loss",IF(M472&lt;50,"Low Profit",IF(M472&lt;200,"Medium Profit","High Profit")))</f>
        <v>Low Profit</v>
      </c>
      <c r="O472" s="10" t="str">
        <f aca="false">IF(J472&gt;=500,"High Value","Standard")</f>
        <v>Standard</v>
      </c>
      <c r="P472" s="10" t="str">
        <f aca="false">H472&amp;" &gt; "&amp;I472&amp;" ("&amp;K472&amp;" units)"</f>
        <v>Office Supplies &gt; Paper (1 units)</v>
      </c>
      <c r="Q472" s="10" t="str">
        <f aca="false">VLOOKUP(G472,Region_Manager_Table,2,FALSE())</f>
        <v>Priya Menon</v>
      </c>
      <c r="R472" s="10" t="n">
        <f aca="false">INDEX(SLA_Days_Col,MATCH(A472,ShipMode_Col,0))</f>
        <v>6</v>
      </c>
    </row>
    <row r="473" customFormat="false" ht="15" hidden="false" customHeight="false" outlineLevel="0" collapsed="false">
      <c r="A473" s="16" t="s">
        <v>49</v>
      </c>
      <c r="B473" s="16" t="s">
        <v>50</v>
      </c>
      <c r="C473" s="16" t="s">
        <v>51</v>
      </c>
      <c r="D473" s="16" t="s">
        <v>88</v>
      </c>
      <c r="E473" s="16" t="s">
        <v>60</v>
      </c>
      <c r="F473" s="16" t="n">
        <v>94110</v>
      </c>
      <c r="G473" s="16" t="s">
        <v>61</v>
      </c>
      <c r="H473" s="16" t="s">
        <v>62</v>
      </c>
      <c r="I473" s="16" t="s">
        <v>68</v>
      </c>
      <c r="J473" s="17" t="n">
        <v>340.92</v>
      </c>
      <c r="K473" s="16" t="n">
        <v>3</v>
      </c>
      <c r="L473" s="18" t="n">
        <v>0</v>
      </c>
      <c r="M473" s="19" t="n">
        <v>3.4092</v>
      </c>
      <c r="N473" s="16" t="str">
        <f aca="false">IF(M473&lt;0,"Loss",IF(M473&lt;50,"Low Profit",IF(M473&lt;200,"Medium Profit","High Profit")))</f>
        <v>Low Profit</v>
      </c>
      <c r="O473" s="16" t="str">
        <f aca="false">IF(J473&gt;=500,"High Value","Standard")</f>
        <v>Standard</v>
      </c>
      <c r="P473" s="16" t="str">
        <f aca="false">H473&amp;" &gt; "&amp;I473&amp;" ("&amp;K473&amp;" units)"</f>
        <v>Office Supplies &gt; Storage (3 units)</v>
      </c>
      <c r="Q473" s="16" t="str">
        <f aca="false">VLOOKUP(G473,Region_Manager_Table,2,FALSE())</f>
        <v>Sana Sheikh</v>
      </c>
      <c r="R473" s="16" t="n">
        <f aca="false">INDEX(SLA_Days_Col,MATCH(A473,ShipMode_Col,0))</f>
        <v>4</v>
      </c>
    </row>
    <row r="474" customFormat="false" ht="15" hidden="false" customHeight="false" outlineLevel="0" collapsed="false">
      <c r="A474" s="10" t="s">
        <v>49</v>
      </c>
      <c r="B474" s="10" t="s">
        <v>50</v>
      </c>
      <c r="C474" s="10" t="s">
        <v>51</v>
      </c>
      <c r="D474" s="10" t="s">
        <v>88</v>
      </c>
      <c r="E474" s="10" t="s">
        <v>60</v>
      </c>
      <c r="F474" s="10" t="n">
        <v>94110</v>
      </c>
      <c r="G474" s="10" t="s">
        <v>61</v>
      </c>
      <c r="H474" s="10" t="s">
        <v>55</v>
      </c>
      <c r="I474" s="10" t="s">
        <v>56</v>
      </c>
      <c r="J474" s="13" t="n">
        <v>222.666</v>
      </c>
      <c r="K474" s="10" t="n">
        <v>2</v>
      </c>
      <c r="L474" s="14" t="n">
        <v>0.15</v>
      </c>
      <c r="M474" s="15" t="n">
        <v>10.4784</v>
      </c>
      <c r="N474" s="10" t="str">
        <f aca="false">IF(M474&lt;0,"Loss",IF(M474&lt;50,"Low Profit",IF(M474&lt;200,"Medium Profit","High Profit")))</f>
        <v>Low Profit</v>
      </c>
      <c r="O474" s="10" t="str">
        <f aca="false">IF(J474&gt;=500,"High Value","Standard")</f>
        <v>Standard</v>
      </c>
      <c r="P474" s="10" t="str">
        <f aca="false">H474&amp;" &gt; "&amp;I474&amp;" ("&amp;K474&amp;" units)"</f>
        <v>Furniture &gt; Bookcases (2 units)</v>
      </c>
      <c r="Q474" s="10" t="str">
        <f aca="false">VLOOKUP(G474,Region_Manager_Table,2,FALSE())</f>
        <v>Sana Sheikh</v>
      </c>
      <c r="R474" s="10" t="n">
        <f aca="false">INDEX(SLA_Days_Col,MATCH(A474,ShipMode_Col,0))</f>
        <v>4</v>
      </c>
    </row>
    <row r="475" customFormat="false" ht="15" hidden="false" customHeight="false" outlineLevel="0" collapsed="false">
      <c r="A475" s="16" t="s">
        <v>49</v>
      </c>
      <c r="B475" s="16" t="s">
        <v>50</v>
      </c>
      <c r="C475" s="16" t="s">
        <v>51</v>
      </c>
      <c r="D475" s="16" t="s">
        <v>88</v>
      </c>
      <c r="E475" s="16" t="s">
        <v>60</v>
      </c>
      <c r="F475" s="16" t="n">
        <v>94110</v>
      </c>
      <c r="G475" s="16" t="s">
        <v>61</v>
      </c>
      <c r="H475" s="16" t="s">
        <v>71</v>
      </c>
      <c r="I475" s="16" t="s">
        <v>72</v>
      </c>
      <c r="J475" s="17" t="n">
        <v>703.968</v>
      </c>
      <c r="K475" s="16" t="n">
        <v>4</v>
      </c>
      <c r="L475" s="18" t="n">
        <v>0.2</v>
      </c>
      <c r="M475" s="19" t="n">
        <v>87.996</v>
      </c>
      <c r="N475" s="16" t="str">
        <f aca="false">IF(M475&lt;0,"Loss",IF(M475&lt;50,"Low Profit",IF(M475&lt;200,"Medium Profit","High Profit")))</f>
        <v>Medium Profit</v>
      </c>
      <c r="O475" s="16" t="str">
        <f aca="false">IF(J475&gt;=500,"High Value","Standard")</f>
        <v>High Value</v>
      </c>
      <c r="P475" s="16" t="str">
        <f aca="false">H475&amp;" &gt; "&amp;I475&amp;" ("&amp;K475&amp;" units)"</f>
        <v>Technology &gt; Phones (4 units)</v>
      </c>
      <c r="Q475" s="16" t="str">
        <f aca="false">VLOOKUP(G475,Region_Manager_Table,2,FALSE())</f>
        <v>Sana Sheikh</v>
      </c>
      <c r="R475" s="16" t="n">
        <f aca="false">INDEX(SLA_Days_Col,MATCH(A475,ShipMode_Col,0))</f>
        <v>4</v>
      </c>
    </row>
    <row r="476" customFormat="false" ht="15" hidden="false" customHeight="false" outlineLevel="0" collapsed="false">
      <c r="A476" s="10" t="s">
        <v>49</v>
      </c>
      <c r="B476" s="10" t="s">
        <v>50</v>
      </c>
      <c r="C476" s="10" t="s">
        <v>51</v>
      </c>
      <c r="D476" s="10" t="s">
        <v>88</v>
      </c>
      <c r="E476" s="10" t="s">
        <v>60</v>
      </c>
      <c r="F476" s="10" t="n">
        <v>94110</v>
      </c>
      <c r="G476" s="10" t="s">
        <v>61</v>
      </c>
      <c r="H476" s="10" t="s">
        <v>62</v>
      </c>
      <c r="I476" s="10" t="s">
        <v>68</v>
      </c>
      <c r="J476" s="13" t="n">
        <v>92.52</v>
      </c>
      <c r="K476" s="10" t="n">
        <v>6</v>
      </c>
      <c r="L476" s="14" t="n">
        <v>0</v>
      </c>
      <c r="M476" s="15" t="n">
        <v>24.9804</v>
      </c>
      <c r="N476" s="10" t="str">
        <f aca="false">IF(M476&lt;0,"Loss",IF(M476&lt;50,"Low Profit",IF(M476&lt;200,"Medium Profit","High Profit")))</f>
        <v>Low Profit</v>
      </c>
      <c r="O476" s="10" t="str">
        <f aca="false">IF(J476&gt;=500,"High Value","Standard")</f>
        <v>Standard</v>
      </c>
      <c r="P476" s="10" t="str">
        <f aca="false">H476&amp;" &gt; "&amp;I476&amp;" ("&amp;K476&amp;" units)"</f>
        <v>Office Supplies &gt; Storage (6 units)</v>
      </c>
      <c r="Q476" s="10" t="str">
        <f aca="false">VLOOKUP(G476,Region_Manager_Table,2,FALSE())</f>
        <v>Sana Sheikh</v>
      </c>
      <c r="R476" s="10" t="n">
        <f aca="false">INDEX(SLA_Days_Col,MATCH(A476,ShipMode_Col,0))</f>
        <v>4</v>
      </c>
    </row>
    <row r="477" customFormat="false" ht="15" hidden="false" customHeight="false" outlineLevel="0" collapsed="false">
      <c r="A477" s="16" t="s">
        <v>49</v>
      </c>
      <c r="B477" s="16" t="s">
        <v>50</v>
      </c>
      <c r="C477" s="16" t="s">
        <v>51</v>
      </c>
      <c r="D477" s="16" t="s">
        <v>88</v>
      </c>
      <c r="E477" s="16" t="s">
        <v>60</v>
      </c>
      <c r="F477" s="16" t="n">
        <v>94110</v>
      </c>
      <c r="G477" s="16" t="s">
        <v>61</v>
      </c>
      <c r="H477" s="16" t="s">
        <v>62</v>
      </c>
      <c r="I477" s="16" t="s">
        <v>77</v>
      </c>
      <c r="J477" s="17" t="n">
        <v>62.65</v>
      </c>
      <c r="K477" s="16" t="n">
        <v>7</v>
      </c>
      <c r="L477" s="18" t="n">
        <v>0</v>
      </c>
      <c r="M477" s="19" t="n">
        <v>28.819</v>
      </c>
      <c r="N477" s="16" t="str">
        <f aca="false">IF(M477&lt;0,"Loss",IF(M477&lt;50,"Low Profit",IF(M477&lt;200,"Medium Profit","High Profit")))</f>
        <v>Low Profit</v>
      </c>
      <c r="O477" s="16" t="str">
        <f aca="false">IF(J477&gt;=500,"High Value","Standard")</f>
        <v>Standard</v>
      </c>
      <c r="P477" s="16" t="str">
        <f aca="false">H477&amp;" &gt; "&amp;I477&amp;" ("&amp;K477&amp;" units)"</f>
        <v>Office Supplies &gt; Paper (7 units)</v>
      </c>
      <c r="Q477" s="16" t="str">
        <f aca="false">VLOOKUP(G477,Region_Manager_Table,2,FALSE())</f>
        <v>Sana Sheikh</v>
      </c>
      <c r="R477" s="16" t="n">
        <f aca="false">INDEX(SLA_Days_Col,MATCH(A477,ShipMode_Col,0))</f>
        <v>4</v>
      </c>
    </row>
    <row r="478" customFormat="false" ht="15" hidden="false" customHeight="false" outlineLevel="0" collapsed="false">
      <c r="A478" s="10" t="s">
        <v>49</v>
      </c>
      <c r="B478" s="10" t="s">
        <v>50</v>
      </c>
      <c r="C478" s="10" t="s">
        <v>51</v>
      </c>
      <c r="D478" s="10" t="s">
        <v>88</v>
      </c>
      <c r="E478" s="10" t="s">
        <v>60</v>
      </c>
      <c r="F478" s="10" t="n">
        <v>94110</v>
      </c>
      <c r="G478" s="10" t="s">
        <v>61</v>
      </c>
      <c r="H478" s="10" t="s">
        <v>62</v>
      </c>
      <c r="I478" s="10" t="s">
        <v>77</v>
      </c>
      <c r="J478" s="13" t="n">
        <v>94.85</v>
      </c>
      <c r="K478" s="10" t="n">
        <v>5</v>
      </c>
      <c r="L478" s="14" t="n">
        <v>0</v>
      </c>
      <c r="M478" s="15" t="n">
        <v>45.528</v>
      </c>
      <c r="N478" s="10" t="str">
        <f aca="false">IF(M478&lt;0,"Loss",IF(M478&lt;50,"Low Profit",IF(M478&lt;200,"Medium Profit","High Profit")))</f>
        <v>Low Profit</v>
      </c>
      <c r="O478" s="10" t="str">
        <f aca="false">IF(J478&gt;=500,"High Value","Standard")</f>
        <v>Standard</v>
      </c>
      <c r="P478" s="10" t="str">
        <f aca="false">H478&amp;" &gt; "&amp;I478&amp;" ("&amp;K478&amp;" units)"</f>
        <v>Office Supplies &gt; Paper (5 units)</v>
      </c>
      <c r="Q478" s="10" t="str">
        <f aca="false">VLOOKUP(G478,Region_Manager_Table,2,FALSE())</f>
        <v>Sana Sheikh</v>
      </c>
      <c r="R478" s="10" t="n">
        <f aca="false">INDEX(SLA_Days_Col,MATCH(A478,ShipMode_Col,0))</f>
        <v>4</v>
      </c>
    </row>
    <row r="479" customFormat="false" ht="15" hidden="false" customHeight="false" outlineLevel="0" collapsed="false">
      <c r="A479" s="16" t="s">
        <v>64</v>
      </c>
      <c r="B479" s="16" t="s">
        <v>58</v>
      </c>
      <c r="C479" s="16" t="s">
        <v>51</v>
      </c>
      <c r="D479" s="16" t="s">
        <v>59</v>
      </c>
      <c r="E479" s="16" t="s">
        <v>60</v>
      </c>
      <c r="F479" s="16" t="n">
        <v>90008</v>
      </c>
      <c r="G479" s="16" t="s">
        <v>61</v>
      </c>
      <c r="H479" s="16" t="s">
        <v>71</v>
      </c>
      <c r="I479" s="16" t="s">
        <v>72</v>
      </c>
      <c r="J479" s="17" t="n">
        <v>95.76</v>
      </c>
      <c r="K479" s="16" t="n">
        <v>6</v>
      </c>
      <c r="L479" s="18" t="n">
        <v>0.2</v>
      </c>
      <c r="M479" s="19" t="n">
        <v>7.182</v>
      </c>
      <c r="N479" s="16" t="str">
        <f aca="false">IF(M479&lt;0,"Loss",IF(M479&lt;50,"Low Profit",IF(M479&lt;200,"Medium Profit","High Profit")))</f>
        <v>Low Profit</v>
      </c>
      <c r="O479" s="16" t="str">
        <f aca="false">IF(J479&gt;=500,"High Value","Standard")</f>
        <v>Standard</v>
      </c>
      <c r="P479" s="16" t="str">
        <f aca="false">H479&amp;" &gt; "&amp;I479&amp;" ("&amp;K479&amp;" units)"</f>
        <v>Technology &gt; Phones (6 units)</v>
      </c>
      <c r="Q479" s="16" t="str">
        <f aca="false">VLOOKUP(G479,Region_Manager_Table,2,FALSE())</f>
        <v>Sana Sheikh</v>
      </c>
      <c r="R479" s="16" t="n">
        <f aca="false">INDEX(SLA_Days_Col,MATCH(A479,ShipMode_Col,0))</f>
        <v>6</v>
      </c>
    </row>
    <row r="480" customFormat="false" ht="15" hidden="false" customHeight="false" outlineLevel="0" collapsed="false">
      <c r="A480" s="10" t="s">
        <v>64</v>
      </c>
      <c r="B480" s="10" t="s">
        <v>50</v>
      </c>
      <c r="C480" s="10" t="s">
        <v>51</v>
      </c>
      <c r="D480" s="10" t="s">
        <v>114</v>
      </c>
      <c r="E480" s="10" t="s">
        <v>112</v>
      </c>
      <c r="F480" s="10" t="n">
        <v>12180</v>
      </c>
      <c r="G480" s="10" t="s">
        <v>93</v>
      </c>
      <c r="H480" s="10" t="s">
        <v>55</v>
      </c>
      <c r="I480" s="10" t="s">
        <v>69</v>
      </c>
      <c r="J480" s="13" t="n">
        <v>40.2</v>
      </c>
      <c r="K480" s="10" t="n">
        <v>3</v>
      </c>
      <c r="L480" s="14" t="n">
        <v>0</v>
      </c>
      <c r="M480" s="15" t="n">
        <v>19.296</v>
      </c>
      <c r="N480" s="10" t="str">
        <f aca="false">IF(M480&lt;0,"Loss",IF(M480&lt;50,"Low Profit",IF(M480&lt;200,"Medium Profit","High Profit")))</f>
        <v>Low Profit</v>
      </c>
      <c r="O480" s="10" t="str">
        <f aca="false">IF(J480&gt;=500,"High Value","Standard")</f>
        <v>Standard</v>
      </c>
      <c r="P480" s="10" t="str">
        <f aca="false">H480&amp;" &gt; "&amp;I480&amp;" ("&amp;K480&amp;" units)"</f>
        <v>Furniture &gt; Furnishings (3 units)</v>
      </c>
      <c r="Q480" s="10" t="str">
        <f aca="false">VLOOKUP(G480,Region_Manager_Table,2,FALSE())</f>
        <v>Priya Menon</v>
      </c>
      <c r="R480" s="10" t="n">
        <f aca="false">INDEX(SLA_Days_Col,MATCH(A480,ShipMode_Col,0))</f>
        <v>6</v>
      </c>
    </row>
    <row r="481" customFormat="false" ht="15" hidden="false" customHeight="false" outlineLevel="0" collapsed="false">
      <c r="A481" s="16" t="s">
        <v>64</v>
      </c>
      <c r="B481" s="16" t="s">
        <v>58</v>
      </c>
      <c r="C481" s="16" t="s">
        <v>51</v>
      </c>
      <c r="D481" s="16" t="s">
        <v>111</v>
      </c>
      <c r="E481" s="16" t="s">
        <v>112</v>
      </c>
      <c r="F481" s="16" t="n">
        <v>10024</v>
      </c>
      <c r="G481" s="16" t="s">
        <v>93</v>
      </c>
      <c r="H481" s="16" t="s">
        <v>62</v>
      </c>
      <c r="I481" s="16" t="s">
        <v>70</v>
      </c>
      <c r="J481" s="17" t="n">
        <v>14.7</v>
      </c>
      <c r="K481" s="16" t="n">
        <v>5</v>
      </c>
      <c r="L481" s="18" t="n">
        <v>0</v>
      </c>
      <c r="M481" s="19" t="n">
        <v>6.615</v>
      </c>
      <c r="N481" s="16" t="str">
        <f aca="false">IF(M481&lt;0,"Loss",IF(M481&lt;50,"Low Profit",IF(M481&lt;200,"Medium Profit","High Profit")))</f>
        <v>Low Profit</v>
      </c>
      <c r="O481" s="16" t="str">
        <f aca="false">IF(J481&gt;=500,"High Value","Standard")</f>
        <v>Standard</v>
      </c>
      <c r="P481" s="16" t="str">
        <f aca="false">H481&amp;" &gt; "&amp;I481&amp;" ("&amp;K481&amp;" units)"</f>
        <v>Office Supplies &gt; Art (5 units)</v>
      </c>
      <c r="Q481" s="16" t="str">
        <f aca="false">VLOOKUP(G481,Region_Manager_Table,2,FALSE())</f>
        <v>Priya Menon</v>
      </c>
      <c r="R481" s="16" t="n">
        <f aca="false">INDEX(SLA_Days_Col,MATCH(A481,ShipMode_Col,0))</f>
        <v>6</v>
      </c>
    </row>
    <row r="482" customFormat="false" ht="15" hidden="false" customHeight="false" outlineLevel="0" collapsed="false">
      <c r="A482" s="10" t="s">
        <v>64</v>
      </c>
      <c r="B482" s="10" t="s">
        <v>58</v>
      </c>
      <c r="C482" s="10" t="s">
        <v>51</v>
      </c>
      <c r="D482" s="10" t="s">
        <v>111</v>
      </c>
      <c r="E482" s="10" t="s">
        <v>112</v>
      </c>
      <c r="F482" s="10" t="n">
        <v>10024</v>
      </c>
      <c r="G482" s="10" t="s">
        <v>93</v>
      </c>
      <c r="H482" s="10" t="s">
        <v>62</v>
      </c>
      <c r="I482" s="10" t="s">
        <v>68</v>
      </c>
      <c r="J482" s="13" t="n">
        <v>704.25</v>
      </c>
      <c r="K482" s="10" t="n">
        <v>5</v>
      </c>
      <c r="L482" s="14" t="n">
        <v>0</v>
      </c>
      <c r="M482" s="15" t="n">
        <v>84.51</v>
      </c>
      <c r="N482" s="10" t="str">
        <f aca="false">IF(M482&lt;0,"Loss",IF(M482&lt;50,"Low Profit",IF(M482&lt;200,"Medium Profit","High Profit")))</f>
        <v>Medium Profit</v>
      </c>
      <c r="O482" s="10" t="str">
        <f aca="false">IF(J482&gt;=500,"High Value","Standard")</f>
        <v>High Value</v>
      </c>
      <c r="P482" s="10" t="str">
        <f aca="false">H482&amp;" &gt; "&amp;I482&amp;" ("&amp;K482&amp;" units)"</f>
        <v>Office Supplies &gt; Storage (5 units)</v>
      </c>
      <c r="Q482" s="10" t="str">
        <f aca="false">VLOOKUP(G482,Region_Manager_Table,2,FALSE())</f>
        <v>Priya Menon</v>
      </c>
      <c r="R482" s="10" t="n">
        <f aca="false">INDEX(SLA_Days_Col,MATCH(A482,ShipMode_Col,0))</f>
        <v>6</v>
      </c>
    </row>
    <row r="483" customFormat="false" ht="15" hidden="false" customHeight="false" outlineLevel="0" collapsed="false">
      <c r="A483" s="16" t="s">
        <v>64</v>
      </c>
      <c r="B483" s="16" t="s">
        <v>50</v>
      </c>
      <c r="C483" s="16" t="s">
        <v>51</v>
      </c>
      <c r="D483" s="16" t="s">
        <v>180</v>
      </c>
      <c r="E483" s="16" t="s">
        <v>60</v>
      </c>
      <c r="F483" s="16" t="n">
        <v>92024</v>
      </c>
      <c r="G483" s="16" t="s">
        <v>61</v>
      </c>
      <c r="H483" s="16" t="s">
        <v>71</v>
      </c>
      <c r="I483" s="16" t="s">
        <v>95</v>
      </c>
      <c r="J483" s="17" t="n">
        <v>9.09</v>
      </c>
      <c r="K483" s="16" t="n">
        <v>3</v>
      </c>
      <c r="L483" s="18" t="n">
        <v>0</v>
      </c>
      <c r="M483" s="19" t="n">
        <v>1.9089</v>
      </c>
      <c r="N483" s="16" t="str">
        <f aca="false">IF(M483&lt;0,"Loss",IF(M483&lt;50,"Low Profit",IF(M483&lt;200,"Medium Profit","High Profit")))</f>
        <v>Low Profit</v>
      </c>
      <c r="O483" s="16" t="str">
        <f aca="false">IF(J483&gt;=500,"High Value","Standard")</f>
        <v>Standard</v>
      </c>
      <c r="P483" s="16" t="str">
        <f aca="false">H483&amp;" &gt; "&amp;I483&amp;" ("&amp;K483&amp;" units)"</f>
        <v>Technology &gt; Accessories (3 units)</v>
      </c>
      <c r="Q483" s="16" t="str">
        <f aca="false">VLOOKUP(G483,Region_Manager_Table,2,FALSE())</f>
        <v>Sana Sheikh</v>
      </c>
      <c r="R483" s="16" t="n">
        <f aca="false">INDEX(SLA_Days_Col,MATCH(A483,ShipMode_Col,0))</f>
        <v>6</v>
      </c>
    </row>
    <row r="484" customFormat="false" ht="15" hidden="false" customHeight="false" outlineLevel="0" collapsed="false">
      <c r="A484" s="10" t="s">
        <v>64</v>
      </c>
      <c r="B484" s="10" t="s">
        <v>50</v>
      </c>
      <c r="C484" s="10" t="s">
        <v>51</v>
      </c>
      <c r="D484" s="10" t="s">
        <v>111</v>
      </c>
      <c r="E484" s="10" t="s">
        <v>112</v>
      </c>
      <c r="F484" s="10" t="n">
        <v>10024</v>
      </c>
      <c r="G484" s="10" t="s">
        <v>93</v>
      </c>
      <c r="H484" s="10" t="s">
        <v>62</v>
      </c>
      <c r="I484" s="10" t="s">
        <v>70</v>
      </c>
      <c r="J484" s="13" t="n">
        <v>5.96</v>
      </c>
      <c r="K484" s="10" t="n">
        <v>2</v>
      </c>
      <c r="L484" s="14" t="n">
        <v>0</v>
      </c>
      <c r="M484" s="15" t="n">
        <v>1.6688</v>
      </c>
      <c r="N484" s="10" t="str">
        <f aca="false">IF(M484&lt;0,"Loss",IF(M484&lt;50,"Low Profit",IF(M484&lt;200,"Medium Profit","High Profit")))</f>
        <v>Low Profit</v>
      </c>
      <c r="O484" s="10" t="str">
        <f aca="false">IF(J484&gt;=500,"High Value","Standard")</f>
        <v>Standard</v>
      </c>
      <c r="P484" s="10" t="str">
        <f aca="false">H484&amp;" &gt; "&amp;I484&amp;" ("&amp;K484&amp;" units)"</f>
        <v>Office Supplies &gt; Art (2 units)</v>
      </c>
      <c r="Q484" s="10" t="str">
        <f aca="false">VLOOKUP(G484,Region_Manager_Table,2,FALSE())</f>
        <v>Priya Menon</v>
      </c>
      <c r="R484" s="10" t="n">
        <f aca="false">INDEX(SLA_Days_Col,MATCH(A484,ShipMode_Col,0))</f>
        <v>6</v>
      </c>
    </row>
    <row r="485" customFormat="false" ht="15" hidden="false" customHeight="false" outlineLevel="0" collapsed="false">
      <c r="A485" s="16" t="s">
        <v>64</v>
      </c>
      <c r="B485" s="16" t="s">
        <v>50</v>
      </c>
      <c r="C485" s="16" t="s">
        <v>51</v>
      </c>
      <c r="D485" s="16" t="s">
        <v>111</v>
      </c>
      <c r="E485" s="16" t="s">
        <v>112</v>
      </c>
      <c r="F485" s="16" t="n">
        <v>10024</v>
      </c>
      <c r="G485" s="16" t="s">
        <v>93</v>
      </c>
      <c r="H485" s="16" t="s">
        <v>71</v>
      </c>
      <c r="I485" s="16" t="s">
        <v>95</v>
      </c>
      <c r="J485" s="17" t="n">
        <v>159.98</v>
      </c>
      <c r="K485" s="16" t="n">
        <v>2</v>
      </c>
      <c r="L485" s="18" t="n">
        <v>0</v>
      </c>
      <c r="M485" s="19" t="n">
        <v>57.5928</v>
      </c>
      <c r="N485" s="16" t="str">
        <f aca="false">IF(M485&lt;0,"Loss",IF(M485&lt;50,"Low Profit",IF(M485&lt;200,"Medium Profit","High Profit")))</f>
        <v>Medium Profit</v>
      </c>
      <c r="O485" s="16" t="str">
        <f aca="false">IF(J485&gt;=500,"High Value","Standard")</f>
        <v>Standard</v>
      </c>
      <c r="P485" s="16" t="str">
        <f aca="false">H485&amp;" &gt; "&amp;I485&amp;" ("&amp;K485&amp;" units)"</f>
        <v>Technology &gt; Accessories (2 units)</v>
      </c>
      <c r="Q485" s="16" t="str">
        <f aca="false">VLOOKUP(G485,Region_Manager_Table,2,FALSE())</f>
        <v>Priya Menon</v>
      </c>
      <c r="R485" s="16" t="n">
        <f aca="false">INDEX(SLA_Days_Col,MATCH(A485,ShipMode_Col,0))</f>
        <v>6</v>
      </c>
    </row>
    <row r="486" customFormat="false" ht="15" hidden="false" customHeight="false" outlineLevel="0" collapsed="false">
      <c r="A486" s="10" t="s">
        <v>98</v>
      </c>
      <c r="B486" s="10" t="s">
        <v>80</v>
      </c>
      <c r="C486" s="10" t="s">
        <v>51</v>
      </c>
      <c r="D486" s="10" t="s">
        <v>59</v>
      </c>
      <c r="E486" s="10" t="s">
        <v>60</v>
      </c>
      <c r="F486" s="10" t="n">
        <v>90045</v>
      </c>
      <c r="G486" s="10" t="s">
        <v>61</v>
      </c>
      <c r="H486" s="10" t="s">
        <v>62</v>
      </c>
      <c r="I486" s="10" t="s">
        <v>63</v>
      </c>
      <c r="J486" s="13" t="n">
        <v>29.6</v>
      </c>
      <c r="K486" s="10" t="n">
        <v>2</v>
      </c>
      <c r="L486" s="14" t="n">
        <v>0</v>
      </c>
      <c r="M486" s="15" t="n">
        <v>14.8</v>
      </c>
      <c r="N486" s="10" t="str">
        <f aca="false">IF(M486&lt;0,"Loss",IF(M486&lt;50,"Low Profit",IF(M486&lt;200,"Medium Profit","High Profit")))</f>
        <v>Low Profit</v>
      </c>
      <c r="O486" s="10" t="str">
        <f aca="false">IF(J486&gt;=500,"High Value","Standard")</f>
        <v>Standard</v>
      </c>
      <c r="P486" s="10" t="str">
        <f aca="false">H486&amp;" &gt; "&amp;I486&amp;" ("&amp;K486&amp;" units)"</f>
        <v>Office Supplies &gt; Labels (2 units)</v>
      </c>
      <c r="Q486" s="10" t="str">
        <f aca="false">VLOOKUP(G486,Region_Manager_Table,2,FALSE())</f>
        <v>Sana Sheikh</v>
      </c>
      <c r="R486" s="10" t="n">
        <f aca="false">INDEX(SLA_Days_Col,MATCH(A486,ShipMode_Col,0))</f>
        <v>2</v>
      </c>
    </row>
    <row r="487" customFormat="false" ht="15" hidden="false" customHeight="false" outlineLevel="0" collapsed="false">
      <c r="A487" s="16" t="s">
        <v>98</v>
      </c>
      <c r="B487" s="16" t="s">
        <v>80</v>
      </c>
      <c r="C487" s="16" t="s">
        <v>51</v>
      </c>
      <c r="D487" s="16" t="s">
        <v>59</v>
      </c>
      <c r="E487" s="16" t="s">
        <v>60</v>
      </c>
      <c r="F487" s="16" t="n">
        <v>90045</v>
      </c>
      <c r="G487" s="16" t="s">
        <v>61</v>
      </c>
      <c r="H487" s="16" t="s">
        <v>55</v>
      </c>
      <c r="I487" s="16" t="s">
        <v>56</v>
      </c>
      <c r="J487" s="17" t="n">
        <v>514.165</v>
      </c>
      <c r="K487" s="16" t="n">
        <v>5</v>
      </c>
      <c r="L487" s="18" t="n">
        <v>0.15</v>
      </c>
      <c r="M487" s="19" t="n">
        <v>-30.245</v>
      </c>
      <c r="N487" s="16" t="str">
        <f aca="false">IF(M487&lt;0,"Loss",IF(M487&lt;50,"Low Profit",IF(M487&lt;200,"Medium Profit","High Profit")))</f>
        <v>Loss</v>
      </c>
      <c r="O487" s="16" t="str">
        <f aca="false">IF(J487&gt;=500,"High Value","Standard")</f>
        <v>High Value</v>
      </c>
      <c r="P487" s="16" t="str">
        <f aca="false">H487&amp;" &gt; "&amp;I487&amp;" ("&amp;K487&amp;" units)"</f>
        <v>Furniture &gt; Bookcases (5 units)</v>
      </c>
      <c r="Q487" s="16" t="str">
        <f aca="false">VLOOKUP(G487,Region_Manager_Table,2,FALSE())</f>
        <v>Sana Sheikh</v>
      </c>
      <c r="R487" s="16" t="n">
        <f aca="false">INDEX(SLA_Days_Col,MATCH(A487,ShipMode_Col,0))</f>
        <v>2</v>
      </c>
    </row>
    <row r="488" customFormat="false" ht="15" hidden="false" customHeight="false" outlineLevel="0" collapsed="false">
      <c r="A488" s="10" t="s">
        <v>98</v>
      </c>
      <c r="B488" s="10" t="s">
        <v>80</v>
      </c>
      <c r="C488" s="10" t="s">
        <v>51</v>
      </c>
      <c r="D488" s="10" t="s">
        <v>59</v>
      </c>
      <c r="E488" s="10" t="s">
        <v>60</v>
      </c>
      <c r="F488" s="10" t="n">
        <v>90045</v>
      </c>
      <c r="G488" s="10" t="s">
        <v>61</v>
      </c>
      <c r="H488" s="10" t="s">
        <v>71</v>
      </c>
      <c r="I488" s="10" t="s">
        <v>72</v>
      </c>
      <c r="J488" s="13" t="n">
        <v>279.96</v>
      </c>
      <c r="K488" s="10" t="n">
        <v>5</v>
      </c>
      <c r="L488" s="14" t="n">
        <v>0.2</v>
      </c>
      <c r="M488" s="15" t="n">
        <v>17.4975</v>
      </c>
      <c r="N488" s="10" t="str">
        <f aca="false">IF(M488&lt;0,"Loss",IF(M488&lt;50,"Low Profit",IF(M488&lt;200,"Medium Profit","High Profit")))</f>
        <v>Low Profit</v>
      </c>
      <c r="O488" s="10" t="str">
        <f aca="false">IF(J488&gt;=500,"High Value","Standard")</f>
        <v>Standard</v>
      </c>
      <c r="P488" s="10" t="str">
        <f aca="false">H488&amp;" &gt; "&amp;I488&amp;" ("&amp;K488&amp;" units)"</f>
        <v>Technology &gt; Phones (5 units)</v>
      </c>
      <c r="Q488" s="10" t="str">
        <f aca="false">VLOOKUP(G488,Region_Manager_Table,2,FALSE())</f>
        <v>Sana Sheikh</v>
      </c>
      <c r="R488" s="10" t="n">
        <f aca="false">INDEX(SLA_Days_Col,MATCH(A488,ShipMode_Col,0))</f>
        <v>2</v>
      </c>
    </row>
    <row r="489" customFormat="false" ht="15" hidden="false" customHeight="false" outlineLevel="0" collapsed="false">
      <c r="A489" s="16" t="s">
        <v>98</v>
      </c>
      <c r="B489" s="16" t="s">
        <v>50</v>
      </c>
      <c r="C489" s="16" t="s">
        <v>51</v>
      </c>
      <c r="D489" s="16" t="s">
        <v>115</v>
      </c>
      <c r="E489" s="16" t="s">
        <v>101</v>
      </c>
      <c r="F489" s="16" t="n">
        <v>60610</v>
      </c>
      <c r="G489" s="16" t="s">
        <v>83</v>
      </c>
      <c r="H489" s="16" t="s">
        <v>71</v>
      </c>
      <c r="I489" s="16" t="s">
        <v>72</v>
      </c>
      <c r="J489" s="17" t="n">
        <v>2735.952</v>
      </c>
      <c r="K489" s="16" t="n">
        <v>6</v>
      </c>
      <c r="L489" s="18" t="n">
        <v>0.2</v>
      </c>
      <c r="M489" s="19" t="n">
        <v>341.994</v>
      </c>
      <c r="N489" s="16" t="str">
        <f aca="false">IF(M489&lt;0,"Loss",IF(M489&lt;50,"Low Profit",IF(M489&lt;200,"Medium Profit","High Profit")))</f>
        <v>High Profit</v>
      </c>
      <c r="O489" s="16" t="str">
        <f aca="false">IF(J489&gt;=500,"High Value","Standard")</f>
        <v>High Value</v>
      </c>
      <c r="P489" s="16" t="str">
        <f aca="false">H489&amp;" &gt; "&amp;I489&amp;" ("&amp;K489&amp;" units)"</f>
        <v>Technology &gt; Phones (6 units)</v>
      </c>
      <c r="Q489" s="16" t="str">
        <f aca="false">VLOOKUP(G489,Region_Manager_Table,2,FALSE())</f>
        <v>Aditya Rao</v>
      </c>
      <c r="R489" s="16" t="n">
        <f aca="false">INDEX(SLA_Days_Col,MATCH(A489,ShipMode_Col,0))</f>
        <v>2</v>
      </c>
    </row>
    <row r="490" customFormat="false" ht="15" hidden="false" customHeight="false" outlineLevel="0" collapsed="false">
      <c r="A490" s="10" t="s">
        <v>49</v>
      </c>
      <c r="B490" s="10" t="s">
        <v>80</v>
      </c>
      <c r="C490" s="10" t="s">
        <v>51</v>
      </c>
      <c r="D490" s="10" t="s">
        <v>231</v>
      </c>
      <c r="E490" s="10" t="s">
        <v>82</v>
      </c>
      <c r="F490" s="10" t="n">
        <v>77340</v>
      </c>
      <c r="G490" s="10" t="s">
        <v>83</v>
      </c>
      <c r="H490" s="10" t="s">
        <v>71</v>
      </c>
      <c r="I490" s="10" t="s">
        <v>72</v>
      </c>
      <c r="J490" s="13" t="n">
        <v>7.992</v>
      </c>
      <c r="K490" s="10" t="n">
        <v>1</v>
      </c>
      <c r="L490" s="14" t="n">
        <v>0.2</v>
      </c>
      <c r="M490" s="15" t="n">
        <v>0.5994</v>
      </c>
      <c r="N490" s="10" t="str">
        <f aca="false">IF(M490&lt;0,"Loss",IF(M490&lt;50,"Low Profit",IF(M490&lt;200,"Medium Profit","High Profit")))</f>
        <v>Low Profit</v>
      </c>
      <c r="O490" s="10" t="str">
        <f aca="false">IF(J490&gt;=500,"High Value","Standard")</f>
        <v>Standard</v>
      </c>
      <c r="P490" s="10" t="str">
        <f aca="false">H490&amp;" &gt; "&amp;I490&amp;" ("&amp;K490&amp;" units)"</f>
        <v>Technology &gt; Phones (1 units)</v>
      </c>
      <c r="Q490" s="10" t="str">
        <f aca="false">VLOOKUP(G490,Region_Manager_Table,2,FALSE())</f>
        <v>Aditya Rao</v>
      </c>
      <c r="R490" s="10" t="n">
        <f aca="false">INDEX(SLA_Days_Col,MATCH(A490,ShipMode_Col,0))</f>
        <v>4</v>
      </c>
    </row>
    <row r="491" customFormat="false" ht="15" hidden="false" customHeight="false" outlineLevel="0" collapsed="false">
      <c r="A491" s="16" t="s">
        <v>49</v>
      </c>
      <c r="B491" s="16" t="s">
        <v>80</v>
      </c>
      <c r="C491" s="16" t="s">
        <v>51</v>
      </c>
      <c r="D491" s="16" t="s">
        <v>231</v>
      </c>
      <c r="E491" s="16" t="s">
        <v>82</v>
      </c>
      <c r="F491" s="16" t="n">
        <v>77340</v>
      </c>
      <c r="G491" s="16" t="s">
        <v>83</v>
      </c>
      <c r="H491" s="16" t="s">
        <v>71</v>
      </c>
      <c r="I491" s="16" t="s">
        <v>95</v>
      </c>
      <c r="J491" s="17" t="n">
        <v>63.984</v>
      </c>
      <c r="K491" s="16" t="n">
        <v>2</v>
      </c>
      <c r="L491" s="18" t="n">
        <v>0.2</v>
      </c>
      <c r="M491" s="19" t="n">
        <v>10.3974</v>
      </c>
      <c r="N491" s="16" t="str">
        <f aca="false">IF(M491&lt;0,"Loss",IF(M491&lt;50,"Low Profit",IF(M491&lt;200,"Medium Profit","High Profit")))</f>
        <v>Low Profit</v>
      </c>
      <c r="O491" s="16" t="str">
        <f aca="false">IF(J491&gt;=500,"High Value","Standard")</f>
        <v>Standard</v>
      </c>
      <c r="P491" s="16" t="str">
        <f aca="false">H491&amp;" &gt; "&amp;I491&amp;" ("&amp;K491&amp;" units)"</f>
        <v>Technology &gt; Accessories (2 units)</v>
      </c>
      <c r="Q491" s="16" t="str">
        <f aca="false">VLOOKUP(G491,Region_Manager_Table,2,FALSE())</f>
        <v>Aditya Rao</v>
      </c>
      <c r="R491" s="16" t="n">
        <f aca="false">INDEX(SLA_Days_Col,MATCH(A491,ShipMode_Col,0))</f>
        <v>4</v>
      </c>
    </row>
    <row r="492" customFormat="false" ht="15" hidden="false" customHeight="false" outlineLevel="0" collapsed="false">
      <c r="A492" s="10" t="s">
        <v>49</v>
      </c>
      <c r="B492" s="10" t="s">
        <v>80</v>
      </c>
      <c r="C492" s="10" t="s">
        <v>51</v>
      </c>
      <c r="D492" s="10" t="s">
        <v>231</v>
      </c>
      <c r="E492" s="10" t="s">
        <v>82</v>
      </c>
      <c r="F492" s="10" t="n">
        <v>77340</v>
      </c>
      <c r="G492" s="10" t="s">
        <v>83</v>
      </c>
      <c r="H492" s="10" t="s">
        <v>62</v>
      </c>
      <c r="I492" s="10" t="s">
        <v>70</v>
      </c>
      <c r="J492" s="13" t="n">
        <v>70.368</v>
      </c>
      <c r="K492" s="10" t="n">
        <v>2</v>
      </c>
      <c r="L492" s="14" t="n">
        <v>0.2</v>
      </c>
      <c r="M492" s="15" t="n">
        <v>6.1572</v>
      </c>
      <c r="N492" s="10" t="str">
        <f aca="false">IF(M492&lt;0,"Loss",IF(M492&lt;50,"Low Profit",IF(M492&lt;200,"Medium Profit","High Profit")))</f>
        <v>Low Profit</v>
      </c>
      <c r="O492" s="10" t="str">
        <f aca="false">IF(J492&gt;=500,"High Value","Standard")</f>
        <v>Standard</v>
      </c>
      <c r="P492" s="10" t="str">
        <f aca="false">H492&amp;" &gt; "&amp;I492&amp;" ("&amp;K492&amp;" units)"</f>
        <v>Office Supplies &gt; Art (2 units)</v>
      </c>
      <c r="Q492" s="10" t="str">
        <f aca="false">VLOOKUP(G492,Region_Manager_Table,2,FALSE())</f>
        <v>Aditya Rao</v>
      </c>
      <c r="R492" s="10" t="n">
        <f aca="false">INDEX(SLA_Days_Col,MATCH(A492,ShipMode_Col,0))</f>
        <v>4</v>
      </c>
    </row>
    <row r="493" customFormat="false" ht="15" hidden="false" customHeight="false" outlineLevel="0" collapsed="false">
      <c r="A493" s="16" t="s">
        <v>64</v>
      </c>
      <c r="B493" s="16" t="s">
        <v>50</v>
      </c>
      <c r="C493" s="16" t="s">
        <v>51</v>
      </c>
      <c r="D493" s="16" t="s">
        <v>128</v>
      </c>
      <c r="E493" s="16" t="s">
        <v>112</v>
      </c>
      <c r="F493" s="16" t="n">
        <v>14609</v>
      </c>
      <c r="G493" s="16" t="s">
        <v>93</v>
      </c>
      <c r="H493" s="16" t="s">
        <v>62</v>
      </c>
      <c r="I493" s="16" t="s">
        <v>68</v>
      </c>
      <c r="J493" s="17" t="n">
        <v>449.15</v>
      </c>
      <c r="K493" s="16" t="n">
        <v>5</v>
      </c>
      <c r="L493" s="18" t="n">
        <v>0</v>
      </c>
      <c r="M493" s="19" t="n">
        <v>8.983</v>
      </c>
      <c r="N493" s="16" t="str">
        <f aca="false">IF(M493&lt;0,"Loss",IF(M493&lt;50,"Low Profit",IF(M493&lt;200,"Medium Profit","High Profit")))</f>
        <v>Low Profit</v>
      </c>
      <c r="O493" s="16" t="str">
        <f aca="false">IF(J493&gt;=500,"High Value","Standard")</f>
        <v>Standard</v>
      </c>
      <c r="P493" s="16" t="str">
        <f aca="false">H493&amp;" &gt; "&amp;I493&amp;" ("&amp;K493&amp;" units)"</f>
        <v>Office Supplies &gt; Storage (5 units)</v>
      </c>
      <c r="Q493" s="16" t="str">
        <f aca="false">VLOOKUP(G493,Region_Manager_Table,2,FALSE())</f>
        <v>Priya Menon</v>
      </c>
      <c r="R493" s="16" t="n">
        <f aca="false">INDEX(SLA_Days_Col,MATCH(A493,ShipMode_Col,0))</f>
        <v>6</v>
      </c>
    </row>
    <row r="494" customFormat="false" ht="15" hidden="false" customHeight="false" outlineLevel="0" collapsed="false">
      <c r="A494" s="10" t="s">
        <v>64</v>
      </c>
      <c r="B494" s="10" t="s">
        <v>50</v>
      </c>
      <c r="C494" s="10" t="s">
        <v>51</v>
      </c>
      <c r="D494" s="10" t="s">
        <v>128</v>
      </c>
      <c r="E494" s="10" t="s">
        <v>112</v>
      </c>
      <c r="F494" s="10" t="n">
        <v>14609</v>
      </c>
      <c r="G494" s="10" t="s">
        <v>93</v>
      </c>
      <c r="H494" s="10" t="s">
        <v>62</v>
      </c>
      <c r="I494" s="10" t="s">
        <v>96</v>
      </c>
      <c r="J494" s="13" t="n">
        <v>11.07</v>
      </c>
      <c r="K494" s="10" t="n">
        <v>3</v>
      </c>
      <c r="L494" s="14" t="n">
        <v>0</v>
      </c>
      <c r="M494" s="15" t="n">
        <v>5.0922</v>
      </c>
      <c r="N494" s="10" t="str">
        <f aca="false">IF(M494&lt;0,"Loss",IF(M494&lt;50,"Low Profit",IF(M494&lt;200,"Medium Profit","High Profit")))</f>
        <v>Low Profit</v>
      </c>
      <c r="O494" s="10" t="str">
        <f aca="false">IF(J494&gt;=500,"High Value","Standard")</f>
        <v>Standard</v>
      </c>
      <c r="P494" s="10" t="str">
        <f aca="false">H494&amp;" &gt; "&amp;I494&amp;" ("&amp;K494&amp;" units)"</f>
        <v>Office Supplies &gt; Envelopes (3 units)</v>
      </c>
      <c r="Q494" s="10" t="str">
        <f aca="false">VLOOKUP(G494,Region_Manager_Table,2,FALSE())</f>
        <v>Priya Menon</v>
      </c>
      <c r="R494" s="10" t="n">
        <f aca="false">INDEX(SLA_Days_Col,MATCH(A494,ShipMode_Col,0))</f>
        <v>6</v>
      </c>
    </row>
    <row r="495" customFormat="false" ht="15" hidden="false" customHeight="false" outlineLevel="0" collapsed="false">
      <c r="A495" s="16" t="s">
        <v>64</v>
      </c>
      <c r="B495" s="16" t="s">
        <v>50</v>
      </c>
      <c r="C495" s="16" t="s">
        <v>51</v>
      </c>
      <c r="D495" s="16" t="s">
        <v>78</v>
      </c>
      <c r="E495" s="16" t="s">
        <v>79</v>
      </c>
      <c r="F495" s="16" t="n">
        <v>98115</v>
      </c>
      <c r="G495" s="16" t="s">
        <v>61</v>
      </c>
      <c r="H495" s="16" t="s">
        <v>71</v>
      </c>
      <c r="I495" s="16" t="s">
        <v>95</v>
      </c>
      <c r="J495" s="17" t="n">
        <v>93.98</v>
      </c>
      <c r="K495" s="16" t="n">
        <v>2</v>
      </c>
      <c r="L495" s="18" t="n">
        <v>0</v>
      </c>
      <c r="M495" s="19" t="n">
        <v>13.1572</v>
      </c>
      <c r="N495" s="16" t="str">
        <f aca="false">IF(M495&lt;0,"Loss",IF(M495&lt;50,"Low Profit",IF(M495&lt;200,"Medium Profit","High Profit")))</f>
        <v>Low Profit</v>
      </c>
      <c r="O495" s="16" t="str">
        <f aca="false">IF(J495&gt;=500,"High Value","Standard")</f>
        <v>Standard</v>
      </c>
      <c r="P495" s="16" t="str">
        <f aca="false">H495&amp;" &gt; "&amp;I495&amp;" ("&amp;K495&amp;" units)"</f>
        <v>Technology &gt; Accessories (2 units)</v>
      </c>
      <c r="Q495" s="16" t="str">
        <f aca="false">VLOOKUP(G495,Region_Manager_Table,2,FALSE())</f>
        <v>Sana Sheikh</v>
      </c>
      <c r="R495" s="16" t="n">
        <f aca="false">INDEX(SLA_Days_Col,MATCH(A495,ShipMode_Col,0))</f>
        <v>6</v>
      </c>
    </row>
    <row r="496" customFormat="false" ht="15" hidden="false" customHeight="false" outlineLevel="0" collapsed="false">
      <c r="A496" s="10" t="s">
        <v>49</v>
      </c>
      <c r="B496" s="10" t="s">
        <v>50</v>
      </c>
      <c r="C496" s="10" t="s">
        <v>51</v>
      </c>
      <c r="D496" s="10" t="s">
        <v>121</v>
      </c>
      <c r="E496" s="10" t="s">
        <v>122</v>
      </c>
      <c r="F496" s="10" t="n">
        <v>38109</v>
      </c>
      <c r="G496" s="10" t="s">
        <v>54</v>
      </c>
      <c r="H496" s="10" t="s">
        <v>55</v>
      </c>
      <c r="I496" s="10" t="s">
        <v>67</v>
      </c>
      <c r="J496" s="13" t="n">
        <v>189.882</v>
      </c>
      <c r="K496" s="10" t="n">
        <v>3</v>
      </c>
      <c r="L496" s="14" t="n">
        <v>0.4</v>
      </c>
      <c r="M496" s="15" t="n">
        <v>-94.941</v>
      </c>
      <c r="N496" s="10" t="str">
        <f aca="false">IF(M496&lt;0,"Loss",IF(M496&lt;50,"Low Profit",IF(M496&lt;200,"Medium Profit","High Profit")))</f>
        <v>Loss</v>
      </c>
      <c r="O496" s="10" t="str">
        <f aca="false">IF(J496&gt;=500,"High Value","Standard")</f>
        <v>Standard</v>
      </c>
      <c r="P496" s="10" t="str">
        <f aca="false">H496&amp;" &gt; "&amp;I496&amp;" ("&amp;K496&amp;" units)"</f>
        <v>Furniture &gt; Tables (3 units)</v>
      </c>
      <c r="Q496" s="10" t="str">
        <f aca="false">VLOOKUP(G496,Region_Manager_Table,2,FALSE())</f>
        <v>Karthik Iyer</v>
      </c>
      <c r="R496" s="10" t="n">
        <f aca="false">INDEX(SLA_Days_Col,MATCH(A496,ShipMode_Col,0))</f>
        <v>4</v>
      </c>
    </row>
    <row r="497" customFormat="false" ht="15" hidden="false" customHeight="false" outlineLevel="0" collapsed="false">
      <c r="A497" s="16" t="s">
        <v>64</v>
      </c>
      <c r="B497" s="16" t="s">
        <v>50</v>
      </c>
      <c r="C497" s="16" t="s">
        <v>51</v>
      </c>
      <c r="D497" s="16" t="s">
        <v>232</v>
      </c>
      <c r="E497" s="16" t="s">
        <v>233</v>
      </c>
      <c r="F497" s="16" t="n">
        <v>72701</v>
      </c>
      <c r="G497" s="16" t="s">
        <v>54</v>
      </c>
      <c r="H497" s="16" t="s">
        <v>62</v>
      </c>
      <c r="I497" s="16" t="s">
        <v>96</v>
      </c>
      <c r="J497" s="17" t="n">
        <v>105.42</v>
      </c>
      <c r="K497" s="16" t="n">
        <v>2</v>
      </c>
      <c r="L497" s="18" t="n">
        <v>0</v>
      </c>
      <c r="M497" s="19" t="n">
        <v>51.6558</v>
      </c>
      <c r="N497" s="16" t="str">
        <f aca="false">IF(M497&lt;0,"Loss",IF(M497&lt;50,"Low Profit",IF(M497&lt;200,"Medium Profit","High Profit")))</f>
        <v>Medium Profit</v>
      </c>
      <c r="O497" s="16" t="str">
        <f aca="false">IF(J497&gt;=500,"High Value","Standard")</f>
        <v>Standard</v>
      </c>
      <c r="P497" s="16" t="str">
        <f aca="false">H497&amp;" &gt; "&amp;I497&amp;" ("&amp;K497&amp;" units)"</f>
        <v>Office Supplies &gt; Envelopes (2 units)</v>
      </c>
      <c r="Q497" s="16" t="str">
        <f aca="false">VLOOKUP(G497,Region_Manager_Table,2,FALSE())</f>
        <v>Karthik Iyer</v>
      </c>
      <c r="R497" s="16" t="n">
        <f aca="false">INDEX(SLA_Days_Col,MATCH(A497,ShipMode_Col,0))</f>
        <v>6</v>
      </c>
    </row>
    <row r="498" customFormat="false" ht="15" hidden="false" customHeight="false" outlineLevel="0" collapsed="false">
      <c r="A498" s="10" t="s">
        <v>64</v>
      </c>
      <c r="B498" s="10" t="s">
        <v>50</v>
      </c>
      <c r="C498" s="10" t="s">
        <v>51</v>
      </c>
      <c r="D498" s="10" t="s">
        <v>234</v>
      </c>
      <c r="E498" s="10" t="s">
        <v>60</v>
      </c>
      <c r="F498" s="10" t="n">
        <v>92627</v>
      </c>
      <c r="G498" s="10" t="s">
        <v>61</v>
      </c>
      <c r="H498" s="10" t="s">
        <v>62</v>
      </c>
      <c r="I498" s="10" t="s">
        <v>73</v>
      </c>
      <c r="J498" s="13" t="n">
        <v>119.616</v>
      </c>
      <c r="K498" s="10" t="n">
        <v>8</v>
      </c>
      <c r="L498" s="14" t="n">
        <v>0.2</v>
      </c>
      <c r="M498" s="15" t="n">
        <v>40.3704</v>
      </c>
      <c r="N498" s="10" t="str">
        <f aca="false">IF(M498&lt;0,"Loss",IF(M498&lt;50,"Low Profit",IF(M498&lt;200,"Medium Profit","High Profit")))</f>
        <v>Low Profit</v>
      </c>
      <c r="O498" s="10" t="str">
        <f aca="false">IF(J498&gt;=500,"High Value","Standard")</f>
        <v>Standard</v>
      </c>
      <c r="P498" s="10" t="str">
        <f aca="false">H498&amp;" &gt; "&amp;I498&amp;" ("&amp;K498&amp;" units)"</f>
        <v>Office Supplies &gt; Binders (8 units)</v>
      </c>
      <c r="Q498" s="10" t="str">
        <f aca="false">VLOOKUP(G498,Region_Manager_Table,2,FALSE())</f>
        <v>Sana Sheikh</v>
      </c>
      <c r="R498" s="10" t="n">
        <f aca="false">INDEX(SLA_Days_Col,MATCH(A498,ShipMode_Col,0))</f>
        <v>6</v>
      </c>
    </row>
    <row r="499" customFormat="false" ht="15" hidden="false" customHeight="false" outlineLevel="0" collapsed="false">
      <c r="A499" s="16" t="s">
        <v>64</v>
      </c>
      <c r="B499" s="16" t="s">
        <v>50</v>
      </c>
      <c r="C499" s="16" t="s">
        <v>51</v>
      </c>
      <c r="D499" s="16" t="s">
        <v>234</v>
      </c>
      <c r="E499" s="16" t="s">
        <v>60</v>
      </c>
      <c r="F499" s="16" t="n">
        <v>92627</v>
      </c>
      <c r="G499" s="16" t="s">
        <v>61</v>
      </c>
      <c r="H499" s="16" t="s">
        <v>55</v>
      </c>
      <c r="I499" s="16" t="s">
        <v>69</v>
      </c>
      <c r="J499" s="17" t="n">
        <v>255.76</v>
      </c>
      <c r="K499" s="16" t="n">
        <v>4</v>
      </c>
      <c r="L499" s="18" t="n">
        <v>0</v>
      </c>
      <c r="M499" s="19" t="n">
        <v>81.8432</v>
      </c>
      <c r="N499" s="16" t="str">
        <f aca="false">IF(M499&lt;0,"Loss",IF(M499&lt;50,"Low Profit",IF(M499&lt;200,"Medium Profit","High Profit")))</f>
        <v>Medium Profit</v>
      </c>
      <c r="O499" s="16" t="str">
        <f aca="false">IF(J499&gt;=500,"High Value","Standard")</f>
        <v>Standard</v>
      </c>
      <c r="P499" s="16" t="str">
        <f aca="false">H499&amp;" &gt; "&amp;I499&amp;" ("&amp;K499&amp;" units)"</f>
        <v>Furniture &gt; Furnishings (4 units)</v>
      </c>
      <c r="Q499" s="16" t="str">
        <f aca="false">VLOOKUP(G499,Region_Manager_Table,2,FALSE())</f>
        <v>Sana Sheikh</v>
      </c>
      <c r="R499" s="16" t="n">
        <f aca="false">INDEX(SLA_Days_Col,MATCH(A499,ShipMode_Col,0))</f>
        <v>6</v>
      </c>
    </row>
    <row r="500" customFormat="false" ht="15" hidden="false" customHeight="false" outlineLevel="0" collapsed="false">
      <c r="A500" s="10" t="s">
        <v>64</v>
      </c>
      <c r="B500" s="10" t="s">
        <v>50</v>
      </c>
      <c r="C500" s="10" t="s">
        <v>51</v>
      </c>
      <c r="D500" s="10" t="s">
        <v>234</v>
      </c>
      <c r="E500" s="10" t="s">
        <v>60</v>
      </c>
      <c r="F500" s="10" t="n">
        <v>92627</v>
      </c>
      <c r="G500" s="10" t="s">
        <v>61</v>
      </c>
      <c r="H500" s="10" t="s">
        <v>55</v>
      </c>
      <c r="I500" s="10" t="s">
        <v>57</v>
      </c>
      <c r="J500" s="13" t="n">
        <v>241.568</v>
      </c>
      <c r="K500" s="10" t="n">
        <v>2</v>
      </c>
      <c r="L500" s="14" t="n">
        <v>0.2</v>
      </c>
      <c r="M500" s="15" t="n">
        <v>18.1176</v>
      </c>
      <c r="N500" s="10" t="str">
        <f aca="false">IF(M500&lt;0,"Loss",IF(M500&lt;50,"Low Profit",IF(M500&lt;200,"Medium Profit","High Profit")))</f>
        <v>Low Profit</v>
      </c>
      <c r="O500" s="10" t="str">
        <f aca="false">IF(J500&gt;=500,"High Value","Standard")</f>
        <v>Standard</v>
      </c>
      <c r="P500" s="10" t="str">
        <f aca="false">H500&amp;" &gt; "&amp;I500&amp;" ("&amp;K500&amp;" units)"</f>
        <v>Furniture &gt; Chairs (2 units)</v>
      </c>
      <c r="Q500" s="10" t="str">
        <f aca="false">VLOOKUP(G500,Region_Manager_Table,2,FALSE())</f>
        <v>Sana Sheikh</v>
      </c>
      <c r="R500" s="10" t="n">
        <f aca="false">INDEX(SLA_Days_Col,MATCH(A500,ShipMode_Col,0))</f>
        <v>6</v>
      </c>
    </row>
    <row r="501" customFormat="false" ht="15" hidden="false" customHeight="false" outlineLevel="0" collapsed="false">
      <c r="A501" s="16" t="s">
        <v>64</v>
      </c>
      <c r="B501" s="16" t="s">
        <v>50</v>
      </c>
      <c r="C501" s="16" t="s">
        <v>51</v>
      </c>
      <c r="D501" s="16" t="s">
        <v>234</v>
      </c>
      <c r="E501" s="16" t="s">
        <v>60</v>
      </c>
      <c r="F501" s="16" t="n">
        <v>92627</v>
      </c>
      <c r="G501" s="16" t="s">
        <v>61</v>
      </c>
      <c r="H501" s="16" t="s">
        <v>55</v>
      </c>
      <c r="I501" s="16" t="s">
        <v>69</v>
      </c>
      <c r="J501" s="17" t="n">
        <v>69.3</v>
      </c>
      <c r="K501" s="16" t="n">
        <v>9</v>
      </c>
      <c r="L501" s="18" t="n">
        <v>0</v>
      </c>
      <c r="M501" s="19" t="n">
        <v>22.869</v>
      </c>
      <c r="N501" s="16" t="str">
        <f aca="false">IF(M501&lt;0,"Loss",IF(M501&lt;50,"Low Profit",IF(M501&lt;200,"Medium Profit","High Profit")))</f>
        <v>Low Profit</v>
      </c>
      <c r="O501" s="16" t="str">
        <f aca="false">IF(J501&gt;=500,"High Value","Standard")</f>
        <v>Standard</v>
      </c>
      <c r="P501" s="16" t="str">
        <f aca="false">H501&amp;" &gt; "&amp;I501&amp;" ("&amp;K501&amp;" units)"</f>
        <v>Furniture &gt; Furnishings (9 units)</v>
      </c>
      <c r="Q501" s="16" t="str">
        <f aca="false">VLOOKUP(G501,Region_Manager_Table,2,FALSE())</f>
        <v>Sana Sheikh</v>
      </c>
      <c r="R501" s="16" t="n">
        <f aca="false">INDEX(SLA_Days_Col,MATCH(A501,ShipMode_Col,0))</f>
        <v>6</v>
      </c>
    </row>
    <row r="502" customFormat="false" ht="15" hidden="false" customHeight="false" outlineLevel="0" collapsed="false">
      <c r="A502" s="10" t="s">
        <v>64</v>
      </c>
      <c r="B502" s="10" t="s">
        <v>58</v>
      </c>
      <c r="C502" s="10" t="s">
        <v>51</v>
      </c>
      <c r="D502" s="10" t="s">
        <v>235</v>
      </c>
      <c r="E502" s="10" t="s">
        <v>134</v>
      </c>
      <c r="F502" s="10" t="n">
        <v>80134</v>
      </c>
      <c r="G502" s="10" t="s">
        <v>61</v>
      </c>
      <c r="H502" s="10" t="s">
        <v>62</v>
      </c>
      <c r="I502" s="10" t="s">
        <v>73</v>
      </c>
      <c r="J502" s="13" t="n">
        <v>22.62</v>
      </c>
      <c r="K502" s="10" t="n">
        <v>2</v>
      </c>
      <c r="L502" s="14" t="n">
        <v>0.7</v>
      </c>
      <c r="M502" s="15" t="n">
        <v>-15.08</v>
      </c>
      <c r="N502" s="10" t="str">
        <f aca="false">IF(M502&lt;0,"Loss",IF(M502&lt;50,"Low Profit",IF(M502&lt;200,"Medium Profit","High Profit")))</f>
        <v>Loss</v>
      </c>
      <c r="O502" s="10" t="str">
        <f aca="false">IF(J502&gt;=500,"High Value","Standard")</f>
        <v>Standard</v>
      </c>
      <c r="P502" s="10" t="str">
        <f aca="false">H502&amp;" &gt; "&amp;I502&amp;" ("&amp;K502&amp;" units)"</f>
        <v>Office Supplies &gt; Binders (2 units)</v>
      </c>
      <c r="Q502" s="10" t="str">
        <f aca="false">VLOOKUP(G502,Region_Manager_Table,2,FALSE())</f>
        <v>Sana Sheikh</v>
      </c>
      <c r="R502" s="10" t="n">
        <f aca="false">INDEX(SLA_Days_Col,MATCH(A502,ShipMode_Col,0))</f>
        <v>6</v>
      </c>
    </row>
    <row r="503" customFormat="false" ht="15" hidden="false" customHeight="false" outlineLevel="0" collapsed="false">
      <c r="A503" s="16" t="s">
        <v>64</v>
      </c>
      <c r="B503" s="16" t="s">
        <v>58</v>
      </c>
      <c r="C503" s="16" t="s">
        <v>51</v>
      </c>
      <c r="D503" s="16" t="s">
        <v>235</v>
      </c>
      <c r="E503" s="16" t="s">
        <v>134</v>
      </c>
      <c r="F503" s="16" t="n">
        <v>80134</v>
      </c>
      <c r="G503" s="16" t="s">
        <v>61</v>
      </c>
      <c r="H503" s="16" t="s">
        <v>62</v>
      </c>
      <c r="I503" s="16" t="s">
        <v>73</v>
      </c>
      <c r="J503" s="17" t="n">
        <v>14.952</v>
      </c>
      <c r="K503" s="16" t="n">
        <v>2</v>
      </c>
      <c r="L503" s="18" t="n">
        <v>0.7</v>
      </c>
      <c r="M503" s="19" t="n">
        <v>-11.9616</v>
      </c>
      <c r="N503" s="16" t="str">
        <f aca="false">IF(M503&lt;0,"Loss",IF(M503&lt;50,"Low Profit",IF(M503&lt;200,"Medium Profit","High Profit")))</f>
        <v>Loss</v>
      </c>
      <c r="O503" s="16" t="str">
        <f aca="false">IF(J503&gt;=500,"High Value","Standard")</f>
        <v>Standard</v>
      </c>
      <c r="P503" s="16" t="str">
        <f aca="false">H503&amp;" &gt; "&amp;I503&amp;" ("&amp;K503&amp;" units)"</f>
        <v>Office Supplies &gt; Binders (2 units)</v>
      </c>
      <c r="Q503" s="16" t="str">
        <f aca="false">VLOOKUP(G503,Region_Manager_Table,2,FALSE())</f>
        <v>Sana Sheikh</v>
      </c>
      <c r="R503" s="16" t="n">
        <f aca="false">INDEX(SLA_Days_Col,MATCH(A503,ShipMode_Col,0))</f>
        <v>6</v>
      </c>
    </row>
    <row r="504" customFormat="false" ht="15" hidden="false" customHeight="false" outlineLevel="0" collapsed="false">
      <c r="A504" s="10" t="s">
        <v>64</v>
      </c>
      <c r="B504" s="10" t="s">
        <v>58</v>
      </c>
      <c r="C504" s="10" t="s">
        <v>51</v>
      </c>
      <c r="D504" s="10" t="s">
        <v>235</v>
      </c>
      <c r="E504" s="10" t="s">
        <v>134</v>
      </c>
      <c r="F504" s="10" t="n">
        <v>80134</v>
      </c>
      <c r="G504" s="10" t="s">
        <v>61</v>
      </c>
      <c r="H504" s="10" t="s">
        <v>55</v>
      </c>
      <c r="I504" s="10" t="s">
        <v>57</v>
      </c>
      <c r="J504" s="13" t="n">
        <v>801.568</v>
      </c>
      <c r="K504" s="10" t="n">
        <v>2</v>
      </c>
      <c r="L504" s="14" t="n">
        <v>0.2</v>
      </c>
      <c r="M504" s="15" t="n">
        <v>50.098</v>
      </c>
      <c r="N504" s="10" t="str">
        <f aca="false">IF(M504&lt;0,"Loss",IF(M504&lt;50,"Low Profit",IF(M504&lt;200,"Medium Profit","High Profit")))</f>
        <v>Medium Profit</v>
      </c>
      <c r="O504" s="10" t="str">
        <f aca="false">IF(J504&gt;=500,"High Value","Standard")</f>
        <v>High Value</v>
      </c>
      <c r="P504" s="10" t="str">
        <f aca="false">H504&amp;" &gt; "&amp;I504&amp;" ("&amp;K504&amp;" units)"</f>
        <v>Furniture &gt; Chairs (2 units)</v>
      </c>
      <c r="Q504" s="10" t="str">
        <f aca="false">VLOOKUP(G504,Region_Manager_Table,2,FALSE())</f>
        <v>Sana Sheikh</v>
      </c>
      <c r="R504" s="10" t="n">
        <f aca="false">INDEX(SLA_Days_Col,MATCH(A504,ShipMode_Col,0))</f>
        <v>6</v>
      </c>
    </row>
    <row r="505" customFormat="false" ht="15" hidden="false" customHeight="false" outlineLevel="0" collapsed="false">
      <c r="A505" s="16" t="s">
        <v>64</v>
      </c>
      <c r="B505" s="16" t="s">
        <v>58</v>
      </c>
      <c r="C505" s="16" t="s">
        <v>51</v>
      </c>
      <c r="D505" s="16" t="s">
        <v>235</v>
      </c>
      <c r="E505" s="16" t="s">
        <v>134</v>
      </c>
      <c r="F505" s="16" t="n">
        <v>80134</v>
      </c>
      <c r="G505" s="16" t="s">
        <v>61</v>
      </c>
      <c r="H505" s="16" t="s">
        <v>62</v>
      </c>
      <c r="I505" s="16" t="s">
        <v>73</v>
      </c>
      <c r="J505" s="17" t="n">
        <v>2.376</v>
      </c>
      <c r="K505" s="16" t="n">
        <v>3</v>
      </c>
      <c r="L505" s="18" t="n">
        <v>0.7</v>
      </c>
      <c r="M505" s="19" t="n">
        <v>-1.9008</v>
      </c>
      <c r="N505" s="16" t="str">
        <f aca="false">IF(M505&lt;0,"Loss",IF(M505&lt;50,"Low Profit",IF(M505&lt;200,"Medium Profit","High Profit")))</f>
        <v>Loss</v>
      </c>
      <c r="O505" s="16" t="str">
        <f aca="false">IF(J505&gt;=500,"High Value","Standard")</f>
        <v>Standard</v>
      </c>
      <c r="P505" s="16" t="str">
        <f aca="false">H505&amp;" &gt; "&amp;I505&amp;" ("&amp;K505&amp;" units)"</f>
        <v>Office Supplies &gt; Binders (3 units)</v>
      </c>
      <c r="Q505" s="16" t="str">
        <f aca="false">VLOOKUP(G505,Region_Manager_Table,2,FALSE())</f>
        <v>Sana Sheikh</v>
      </c>
      <c r="R505" s="16" t="n">
        <f aca="false">INDEX(SLA_Days_Col,MATCH(A505,ShipMode_Col,0))</f>
        <v>6</v>
      </c>
    </row>
    <row r="506" customFormat="false" ht="15" hidden="false" customHeight="false" outlineLevel="0" collapsed="false">
      <c r="A506" s="10" t="s">
        <v>64</v>
      </c>
      <c r="B506" s="10" t="s">
        <v>58</v>
      </c>
      <c r="C506" s="10" t="s">
        <v>51</v>
      </c>
      <c r="D506" s="10" t="s">
        <v>235</v>
      </c>
      <c r="E506" s="10" t="s">
        <v>134</v>
      </c>
      <c r="F506" s="10" t="n">
        <v>80134</v>
      </c>
      <c r="G506" s="10" t="s">
        <v>61</v>
      </c>
      <c r="H506" s="10" t="s">
        <v>62</v>
      </c>
      <c r="I506" s="10" t="s">
        <v>77</v>
      </c>
      <c r="J506" s="13" t="n">
        <v>32.792</v>
      </c>
      <c r="K506" s="10" t="n">
        <v>1</v>
      </c>
      <c r="L506" s="14" t="n">
        <v>0.2</v>
      </c>
      <c r="M506" s="15" t="n">
        <v>11.8871</v>
      </c>
      <c r="N506" s="10" t="str">
        <f aca="false">IF(M506&lt;0,"Loss",IF(M506&lt;50,"Low Profit",IF(M506&lt;200,"Medium Profit","High Profit")))</f>
        <v>Low Profit</v>
      </c>
      <c r="O506" s="10" t="str">
        <f aca="false">IF(J506&gt;=500,"High Value","Standard")</f>
        <v>Standard</v>
      </c>
      <c r="P506" s="10" t="str">
        <f aca="false">H506&amp;" &gt; "&amp;I506&amp;" ("&amp;K506&amp;" units)"</f>
        <v>Office Supplies &gt; Paper (1 units)</v>
      </c>
      <c r="Q506" s="10" t="str">
        <f aca="false">VLOOKUP(G506,Region_Manager_Table,2,FALSE())</f>
        <v>Sana Sheikh</v>
      </c>
      <c r="R506" s="10" t="n">
        <f aca="false">INDEX(SLA_Days_Col,MATCH(A506,ShipMode_Col,0))</f>
        <v>6</v>
      </c>
    </row>
    <row r="507" customFormat="false" ht="15" hidden="false" customHeight="false" outlineLevel="0" collapsed="false">
      <c r="A507" s="16" t="s">
        <v>49</v>
      </c>
      <c r="B507" s="16" t="s">
        <v>58</v>
      </c>
      <c r="C507" s="16" t="s">
        <v>51</v>
      </c>
      <c r="D507" s="16" t="s">
        <v>111</v>
      </c>
      <c r="E507" s="16" t="s">
        <v>112</v>
      </c>
      <c r="F507" s="16" t="n">
        <v>10024</v>
      </c>
      <c r="G507" s="16" t="s">
        <v>93</v>
      </c>
      <c r="H507" s="16" t="s">
        <v>62</v>
      </c>
      <c r="I507" s="16" t="s">
        <v>73</v>
      </c>
      <c r="J507" s="17" t="n">
        <v>15.92</v>
      </c>
      <c r="K507" s="16" t="n">
        <v>5</v>
      </c>
      <c r="L507" s="18" t="n">
        <v>0.2</v>
      </c>
      <c r="M507" s="19" t="n">
        <v>5.373</v>
      </c>
      <c r="N507" s="16" t="str">
        <f aca="false">IF(M507&lt;0,"Loss",IF(M507&lt;50,"Low Profit",IF(M507&lt;200,"Medium Profit","High Profit")))</f>
        <v>Low Profit</v>
      </c>
      <c r="O507" s="16" t="str">
        <f aca="false">IF(J507&gt;=500,"High Value","Standard")</f>
        <v>Standard</v>
      </c>
      <c r="P507" s="16" t="str">
        <f aca="false">H507&amp;" &gt; "&amp;I507&amp;" ("&amp;K507&amp;" units)"</f>
        <v>Office Supplies &gt; Binders (5 units)</v>
      </c>
      <c r="Q507" s="16" t="str">
        <f aca="false">VLOOKUP(G507,Region_Manager_Table,2,FALSE())</f>
        <v>Priya Menon</v>
      </c>
      <c r="R507" s="16" t="n">
        <f aca="false">INDEX(SLA_Days_Col,MATCH(A507,ShipMode_Col,0))</f>
        <v>4</v>
      </c>
    </row>
    <row r="508" customFormat="false" ht="15" hidden="false" customHeight="false" outlineLevel="0" collapsed="false">
      <c r="A508" s="10" t="s">
        <v>64</v>
      </c>
      <c r="B508" s="10" t="s">
        <v>50</v>
      </c>
      <c r="C508" s="10" t="s">
        <v>51</v>
      </c>
      <c r="D508" s="10" t="s">
        <v>236</v>
      </c>
      <c r="E508" s="10" t="s">
        <v>203</v>
      </c>
      <c r="F508" s="10" t="n">
        <v>30318</v>
      </c>
      <c r="G508" s="10" t="s">
        <v>54</v>
      </c>
      <c r="H508" s="10" t="s">
        <v>62</v>
      </c>
      <c r="I508" s="10" t="s">
        <v>70</v>
      </c>
      <c r="J508" s="13" t="n">
        <v>2.74</v>
      </c>
      <c r="K508" s="10" t="n">
        <v>1</v>
      </c>
      <c r="L508" s="14" t="n">
        <v>0</v>
      </c>
      <c r="M508" s="15" t="n">
        <v>0.7398</v>
      </c>
      <c r="N508" s="10" t="str">
        <f aca="false">IF(M508&lt;0,"Loss",IF(M508&lt;50,"Low Profit",IF(M508&lt;200,"Medium Profit","High Profit")))</f>
        <v>Low Profit</v>
      </c>
      <c r="O508" s="10" t="str">
        <f aca="false">IF(J508&gt;=500,"High Value","Standard")</f>
        <v>Standard</v>
      </c>
      <c r="P508" s="10" t="str">
        <f aca="false">H508&amp;" &gt; "&amp;I508&amp;" ("&amp;K508&amp;" units)"</f>
        <v>Office Supplies &gt; Art (1 units)</v>
      </c>
      <c r="Q508" s="10" t="str">
        <f aca="false">VLOOKUP(G508,Region_Manager_Table,2,FALSE())</f>
        <v>Karthik Iyer</v>
      </c>
      <c r="R508" s="10" t="n">
        <f aca="false">INDEX(SLA_Days_Col,MATCH(A508,ShipMode_Col,0))</f>
        <v>6</v>
      </c>
    </row>
    <row r="509" customFormat="false" ht="15" hidden="false" customHeight="false" outlineLevel="0" collapsed="false">
      <c r="A509" s="16" t="s">
        <v>64</v>
      </c>
      <c r="B509" s="16" t="s">
        <v>50</v>
      </c>
      <c r="C509" s="16" t="s">
        <v>51</v>
      </c>
      <c r="D509" s="16" t="s">
        <v>236</v>
      </c>
      <c r="E509" s="16" t="s">
        <v>203</v>
      </c>
      <c r="F509" s="16" t="n">
        <v>30318</v>
      </c>
      <c r="G509" s="16" t="s">
        <v>54</v>
      </c>
      <c r="H509" s="16" t="s">
        <v>62</v>
      </c>
      <c r="I509" s="16" t="s">
        <v>70</v>
      </c>
      <c r="J509" s="17" t="n">
        <v>8.34</v>
      </c>
      <c r="K509" s="16" t="n">
        <v>3</v>
      </c>
      <c r="L509" s="18" t="n">
        <v>0</v>
      </c>
      <c r="M509" s="19" t="n">
        <v>2.1684</v>
      </c>
      <c r="N509" s="16" t="str">
        <f aca="false">IF(M509&lt;0,"Loss",IF(M509&lt;50,"Low Profit",IF(M509&lt;200,"Medium Profit","High Profit")))</f>
        <v>Low Profit</v>
      </c>
      <c r="O509" s="16" t="str">
        <f aca="false">IF(J509&gt;=500,"High Value","Standard")</f>
        <v>Standard</v>
      </c>
      <c r="P509" s="16" t="str">
        <f aca="false">H509&amp;" &gt; "&amp;I509&amp;" ("&amp;K509&amp;" units)"</f>
        <v>Office Supplies &gt; Art (3 units)</v>
      </c>
      <c r="Q509" s="16" t="str">
        <f aca="false">VLOOKUP(G509,Region_Manager_Table,2,FALSE())</f>
        <v>Karthik Iyer</v>
      </c>
      <c r="R509" s="16" t="n">
        <f aca="false">INDEX(SLA_Days_Col,MATCH(A509,ShipMode_Col,0))</f>
        <v>6</v>
      </c>
    </row>
    <row r="510" customFormat="false" ht="15" hidden="false" customHeight="false" outlineLevel="0" collapsed="false">
      <c r="A510" s="10" t="s">
        <v>64</v>
      </c>
      <c r="B510" s="10" t="s">
        <v>50</v>
      </c>
      <c r="C510" s="10" t="s">
        <v>51</v>
      </c>
      <c r="D510" s="10" t="s">
        <v>236</v>
      </c>
      <c r="E510" s="10" t="s">
        <v>203</v>
      </c>
      <c r="F510" s="10" t="n">
        <v>30318</v>
      </c>
      <c r="G510" s="10" t="s">
        <v>54</v>
      </c>
      <c r="H510" s="10" t="s">
        <v>62</v>
      </c>
      <c r="I510" s="10" t="s">
        <v>68</v>
      </c>
      <c r="J510" s="13" t="n">
        <v>46.74</v>
      </c>
      <c r="K510" s="10" t="n">
        <v>3</v>
      </c>
      <c r="L510" s="14" t="n">
        <v>0</v>
      </c>
      <c r="M510" s="15" t="n">
        <v>11.685</v>
      </c>
      <c r="N510" s="10" t="str">
        <f aca="false">IF(M510&lt;0,"Loss",IF(M510&lt;50,"Low Profit",IF(M510&lt;200,"Medium Profit","High Profit")))</f>
        <v>Low Profit</v>
      </c>
      <c r="O510" s="10" t="str">
        <f aca="false">IF(J510&gt;=500,"High Value","Standard")</f>
        <v>Standard</v>
      </c>
      <c r="P510" s="10" t="str">
        <f aca="false">H510&amp;" &gt; "&amp;I510&amp;" ("&amp;K510&amp;" units)"</f>
        <v>Office Supplies &gt; Storage (3 units)</v>
      </c>
      <c r="Q510" s="10" t="str">
        <f aca="false">VLOOKUP(G510,Region_Manager_Table,2,FALSE())</f>
        <v>Karthik Iyer</v>
      </c>
      <c r="R510" s="10" t="n">
        <f aca="false">INDEX(SLA_Days_Col,MATCH(A510,ShipMode_Col,0))</f>
        <v>6</v>
      </c>
    </row>
    <row r="511" customFormat="false" ht="15" hidden="false" customHeight="false" outlineLevel="0" collapsed="false">
      <c r="A511" s="16" t="s">
        <v>64</v>
      </c>
      <c r="B511" s="16" t="s">
        <v>50</v>
      </c>
      <c r="C511" s="16" t="s">
        <v>51</v>
      </c>
      <c r="D511" s="16" t="s">
        <v>236</v>
      </c>
      <c r="E511" s="16" t="s">
        <v>203</v>
      </c>
      <c r="F511" s="16" t="n">
        <v>30318</v>
      </c>
      <c r="G511" s="16" t="s">
        <v>54</v>
      </c>
      <c r="H511" s="16" t="s">
        <v>62</v>
      </c>
      <c r="I511" s="16" t="s">
        <v>73</v>
      </c>
      <c r="J511" s="17" t="n">
        <v>6354.95</v>
      </c>
      <c r="K511" s="16" t="n">
        <v>5</v>
      </c>
      <c r="L511" s="18" t="n">
        <v>0</v>
      </c>
      <c r="M511" s="19" t="n">
        <v>3177.475</v>
      </c>
      <c r="N511" s="16" t="str">
        <f aca="false">IF(M511&lt;0,"Loss",IF(M511&lt;50,"Low Profit",IF(M511&lt;200,"Medium Profit","High Profit")))</f>
        <v>High Profit</v>
      </c>
      <c r="O511" s="16" t="str">
        <f aca="false">IF(J511&gt;=500,"High Value","Standard")</f>
        <v>High Value</v>
      </c>
      <c r="P511" s="16" t="str">
        <f aca="false">H511&amp;" &gt; "&amp;I511&amp;" ("&amp;K511&amp;" units)"</f>
        <v>Office Supplies &gt; Binders (5 units)</v>
      </c>
      <c r="Q511" s="16" t="str">
        <f aca="false">VLOOKUP(G511,Region_Manager_Table,2,FALSE())</f>
        <v>Karthik Iyer</v>
      </c>
      <c r="R511" s="16" t="n">
        <f aca="false">INDEX(SLA_Days_Col,MATCH(A511,ShipMode_Col,0))</f>
        <v>6</v>
      </c>
    </row>
    <row r="512" customFormat="false" ht="15" hidden="false" customHeight="false" outlineLevel="0" collapsed="false">
      <c r="A512" s="10" t="s">
        <v>98</v>
      </c>
      <c r="B512" s="10" t="s">
        <v>50</v>
      </c>
      <c r="C512" s="10" t="s">
        <v>51</v>
      </c>
      <c r="D512" s="10" t="s">
        <v>237</v>
      </c>
      <c r="E512" s="10" t="s">
        <v>148</v>
      </c>
      <c r="F512" s="10" t="n">
        <v>64118</v>
      </c>
      <c r="G512" s="10" t="s">
        <v>83</v>
      </c>
      <c r="H512" s="10" t="s">
        <v>55</v>
      </c>
      <c r="I512" s="10" t="s">
        <v>69</v>
      </c>
      <c r="J512" s="13" t="n">
        <v>126.3</v>
      </c>
      <c r="K512" s="10" t="n">
        <v>3</v>
      </c>
      <c r="L512" s="14" t="n">
        <v>0</v>
      </c>
      <c r="M512" s="15" t="n">
        <v>40.416</v>
      </c>
      <c r="N512" s="10" t="str">
        <f aca="false">IF(M512&lt;0,"Loss",IF(M512&lt;50,"Low Profit",IF(M512&lt;200,"Medium Profit","High Profit")))</f>
        <v>Low Profit</v>
      </c>
      <c r="O512" s="10" t="str">
        <f aca="false">IF(J512&gt;=500,"High Value","Standard")</f>
        <v>Standard</v>
      </c>
      <c r="P512" s="10" t="str">
        <f aca="false">H512&amp;" &gt; "&amp;I512&amp;" ("&amp;K512&amp;" units)"</f>
        <v>Furniture &gt; Furnishings (3 units)</v>
      </c>
      <c r="Q512" s="10" t="str">
        <f aca="false">VLOOKUP(G512,Region_Manager_Table,2,FALSE())</f>
        <v>Aditya Rao</v>
      </c>
      <c r="R512" s="10" t="n">
        <f aca="false">INDEX(SLA_Days_Col,MATCH(A512,ShipMode_Col,0))</f>
        <v>2</v>
      </c>
    </row>
    <row r="513" customFormat="false" ht="15" hidden="false" customHeight="false" outlineLevel="0" collapsed="false">
      <c r="A513" s="16" t="s">
        <v>98</v>
      </c>
      <c r="B513" s="16" t="s">
        <v>50</v>
      </c>
      <c r="C513" s="16" t="s">
        <v>51</v>
      </c>
      <c r="D513" s="16" t="s">
        <v>237</v>
      </c>
      <c r="E513" s="16" t="s">
        <v>148</v>
      </c>
      <c r="F513" s="16" t="n">
        <v>64118</v>
      </c>
      <c r="G513" s="16" t="s">
        <v>83</v>
      </c>
      <c r="H513" s="16" t="s">
        <v>71</v>
      </c>
      <c r="I513" s="16" t="s">
        <v>95</v>
      </c>
      <c r="J513" s="17" t="n">
        <v>38.04</v>
      </c>
      <c r="K513" s="16" t="n">
        <v>2</v>
      </c>
      <c r="L513" s="18" t="n">
        <v>0</v>
      </c>
      <c r="M513" s="19" t="n">
        <v>12.1728</v>
      </c>
      <c r="N513" s="16" t="str">
        <f aca="false">IF(M513&lt;0,"Loss",IF(M513&lt;50,"Low Profit",IF(M513&lt;200,"Medium Profit","High Profit")))</f>
        <v>Low Profit</v>
      </c>
      <c r="O513" s="16" t="str">
        <f aca="false">IF(J513&gt;=500,"High Value","Standard")</f>
        <v>Standard</v>
      </c>
      <c r="P513" s="16" t="str">
        <f aca="false">H513&amp;" &gt; "&amp;I513&amp;" ("&amp;K513&amp;" units)"</f>
        <v>Technology &gt; Accessories (2 units)</v>
      </c>
      <c r="Q513" s="16" t="str">
        <f aca="false">VLOOKUP(G513,Region_Manager_Table,2,FALSE())</f>
        <v>Aditya Rao</v>
      </c>
      <c r="R513" s="16" t="n">
        <f aca="false">INDEX(SLA_Days_Col,MATCH(A513,ShipMode_Col,0))</f>
        <v>2</v>
      </c>
    </row>
    <row r="514" customFormat="false" ht="15" hidden="false" customHeight="false" outlineLevel="0" collapsed="false">
      <c r="A514" s="10" t="s">
        <v>98</v>
      </c>
      <c r="B514" s="10" t="s">
        <v>50</v>
      </c>
      <c r="C514" s="10" t="s">
        <v>51</v>
      </c>
      <c r="D514" s="10" t="s">
        <v>150</v>
      </c>
      <c r="E514" s="10" t="s">
        <v>140</v>
      </c>
      <c r="F514" s="10" t="n">
        <v>43055</v>
      </c>
      <c r="G514" s="10" t="s">
        <v>93</v>
      </c>
      <c r="H514" s="10" t="s">
        <v>62</v>
      </c>
      <c r="I514" s="10" t="s">
        <v>70</v>
      </c>
      <c r="J514" s="13" t="n">
        <v>7.152</v>
      </c>
      <c r="K514" s="10" t="n">
        <v>3</v>
      </c>
      <c r="L514" s="14" t="n">
        <v>0.2</v>
      </c>
      <c r="M514" s="15" t="n">
        <v>0.7152</v>
      </c>
      <c r="N514" s="10" t="str">
        <f aca="false">IF(M514&lt;0,"Loss",IF(M514&lt;50,"Low Profit",IF(M514&lt;200,"Medium Profit","High Profit")))</f>
        <v>Low Profit</v>
      </c>
      <c r="O514" s="10" t="str">
        <f aca="false">IF(J514&gt;=500,"High Value","Standard")</f>
        <v>Standard</v>
      </c>
      <c r="P514" s="10" t="str">
        <f aca="false">H514&amp;" &gt; "&amp;I514&amp;" ("&amp;K514&amp;" units)"</f>
        <v>Office Supplies &gt; Art (3 units)</v>
      </c>
      <c r="Q514" s="10" t="str">
        <f aca="false">VLOOKUP(G514,Region_Manager_Table,2,FALSE())</f>
        <v>Priya Menon</v>
      </c>
      <c r="R514" s="10" t="n">
        <f aca="false">INDEX(SLA_Days_Col,MATCH(A514,ShipMode_Col,0))</f>
        <v>2</v>
      </c>
    </row>
    <row r="515" customFormat="false" ht="15" hidden="false" customHeight="false" outlineLevel="0" collapsed="false">
      <c r="A515" s="16" t="s">
        <v>64</v>
      </c>
      <c r="B515" s="16" t="s">
        <v>50</v>
      </c>
      <c r="C515" s="16" t="s">
        <v>51</v>
      </c>
      <c r="D515" s="16" t="s">
        <v>59</v>
      </c>
      <c r="E515" s="16" t="s">
        <v>60</v>
      </c>
      <c r="F515" s="16" t="n">
        <v>90049</v>
      </c>
      <c r="G515" s="16" t="s">
        <v>61</v>
      </c>
      <c r="H515" s="16" t="s">
        <v>62</v>
      </c>
      <c r="I515" s="16" t="s">
        <v>70</v>
      </c>
      <c r="J515" s="17" t="n">
        <v>6.63</v>
      </c>
      <c r="K515" s="16" t="n">
        <v>3</v>
      </c>
      <c r="L515" s="18" t="n">
        <v>0</v>
      </c>
      <c r="M515" s="19" t="n">
        <v>1.7901</v>
      </c>
      <c r="N515" s="16" t="str">
        <f aca="false">IF(M515&lt;0,"Loss",IF(M515&lt;50,"Low Profit",IF(M515&lt;200,"Medium Profit","High Profit")))</f>
        <v>Low Profit</v>
      </c>
      <c r="O515" s="16" t="str">
        <f aca="false">IF(J515&gt;=500,"High Value","Standard")</f>
        <v>Standard</v>
      </c>
      <c r="P515" s="16" t="str">
        <f aca="false">H515&amp;" &gt; "&amp;I515&amp;" ("&amp;K515&amp;" units)"</f>
        <v>Office Supplies &gt; Art (3 units)</v>
      </c>
      <c r="Q515" s="16" t="str">
        <f aca="false">VLOOKUP(G515,Region_Manager_Table,2,FALSE())</f>
        <v>Sana Sheikh</v>
      </c>
      <c r="R515" s="16" t="n">
        <f aca="false">INDEX(SLA_Days_Col,MATCH(A515,ShipMode_Col,0))</f>
        <v>6</v>
      </c>
    </row>
    <row r="516" customFormat="false" ht="15" hidden="false" customHeight="false" outlineLevel="0" collapsed="false">
      <c r="A516" s="10" t="s">
        <v>64</v>
      </c>
      <c r="B516" s="10" t="s">
        <v>50</v>
      </c>
      <c r="C516" s="10" t="s">
        <v>51</v>
      </c>
      <c r="D516" s="10" t="s">
        <v>59</v>
      </c>
      <c r="E516" s="10" t="s">
        <v>60</v>
      </c>
      <c r="F516" s="10" t="n">
        <v>90049</v>
      </c>
      <c r="G516" s="10" t="s">
        <v>61</v>
      </c>
      <c r="H516" s="10" t="s">
        <v>62</v>
      </c>
      <c r="I516" s="10" t="s">
        <v>70</v>
      </c>
      <c r="J516" s="13" t="n">
        <v>5.88</v>
      </c>
      <c r="K516" s="10" t="n">
        <v>2</v>
      </c>
      <c r="L516" s="14" t="n">
        <v>0</v>
      </c>
      <c r="M516" s="15" t="n">
        <v>1.7052</v>
      </c>
      <c r="N516" s="10" t="str">
        <f aca="false">IF(M516&lt;0,"Loss",IF(M516&lt;50,"Low Profit",IF(M516&lt;200,"Medium Profit","High Profit")))</f>
        <v>Low Profit</v>
      </c>
      <c r="O516" s="10" t="str">
        <f aca="false">IF(J516&gt;=500,"High Value","Standard")</f>
        <v>Standard</v>
      </c>
      <c r="P516" s="10" t="str">
        <f aca="false">H516&amp;" &gt; "&amp;I516&amp;" ("&amp;K516&amp;" units)"</f>
        <v>Office Supplies &gt; Art (2 units)</v>
      </c>
      <c r="Q516" s="10" t="str">
        <f aca="false">VLOOKUP(G516,Region_Manager_Table,2,FALSE())</f>
        <v>Sana Sheikh</v>
      </c>
      <c r="R516" s="10" t="n">
        <f aca="false">INDEX(SLA_Days_Col,MATCH(A516,ShipMode_Col,0))</f>
        <v>6</v>
      </c>
    </row>
    <row r="517" customFormat="false" ht="15" hidden="false" customHeight="false" outlineLevel="0" collapsed="false">
      <c r="A517" s="16" t="s">
        <v>64</v>
      </c>
      <c r="B517" s="16" t="s">
        <v>80</v>
      </c>
      <c r="C517" s="16" t="s">
        <v>51</v>
      </c>
      <c r="D517" s="16" t="s">
        <v>238</v>
      </c>
      <c r="E517" s="16" t="s">
        <v>239</v>
      </c>
      <c r="F517" s="16" t="n">
        <v>59405</v>
      </c>
      <c r="G517" s="16" t="s">
        <v>61</v>
      </c>
      <c r="H517" s="16" t="s">
        <v>71</v>
      </c>
      <c r="I517" s="16" t="s">
        <v>198</v>
      </c>
      <c r="J517" s="17" t="n">
        <v>2999.95</v>
      </c>
      <c r="K517" s="16" t="n">
        <v>5</v>
      </c>
      <c r="L517" s="18" t="n">
        <v>0</v>
      </c>
      <c r="M517" s="19" t="n">
        <v>1379.977</v>
      </c>
      <c r="N517" s="16" t="str">
        <f aca="false">IF(M517&lt;0,"Loss",IF(M517&lt;50,"Low Profit",IF(M517&lt;200,"Medium Profit","High Profit")))</f>
        <v>High Profit</v>
      </c>
      <c r="O517" s="16" t="str">
        <f aca="false">IF(J517&gt;=500,"High Value","Standard")</f>
        <v>High Value</v>
      </c>
      <c r="P517" s="16" t="str">
        <f aca="false">H517&amp;" &gt; "&amp;I517&amp;" ("&amp;K517&amp;" units)"</f>
        <v>Technology &gt; Copiers (5 units)</v>
      </c>
      <c r="Q517" s="16" t="str">
        <f aca="false">VLOOKUP(G517,Region_Manager_Table,2,FALSE())</f>
        <v>Sana Sheikh</v>
      </c>
      <c r="R517" s="16" t="n">
        <f aca="false">INDEX(SLA_Days_Col,MATCH(A517,ShipMode_Col,0))</f>
        <v>6</v>
      </c>
    </row>
    <row r="518" customFormat="false" ht="15" hidden="false" customHeight="false" outlineLevel="0" collapsed="false">
      <c r="A518" s="10" t="s">
        <v>64</v>
      </c>
      <c r="B518" s="10" t="s">
        <v>80</v>
      </c>
      <c r="C518" s="10" t="s">
        <v>51</v>
      </c>
      <c r="D518" s="10" t="s">
        <v>238</v>
      </c>
      <c r="E518" s="10" t="s">
        <v>239</v>
      </c>
      <c r="F518" s="10" t="n">
        <v>59405</v>
      </c>
      <c r="G518" s="10" t="s">
        <v>61</v>
      </c>
      <c r="H518" s="10" t="s">
        <v>62</v>
      </c>
      <c r="I518" s="10" t="s">
        <v>68</v>
      </c>
      <c r="J518" s="13" t="n">
        <v>51.45</v>
      </c>
      <c r="K518" s="10" t="n">
        <v>3</v>
      </c>
      <c r="L518" s="14" t="n">
        <v>0</v>
      </c>
      <c r="M518" s="15" t="n">
        <v>13.8915</v>
      </c>
      <c r="N518" s="10" t="str">
        <f aca="false">IF(M518&lt;0,"Loss",IF(M518&lt;50,"Low Profit",IF(M518&lt;200,"Medium Profit","High Profit")))</f>
        <v>Low Profit</v>
      </c>
      <c r="O518" s="10" t="str">
        <f aca="false">IF(J518&gt;=500,"High Value","Standard")</f>
        <v>Standard</v>
      </c>
      <c r="P518" s="10" t="str">
        <f aca="false">H518&amp;" &gt; "&amp;I518&amp;" ("&amp;K518&amp;" units)"</f>
        <v>Office Supplies &gt; Storage (3 units)</v>
      </c>
      <c r="Q518" s="10" t="str">
        <f aca="false">VLOOKUP(G518,Region_Manager_Table,2,FALSE())</f>
        <v>Sana Sheikh</v>
      </c>
      <c r="R518" s="10" t="n">
        <f aca="false">INDEX(SLA_Days_Col,MATCH(A518,ShipMode_Col,0))</f>
        <v>6</v>
      </c>
    </row>
    <row r="519" customFormat="false" ht="15" hidden="false" customHeight="false" outlineLevel="0" collapsed="false">
      <c r="A519" s="16" t="s">
        <v>64</v>
      </c>
      <c r="B519" s="16" t="s">
        <v>80</v>
      </c>
      <c r="C519" s="16" t="s">
        <v>51</v>
      </c>
      <c r="D519" s="16" t="s">
        <v>238</v>
      </c>
      <c r="E519" s="16" t="s">
        <v>239</v>
      </c>
      <c r="F519" s="16" t="n">
        <v>59405</v>
      </c>
      <c r="G519" s="16" t="s">
        <v>61</v>
      </c>
      <c r="H519" s="16" t="s">
        <v>62</v>
      </c>
      <c r="I519" s="16" t="s">
        <v>77</v>
      </c>
      <c r="J519" s="17" t="n">
        <v>11.96</v>
      </c>
      <c r="K519" s="16" t="n">
        <v>2</v>
      </c>
      <c r="L519" s="18" t="n">
        <v>0</v>
      </c>
      <c r="M519" s="19" t="n">
        <v>5.382</v>
      </c>
      <c r="N519" s="16" t="str">
        <f aca="false">IF(M519&lt;0,"Loss",IF(M519&lt;50,"Low Profit",IF(M519&lt;200,"Medium Profit","High Profit")))</f>
        <v>Low Profit</v>
      </c>
      <c r="O519" s="16" t="str">
        <f aca="false">IF(J519&gt;=500,"High Value","Standard")</f>
        <v>Standard</v>
      </c>
      <c r="P519" s="16" t="str">
        <f aca="false">H519&amp;" &gt; "&amp;I519&amp;" ("&amp;K519&amp;" units)"</f>
        <v>Office Supplies &gt; Paper (2 units)</v>
      </c>
      <c r="Q519" s="16" t="str">
        <f aca="false">VLOOKUP(G519,Region_Manager_Table,2,FALSE())</f>
        <v>Sana Sheikh</v>
      </c>
      <c r="R519" s="16" t="n">
        <f aca="false">INDEX(SLA_Days_Col,MATCH(A519,ShipMode_Col,0))</f>
        <v>6</v>
      </c>
    </row>
    <row r="520" customFormat="false" ht="15" hidden="false" customHeight="false" outlineLevel="0" collapsed="false">
      <c r="A520" s="10" t="s">
        <v>64</v>
      </c>
      <c r="B520" s="10" t="s">
        <v>80</v>
      </c>
      <c r="C520" s="10" t="s">
        <v>51</v>
      </c>
      <c r="D520" s="10" t="s">
        <v>238</v>
      </c>
      <c r="E520" s="10" t="s">
        <v>239</v>
      </c>
      <c r="F520" s="10" t="n">
        <v>59405</v>
      </c>
      <c r="G520" s="10" t="s">
        <v>61</v>
      </c>
      <c r="H520" s="10" t="s">
        <v>62</v>
      </c>
      <c r="I520" s="10" t="s">
        <v>68</v>
      </c>
      <c r="J520" s="13" t="n">
        <v>1126.02</v>
      </c>
      <c r="K520" s="10" t="n">
        <v>3</v>
      </c>
      <c r="L520" s="14" t="n">
        <v>0</v>
      </c>
      <c r="M520" s="15" t="n">
        <v>56.301</v>
      </c>
      <c r="N520" s="10" t="str">
        <f aca="false">IF(M520&lt;0,"Loss",IF(M520&lt;50,"Low Profit",IF(M520&lt;200,"Medium Profit","High Profit")))</f>
        <v>Medium Profit</v>
      </c>
      <c r="O520" s="10" t="str">
        <f aca="false">IF(J520&gt;=500,"High Value","Standard")</f>
        <v>High Value</v>
      </c>
      <c r="P520" s="10" t="str">
        <f aca="false">H520&amp;" &gt; "&amp;I520&amp;" ("&amp;K520&amp;" units)"</f>
        <v>Office Supplies &gt; Storage (3 units)</v>
      </c>
      <c r="Q520" s="10" t="str">
        <f aca="false">VLOOKUP(G520,Region_Manager_Table,2,FALSE())</f>
        <v>Sana Sheikh</v>
      </c>
      <c r="R520" s="10" t="n">
        <f aca="false">INDEX(SLA_Days_Col,MATCH(A520,ShipMode_Col,0))</f>
        <v>6</v>
      </c>
    </row>
    <row r="521" customFormat="false" ht="15" hidden="false" customHeight="false" outlineLevel="0" collapsed="false">
      <c r="A521" s="16" t="s">
        <v>64</v>
      </c>
      <c r="B521" s="16" t="s">
        <v>50</v>
      </c>
      <c r="C521" s="16" t="s">
        <v>51</v>
      </c>
      <c r="D521" s="16" t="s">
        <v>97</v>
      </c>
      <c r="E521" s="16" t="s">
        <v>82</v>
      </c>
      <c r="F521" s="16" t="n">
        <v>77041</v>
      </c>
      <c r="G521" s="16" t="s">
        <v>83</v>
      </c>
      <c r="H521" s="16" t="s">
        <v>71</v>
      </c>
      <c r="I521" s="16" t="s">
        <v>95</v>
      </c>
      <c r="J521" s="17" t="n">
        <v>18.392</v>
      </c>
      <c r="K521" s="16" t="n">
        <v>1</v>
      </c>
      <c r="L521" s="18" t="n">
        <v>0.2</v>
      </c>
      <c r="M521" s="19" t="n">
        <v>5.2877</v>
      </c>
      <c r="N521" s="16" t="str">
        <f aca="false">IF(M521&lt;0,"Loss",IF(M521&lt;50,"Low Profit",IF(M521&lt;200,"Medium Profit","High Profit")))</f>
        <v>Low Profit</v>
      </c>
      <c r="O521" s="16" t="str">
        <f aca="false">IF(J521&gt;=500,"High Value","Standard")</f>
        <v>Standard</v>
      </c>
      <c r="P521" s="16" t="str">
        <f aca="false">H521&amp;" &gt; "&amp;I521&amp;" ("&amp;K521&amp;" units)"</f>
        <v>Technology &gt; Accessories (1 units)</v>
      </c>
      <c r="Q521" s="16" t="str">
        <f aca="false">VLOOKUP(G521,Region_Manager_Table,2,FALSE())</f>
        <v>Aditya Rao</v>
      </c>
      <c r="R521" s="16" t="n">
        <f aca="false">INDEX(SLA_Days_Col,MATCH(A521,ShipMode_Col,0))</f>
        <v>6</v>
      </c>
    </row>
    <row r="522" customFormat="false" ht="15" hidden="false" customHeight="false" outlineLevel="0" collapsed="false">
      <c r="A522" s="10" t="s">
        <v>64</v>
      </c>
      <c r="B522" s="10" t="s">
        <v>50</v>
      </c>
      <c r="C522" s="10" t="s">
        <v>51</v>
      </c>
      <c r="D522" s="10" t="s">
        <v>97</v>
      </c>
      <c r="E522" s="10" t="s">
        <v>82</v>
      </c>
      <c r="F522" s="10" t="n">
        <v>77041</v>
      </c>
      <c r="G522" s="10" t="s">
        <v>83</v>
      </c>
      <c r="H522" s="10" t="s">
        <v>62</v>
      </c>
      <c r="I522" s="10" t="s">
        <v>68</v>
      </c>
      <c r="J522" s="13" t="n">
        <v>129.568</v>
      </c>
      <c r="K522" s="10" t="n">
        <v>2</v>
      </c>
      <c r="L522" s="14" t="n">
        <v>0.2</v>
      </c>
      <c r="M522" s="15" t="n">
        <v>-25.9136</v>
      </c>
      <c r="N522" s="10" t="str">
        <f aca="false">IF(M522&lt;0,"Loss",IF(M522&lt;50,"Low Profit",IF(M522&lt;200,"Medium Profit","High Profit")))</f>
        <v>Loss</v>
      </c>
      <c r="O522" s="10" t="str">
        <f aca="false">IF(J522&gt;=500,"High Value","Standard")</f>
        <v>Standard</v>
      </c>
      <c r="P522" s="10" t="str">
        <f aca="false">H522&amp;" &gt; "&amp;I522&amp;" ("&amp;K522&amp;" units)"</f>
        <v>Office Supplies &gt; Storage (2 units)</v>
      </c>
      <c r="Q522" s="10" t="str">
        <f aca="false">VLOOKUP(G522,Region_Manager_Table,2,FALSE())</f>
        <v>Aditya Rao</v>
      </c>
      <c r="R522" s="10" t="n">
        <f aca="false">INDEX(SLA_Days_Col,MATCH(A522,ShipMode_Col,0))</f>
        <v>6</v>
      </c>
    </row>
    <row r="523" customFormat="false" ht="15" hidden="false" customHeight="false" outlineLevel="0" collapsed="false">
      <c r="A523" s="16" t="s">
        <v>64</v>
      </c>
      <c r="B523" s="16" t="s">
        <v>50</v>
      </c>
      <c r="C523" s="16" t="s">
        <v>51</v>
      </c>
      <c r="D523" s="16" t="s">
        <v>97</v>
      </c>
      <c r="E523" s="16" t="s">
        <v>82</v>
      </c>
      <c r="F523" s="16" t="n">
        <v>77041</v>
      </c>
      <c r="G523" s="16" t="s">
        <v>83</v>
      </c>
      <c r="H523" s="16" t="s">
        <v>62</v>
      </c>
      <c r="I523" s="16" t="s">
        <v>73</v>
      </c>
      <c r="J523" s="17" t="n">
        <v>14.112</v>
      </c>
      <c r="K523" s="16" t="n">
        <v>9</v>
      </c>
      <c r="L523" s="18" t="n">
        <v>0.8</v>
      </c>
      <c r="M523" s="19" t="n">
        <v>-21.168</v>
      </c>
      <c r="N523" s="16" t="str">
        <f aca="false">IF(M523&lt;0,"Loss",IF(M523&lt;50,"Low Profit",IF(M523&lt;200,"Medium Profit","High Profit")))</f>
        <v>Loss</v>
      </c>
      <c r="O523" s="16" t="str">
        <f aca="false">IF(J523&gt;=500,"High Value","Standard")</f>
        <v>Standard</v>
      </c>
      <c r="P523" s="16" t="str">
        <f aca="false">H523&amp;" &gt; "&amp;I523&amp;" ("&amp;K523&amp;" units)"</f>
        <v>Office Supplies &gt; Binders (9 units)</v>
      </c>
      <c r="Q523" s="16" t="str">
        <f aca="false">VLOOKUP(G523,Region_Manager_Table,2,FALSE())</f>
        <v>Aditya Rao</v>
      </c>
      <c r="R523" s="16" t="n">
        <f aca="false">INDEX(SLA_Days_Col,MATCH(A523,ShipMode_Col,0))</f>
        <v>6</v>
      </c>
    </row>
    <row r="524" customFormat="false" ht="15" hidden="false" customHeight="false" outlineLevel="0" collapsed="false">
      <c r="A524" s="10" t="s">
        <v>98</v>
      </c>
      <c r="B524" s="10" t="s">
        <v>58</v>
      </c>
      <c r="C524" s="10" t="s">
        <v>51</v>
      </c>
      <c r="D524" s="10" t="s">
        <v>176</v>
      </c>
      <c r="E524" s="10" t="s">
        <v>106</v>
      </c>
      <c r="F524" s="10" t="n">
        <v>48234</v>
      </c>
      <c r="G524" s="10" t="s">
        <v>83</v>
      </c>
      <c r="H524" s="10" t="s">
        <v>55</v>
      </c>
      <c r="I524" s="10" t="s">
        <v>67</v>
      </c>
      <c r="J524" s="13" t="n">
        <v>210.98</v>
      </c>
      <c r="K524" s="10" t="n">
        <v>2</v>
      </c>
      <c r="L524" s="14" t="n">
        <v>0</v>
      </c>
      <c r="M524" s="15" t="n">
        <v>21.098</v>
      </c>
      <c r="N524" s="10" t="str">
        <f aca="false">IF(M524&lt;0,"Loss",IF(M524&lt;50,"Low Profit",IF(M524&lt;200,"Medium Profit","High Profit")))</f>
        <v>Low Profit</v>
      </c>
      <c r="O524" s="10" t="str">
        <f aca="false">IF(J524&gt;=500,"High Value","Standard")</f>
        <v>Standard</v>
      </c>
      <c r="P524" s="10" t="str">
        <f aca="false">H524&amp;" &gt; "&amp;I524&amp;" ("&amp;K524&amp;" units)"</f>
        <v>Furniture &gt; Tables (2 units)</v>
      </c>
      <c r="Q524" s="10" t="str">
        <f aca="false">VLOOKUP(G524,Region_Manager_Table,2,FALSE())</f>
        <v>Aditya Rao</v>
      </c>
      <c r="R524" s="10" t="n">
        <f aca="false">INDEX(SLA_Days_Col,MATCH(A524,ShipMode_Col,0))</f>
        <v>2</v>
      </c>
    </row>
    <row r="525" customFormat="false" ht="15" hidden="false" customHeight="false" outlineLevel="0" collapsed="false">
      <c r="A525" s="16" t="s">
        <v>98</v>
      </c>
      <c r="B525" s="16" t="s">
        <v>50</v>
      </c>
      <c r="C525" s="16" t="s">
        <v>51</v>
      </c>
      <c r="D525" s="16" t="s">
        <v>59</v>
      </c>
      <c r="E525" s="16" t="s">
        <v>60</v>
      </c>
      <c r="F525" s="16" t="n">
        <v>90032</v>
      </c>
      <c r="G525" s="16" t="s">
        <v>61</v>
      </c>
      <c r="H525" s="16" t="s">
        <v>71</v>
      </c>
      <c r="I525" s="16" t="s">
        <v>72</v>
      </c>
      <c r="J525" s="17" t="n">
        <v>55.176</v>
      </c>
      <c r="K525" s="16" t="n">
        <v>3</v>
      </c>
      <c r="L525" s="18" t="n">
        <v>0.2</v>
      </c>
      <c r="M525" s="19" t="n">
        <v>-12.4146</v>
      </c>
      <c r="N525" s="16" t="str">
        <f aca="false">IF(M525&lt;0,"Loss",IF(M525&lt;50,"Low Profit",IF(M525&lt;200,"Medium Profit","High Profit")))</f>
        <v>Loss</v>
      </c>
      <c r="O525" s="16" t="str">
        <f aca="false">IF(J525&gt;=500,"High Value","Standard")</f>
        <v>Standard</v>
      </c>
      <c r="P525" s="16" t="str">
        <f aca="false">H525&amp;" &gt; "&amp;I525&amp;" ("&amp;K525&amp;" units)"</f>
        <v>Technology &gt; Phones (3 units)</v>
      </c>
      <c r="Q525" s="16" t="str">
        <f aca="false">VLOOKUP(G525,Region_Manager_Table,2,FALSE())</f>
        <v>Sana Sheikh</v>
      </c>
      <c r="R525" s="16" t="n">
        <f aca="false">INDEX(SLA_Days_Col,MATCH(A525,ShipMode_Col,0))</f>
        <v>2</v>
      </c>
    </row>
    <row r="526" customFormat="false" ht="15" hidden="false" customHeight="false" outlineLevel="0" collapsed="false">
      <c r="A526" s="10" t="s">
        <v>98</v>
      </c>
      <c r="B526" s="10" t="s">
        <v>50</v>
      </c>
      <c r="C526" s="10" t="s">
        <v>51</v>
      </c>
      <c r="D526" s="10" t="s">
        <v>59</v>
      </c>
      <c r="E526" s="10" t="s">
        <v>60</v>
      </c>
      <c r="F526" s="10" t="n">
        <v>90032</v>
      </c>
      <c r="G526" s="10" t="s">
        <v>61</v>
      </c>
      <c r="H526" s="10" t="s">
        <v>71</v>
      </c>
      <c r="I526" s="10" t="s">
        <v>95</v>
      </c>
      <c r="J526" s="13" t="n">
        <v>66.26</v>
      </c>
      <c r="K526" s="10" t="n">
        <v>2</v>
      </c>
      <c r="L526" s="14" t="n">
        <v>0</v>
      </c>
      <c r="M526" s="15" t="n">
        <v>27.1666</v>
      </c>
      <c r="N526" s="10" t="str">
        <f aca="false">IF(M526&lt;0,"Loss",IF(M526&lt;50,"Low Profit",IF(M526&lt;200,"Medium Profit","High Profit")))</f>
        <v>Low Profit</v>
      </c>
      <c r="O526" s="10" t="str">
        <f aca="false">IF(J526&gt;=500,"High Value","Standard")</f>
        <v>Standard</v>
      </c>
      <c r="P526" s="10" t="str">
        <f aca="false">H526&amp;" &gt; "&amp;I526&amp;" ("&amp;K526&amp;" units)"</f>
        <v>Technology &gt; Accessories (2 units)</v>
      </c>
      <c r="Q526" s="10" t="str">
        <f aca="false">VLOOKUP(G526,Region_Manager_Table,2,FALSE())</f>
        <v>Sana Sheikh</v>
      </c>
      <c r="R526" s="10" t="n">
        <f aca="false">INDEX(SLA_Days_Col,MATCH(A526,ShipMode_Col,0))</f>
        <v>2</v>
      </c>
    </row>
    <row r="527" customFormat="false" ht="15" hidden="false" customHeight="false" outlineLevel="0" collapsed="false">
      <c r="A527" s="16" t="s">
        <v>64</v>
      </c>
      <c r="B527" s="16" t="s">
        <v>50</v>
      </c>
      <c r="C527" s="16" t="s">
        <v>51</v>
      </c>
      <c r="D527" s="16" t="s">
        <v>220</v>
      </c>
      <c r="E527" s="16" t="s">
        <v>202</v>
      </c>
      <c r="F527" s="16" t="n">
        <v>1841</v>
      </c>
      <c r="G527" s="16" t="s">
        <v>93</v>
      </c>
      <c r="H527" s="16" t="s">
        <v>62</v>
      </c>
      <c r="I527" s="16" t="s">
        <v>113</v>
      </c>
      <c r="J527" s="17" t="n">
        <v>22.2</v>
      </c>
      <c r="K527" s="16" t="n">
        <v>5</v>
      </c>
      <c r="L527" s="18" t="n">
        <v>0</v>
      </c>
      <c r="M527" s="19" t="n">
        <v>10.434</v>
      </c>
      <c r="N527" s="16" t="str">
        <f aca="false">IF(M527&lt;0,"Loss",IF(M527&lt;50,"Low Profit",IF(M527&lt;200,"Medium Profit","High Profit")))</f>
        <v>Low Profit</v>
      </c>
      <c r="O527" s="16" t="str">
        <f aca="false">IF(J527&gt;=500,"High Value","Standard")</f>
        <v>Standard</v>
      </c>
      <c r="P527" s="16" t="str">
        <f aca="false">H527&amp;" &gt; "&amp;I527&amp;" ("&amp;K527&amp;" units)"</f>
        <v>Office Supplies &gt; Fasteners (5 units)</v>
      </c>
      <c r="Q527" s="16" t="str">
        <f aca="false">VLOOKUP(G527,Region_Manager_Table,2,FALSE())</f>
        <v>Priya Menon</v>
      </c>
      <c r="R527" s="16" t="n">
        <f aca="false">INDEX(SLA_Days_Col,MATCH(A527,ShipMode_Col,0))</f>
        <v>6</v>
      </c>
    </row>
    <row r="528" customFormat="false" ht="15" hidden="false" customHeight="false" outlineLevel="0" collapsed="false">
      <c r="A528" s="10" t="s">
        <v>64</v>
      </c>
      <c r="B528" s="10" t="s">
        <v>80</v>
      </c>
      <c r="C528" s="10" t="s">
        <v>51</v>
      </c>
      <c r="D528" s="10" t="s">
        <v>240</v>
      </c>
      <c r="E528" s="10" t="s">
        <v>66</v>
      </c>
      <c r="F528" s="10" t="n">
        <v>33801</v>
      </c>
      <c r="G528" s="10" t="s">
        <v>54</v>
      </c>
      <c r="H528" s="10" t="s">
        <v>55</v>
      </c>
      <c r="I528" s="10" t="s">
        <v>57</v>
      </c>
      <c r="J528" s="13" t="n">
        <v>683.952</v>
      </c>
      <c r="K528" s="10" t="n">
        <v>3</v>
      </c>
      <c r="L528" s="14" t="n">
        <v>0.2</v>
      </c>
      <c r="M528" s="15" t="n">
        <v>42.747</v>
      </c>
      <c r="N528" s="10" t="str">
        <f aca="false">IF(M528&lt;0,"Loss",IF(M528&lt;50,"Low Profit",IF(M528&lt;200,"Medium Profit","High Profit")))</f>
        <v>Low Profit</v>
      </c>
      <c r="O528" s="10" t="str">
        <f aca="false">IF(J528&gt;=500,"High Value","Standard")</f>
        <v>High Value</v>
      </c>
      <c r="P528" s="10" t="str">
        <f aca="false">H528&amp;" &gt; "&amp;I528&amp;" ("&amp;K528&amp;" units)"</f>
        <v>Furniture &gt; Chairs (3 units)</v>
      </c>
      <c r="Q528" s="10" t="str">
        <f aca="false">VLOOKUP(G528,Region_Manager_Table,2,FALSE())</f>
        <v>Karthik Iyer</v>
      </c>
      <c r="R528" s="10" t="n">
        <f aca="false">INDEX(SLA_Days_Col,MATCH(A528,ShipMode_Col,0))</f>
        <v>6</v>
      </c>
    </row>
    <row r="529" customFormat="false" ht="15" hidden="false" customHeight="false" outlineLevel="0" collapsed="false">
      <c r="A529" s="16" t="s">
        <v>64</v>
      </c>
      <c r="B529" s="16" t="s">
        <v>80</v>
      </c>
      <c r="C529" s="16" t="s">
        <v>51</v>
      </c>
      <c r="D529" s="16" t="s">
        <v>240</v>
      </c>
      <c r="E529" s="16" t="s">
        <v>66</v>
      </c>
      <c r="F529" s="16" t="n">
        <v>33801</v>
      </c>
      <c r="G529" s="16" t="s">
        <v>54</v>
      </c>
      <c r="H529" s="16" t="s">
        <v>55</v>
      </c>
      <c r="I529" s="16" t="s">
        <v>69</v>
      </c>
      <c r="J529" s="17" t="n">
        <v>45.696</v>
      </c>
      <c r="K529" s="16" t="n">
        <v>3</v>
      </c>
      <c r="L529" s="18" t="n">
        <v>0.2</v>
      </c>
      <c r="M529" s="19" t="n">
        <v>5.1408</v>
      </c>
      <c r="N529" s="16" t="str">
        <f aca="false">IF(M529&lt;0,"Loss",IF(M529&lt;50,"Low Profit",IF(M529&lt;200,"Medium Profit","High Profit")))</f>
        <v>Low Profit</v>
      </c>
      <c r="O529" s="16" t="str">
        <f aca="false">IF(J529&gt;=500,"High Value","Standard")</f>
        <v>Standard</v>
      </c>
      <c r="P529" s="16" t="str">
        <f aca="false">H529&amp;" &gt; "&amp;I529&amp;" ("&amp;K529&amp;" units)"</f>
        <v>Furniture &gt; Furnishings (3 units)</v>
      </c>
      <c r="Q529" s="16" t="str">
        <f aca="false">VLOOKUP(G529,Region_Manager_Table,2,FALSE())</f>
        <v>Karthik Iyer</v>
      </c>
      <c r="R529" s="16" t="n">
        <f aca="false">INDEX(SLA_Days_Col,MATCH(A529,ShipMode_Col,0))</f>
        <v>6</v>
      </c>
    </row>
    <row r="530" customFormat="false" ht="15" hidden="false" customHeight="false" outlineLevel="0" collapsed="false">
      <c r="A530" s="10" t="s">
        <v>64</v>
      </c>
      <c r="B530" s="10" t="s">
        <v>50</v>
      </c>
      <c r="C530" s="10" t="s">
        <v>51</v>
      </c>
      <c r="D530" s="10" t="s">
        <v>91</v>
      </c>
      <c r="E530" s="10" t="s">
        <v>92</v>
      </c>
      <c r="F530" s="10" t="n">
        <v>19134</v>
      </c>
      <c r="G530" s="10" t="s">
        <v>93</v>
      </c>
      <c r="H530" s="10" t="s">
        <v>62</v>
      </c>
      <c r="I530" s="10" t="s">
        <v>68</v>
      </c>
      <c r="J530" s="13" t="n">
        <v>36.336</v>
      </c>
      <c r="K530" s="10" t="n">
        <v>3</v>
      </c>
      <c r="L530" s="14" t="n">
        <v>0.2</v>
      </c>
      <c r="M530" s="15" t="n">
        <v>-7.2672</v>
      </c>
      <c r="N530" s="10" t="str">
        <f aca="false">IF(M530&lt;0,"Loss",IF(M530&lt;50,"Low Profit",IF(M530&lt;200,"Medium Profit","High Profit")))</f>
        <v>Loss</v>
      </c>
      <c r="O530" s="10" t="str">
        <f aca="false">IF(J530&gt;=500,"High Value","Standard")</f>
        <v>Standard</v>
      </c>
      <c r="P530" s="10" t="str">
        <f aca="false">H530&amp;" &gt; "&amp;I530&amp;" ("&amp;K530&amp;" units)"</f>
        <v>Office Supplies &gt; Storage (3 units)</v>
      </c>
      <c r="Q530" s="10" t="str">
        <f aca="false">VLOOKUP(G530,Region_Manager_Table,2,FALSE())</f>
        <v>Priya Menon</v>
      </c>
      <c r="R530" s="10" t="n">
        <f aca="false">INDEX(SLA_Days_Col,MATCH(A530,ShipMode_Col,0))</f>
        <v>6</v>
      </c>
    </row>
    <row r="531" customFormat="false" ht="15" hidden="false" customHeight="false" outlineLevel="0" collapsed="false">
      <c r="A531" s="16" t="s">
        <v>64</v>
      </c>
      <c r="B531" s="16" t="s">
        <v>50</v>
      </c>
      <c r="C531" s="16" t="s">
        <v>51</v>
      </c>
      <c r="D531" s="16" t="s">
        <v>91</v>
      </c>
      <c r="E531" s="16" t="s">
        <v>92</v>
      </c>
      <c r="F531" s="16" t="n">
        <v>19134</v>
      </c>
      <c r="G531" s="16" t="s">
        <v>93</v>
      </c>
      <c r="H531" s="16" t="s">
        <v>62</v>
      </c>
      <c r="I531" s="16" t="s">
        <v>146</v>
      </c>
      <c r="J531" s="17" t="n">
        <v>666.248</v>
      </c>
      <c r="K531" s="16" t="n">
        <v>1</v>
      </c>
      <c r="L531" s="18" t="n">
        <v>0.2</v>
      </c>
      <c r="M531" s="19" t="n">
        <v>-149.9058</v>
      </c>
      <c r="N531" s="16" t="str">
        <f aca="false">IF(M531&lt;0,"Loss",IF(M531&lt;50,"Low Profit",IF(M531&lt;200,"Medium Profit","High Profit")))</f>
        <v>Loss</v>
      </c>
      <c r="O531" s="16" t="str">
        <f aca="false">IF(J531&gt;=500,"High Value","Standard")</f>
        <v>High Value</v>
      </c>
      <c r="P531" s="16" t="str">
        <f aca="false">H531&amp;" &gt; "&amp;I531&amp;" ("&amp;K531&amp;" units)"</f>
        <v>Office Supplies &gt; Supplies (1 units)</v>
      </c>
      <c r="Q531" s="16" t="str">
        <f aca="false">VLOOKUP(G531,Region_Manager_Table,2,FALSE())</f>
        <v>Priya Menon</v>
      </c>
      <c r="R531" s="16" t="n">
        <f aca="false">INDEX(SLA_Days_Col,MATCH(A531,ShipMode_Col,0))</f>
        <v>6</v>
      </c>
    </row>
    <row r="532" customFormat="false" ht="15" hidden="false" customHeight="false" outlineLevel="0" collapsed="false">
      <c r="A532" s="10" t="s">
        <v>64</v>
      </c>
      <c r="B532" s="10" t="s">
        <v>50</v>
      </c>
      <c r="C532" s="10" t="s">
        <v>51</v>
      </c>
      <c r="D532" s="10" t="s">
        <v>91</v>
      </c>
      <c r="E532" s="10" t="s">
        <v>92</v>
      </c>
      <c r="F532" s="10" t="n">
        <v>19134</v>
      </c>
      <c r="G532" s="10" t="s">
        <v>93</v>
      </c>
      <c r="H532" s="10" t="s">
        <v>62</v>
      </c>
      <c r="I532" s="10" t="s">
        <v>96</v>
      </c>
      <c r="J532" s="13" t="n">
        <v>52.512</v>
      </c>
      <c r="K532" s="10" t="n">
        <v>6</v>
      </c>
      <c r="L532" s="14" t="n">
        <v>0.2</v>
      </c>
      <c r="M532" s="15" t="n">
        <v>19.692</v>
      </c>
      <c r="N532" s="10" t="str">
        <f aca="false">IF(M532&lt;0,"Loss",IF(M532&lt;50,"Low Profit",IF(M532&lt;200,"Medium Profit","High Profit")))</f>
        <v>Low Profit</v>
      </c>
      <c r="O532" s="10" t="str">
        <f aca="false">IF(J532&gt;=500,"High Value","Standard")</f>
        <v>Standard</v>
      </c>
      <c r="P532" s="10" t="str">
        <f aca="false">H532&amp;" &gt; "&amp;I532&amp;" ("&amp;K532&amp;" units)"</f>
        <v>Office Supplies &gt; Envelopes (6 units)</v>
      </c>
      <c r="Q532" s="10" t="str">
        <f aca="false">VLOOKUP(G532,Region_Manager_Table,2,FALSE())</f>
        <v>Priya Menon</v>
      </c>
      <c r="R532" s="10" t="n">
        <f aca="false">INDEX(SLA_Days_Col,MATCH(A532,ShipMode_Col,0))</f>
        <v>6</v>
      </c>
    </row>
    <row r="533" customFormat="false" ht="15" hidden="false" customHeight="false" outlineLevel="0" collapsed="false">
      <c r="A533" s="16" t="s">
        <v>49</v>
      </c>
      <c r="B533" s="16" t="s">
        <v>58</v>
      </c>
      <c r="C533" s="16" t="s">
        <v>51</v>
      </c>
      <c r="D533" s="16" t="s">
        <v>59</v>
      </c>
      <c r="E533" s="16" t="s">
        <v>60</v>
      </c>
      <c r="F533" s="16" t="n">
        <v>90036</v>
      </c>
      <c r="G533" s="16" t="s">
        <v>61</v>
      </c>
      <c r="H533" s="16" t="s">
        <v>55</v>
      </c>
      <c r="I533" s="16" t="s">
        <v>57</v>
      </c>
      <c r="J533" s="17" t="n">
        <v>190.72</v>
      </c>
      <c r="K533" s="16" t="n">
        <v>1</v>
      </c>
      <c r="L533" s="18" t="n">
        <v>0.2</v>
      </c>
      <c r="M533" s="19" t="n">
        <v>11.92</v>
      </c>
      <c r="N533" s="16" t="str">
        <f aca="false">IF(M533&lt;0,"Loss",IF(M533&lt;50,"Low Profit",IF(M533&lt;200,"Medium Profit","High Profit")))</f>
        <v>Low Profit</v>
      </c>
      <c r="O533" s="16" t="str">
        <f aca="false">IF(J533&gt;=500,"High Value","Standard")</f>
        <v>Standard</v>
      </c>
      <c r="P533" s="16" t="str">
        <f aca="false">H533&amp;" &gt; "&amp;I533&amp;" ("&amp;K533&amp;" units)"</f>
        <v>Furniture &gt; Chairs (1 units)</v>
      </c>
      <c r="Q533" s="16" t="str">
        <f aca="false">VLOOKUP(G533,Region_Manager_Table,2,FALSE())</f>
        <v>Sana Sheikh</v>
      </c>
      <c r="R533" s="16" t="n">
        <f aca="false">INDEX(SLA_Days_Col,MATCH(A533,ShipMode_Col,0))</f>
        <v>4</v>
      </c>
    </row>
    <row r="534" customFormat="false" ht="15" hidden="false" customHeight="false" outlineLevel="0" collapsed="false">
      <c r="A534" s="10" t="s">
        <v>64</v>
      </c>
      <c r="B534" s="10" t="s">
        <v>50</v>
      </c>
      <c r="C534" s="10" t="s">
        <v>51</v>
      </c>
      <c r="D534" s="10" t="s">
        <v>59</v>
      </c>
      <c r="E534" s="10" t="s">
        <v>60</v>
      </c>
      <c r="F534" s="10" t="n">
        <v>90032</v>
      </c>
      <c r="G534" s="10" t="s">
        <v>61</v>
      </c>
      <c r="H534" s="10" t="s">
        <v>55</v>
      </c>
      <c r="I534" s="10" t="s">
        <v>69</v>
      </c>
      <c r="J534" s="13" t="n">
        <v>47.94</v>
      </c>
      <c r="K534" s="10" t="n">
        <v>3</v>
      </c>
      <c r="L534" s="14" t="n">
        <v>0</v>
      </c>
      <c r="M534" s="15" t="n">
        <v>2.397</v>
      </c>
      <c r="N534" s="10" t="str">
        <f aca="false">IF(M534&lt;0,"Loss",IF(M534&lt;50,"Low Profit",IF(M534&lt;200,"Medium Profit","High Profit")))</f>
        <v>Low Profit</v>
      </c>
      <c r="O534" s="10" t="str">
        <f aca="false">IF(J534&gt;=500,"High Value","Standard")</f>
        <v>Standard</v>
      </c>
      <c r="P534" s="10" t="str">
        <f aca="false">H534&amp;" &gt; "&amp;I534&amp;" ("&amp;K534&amp;" units)"</f>
        <v>Furniture &gt; Furnishings (3 units)</v>
      </c>
      <c r="Q534" s="10" t="str">
        <f aca="false">VLOOKUP(G534,Region_Manager_Table,2,FALSE())</f>
        <v>Sana Sheikh</v>
      </c>
      <c r="R534" s="10" t="n">
        <f aca="false">INDEX(SLA_Days_Col,MATCH(A534,ShipMode_Col,0))</f>
        <v>6</v>
      </c>
    </row>
    <row r="535" customFormat="false" ht="15" hidden="false" customHeight="false" outlineLevel="0" collapsed="false">
      <c r="A535" s="16" t="s">
        <v>49</v>
      </c>
      <c r="B535" s="16" t="s">
        <v>50</v>
      </c>
      <c r="C535" s="16" t="s">
        <v>51</v>
      </c>
      <c r="D535" s="16" t="s">
        <v>241</v>
      </c>
      <c r="E535" s="16" t="s">
        <v>124</v>
      </c>
      <c r="F535" s="16" t="n">
        <v>36116</v>
      </c>
      <c r="G535" s="16" t="s">
        <v>54</v>
      </c>
      <c r="H535" s="16" t="s">
        <v>71</v>
      </c>
      <c r="I535" s="16" t="s">
        <v>72</v>
      </c>
      <c r="J535" s="17" t="n">
        <v>979.95</v>
      </c>
      <c r="K535" s="16" t="n">
        <v>5</v>
      </c>
      <c r="L535" s="18" t="n">
        <v>0</v>
      </c>
      <c r="M535" s="19" t="n">
        <v>274.386</v>
      </c>
      <c r="N535" s="16" t="str">
        <f aca="false">IF(M535&lt;0,"Loss",IF(M535&lt;50,"Low Profit",IF(M535&lt;200,"Medium Profit","High Profit")))</f>
        <v>High Profit</v>
      </c>
      <c r="O535" s="16" t="str">
        <f aca="false">IF(J535&gt;=500,"High Value","Standard")</f>
        <v>High Value</v>
      </c>
      <c r="P535" s="16" t="str">
        <f aca="false">H535&amp;" &gt; "&amp;I535&amp;" ("&amp;K535&amp;" units)"</f>
        <v>Technology &gt; Phones (5 units)</v>
      </c>
      <c r="Q535" s="16" t="str">
        <f aca="false">VLOOKUP(G535,Region_Manager_Table,2,FALSE())</f>
        <v>Karthik Iyer</v>
      </c>
      <c r="R535" s="16" t="n">
        <f aca="false">INDEX(SLA_Days_Col,MATCH(A535,ShipMode_Col,0))</f>
        <v>4</v>
      </c>
    </row>
    <row r="536" customFormat="false" ht="15" hidden="false" customHeight="false" outlineLevel="0" collapsed="false">
      <c r="A536" s="10" t="s">
        <v>49</v>
      </c>
      <c r="B536" s="10" t="s">
        <v>50</v>
      </c>
      <c r="C536" s="10" t="s">
        <v>51</v>
      </c>
      <c r="D536" s="10" t="s">
        <v>241</v>
      </c>
      <c r="E536" s="10" t="s">
        <v>124</v>
      </c>
      <c r="F536" s="10" t="n">
        <v>36116</v>
      </c>
      <c r="G536" s="10" t="s">
        <v>54</v>
      </c>
      <c r="H536" s="10" t="s">
        <v>62</v>
      </c>
      <c r="I536" s="10" t="s">
        <v>73</v>
      </c>
      <c r="J536" s="13" t="n">
        <v>22.75</v>
      </c>
      <c r="K536" s="10" t="n">
        <v>5</v>
      </c>
      <c r="L536" s="14" t="n">
        <v>0</v>
      </c>
      <c r="M536" s="15" t="n">
        <v>11.375</v>
      </c>
      <c r="N536" s="10" t="str">
        <f aca="false">IF(M536&lt;0,"Loss",IF(M536&lt;50,"Low Profit",IF(M536&lt;200,"Medium Profit","High Profit")))</f>
        <v>Low Profit</v>
      </c>
      <c r="O536" s="10" t="str">
        <f aca="false">IF(J536&gt;=500,"High Value","Standard")</f>
        <v>Standard</v>
      </c>
      <c r="P536" s="10" t="str">
        <f aca="false">H536&amp;" &gt; "&amp;I536&amp;" ("&amp;K536&amp;" units)"</f>
        <v>Office Supplies &gt; Binders (5 units)</v>
      </c>
      <c r="Q536" s="10" t="str">
        <f aca="false">VLOOKUP(G536,Region_Manager_Table,2,FALSE())</f>
        <v>Karthik Iyer</v>
      </c>
      <c r="R536" s="10" t="n">
        <f aca="false">INDEX(SLA_Days_Col,MATCH(A536,ShipMode_Col,0))</f>
        <v>4</v>
      </c>
    </row>
    <row r="537" customFormat="false" ht="15" hidden="false" customHeight="false" outlineLevel="0" collapsed="false">
      <c r="A537" s="16" t="s">
        <v>64</v>
      </c>
      <c r="B537" s="16" t="s">
        <v>50</v>
      </c>
      <c r="C537" s="16" t="s">
        <v>51</v>
      </c>
      <c r="D537" s="16" t="s">
        <v>242</v>
      </c>
      <c r="E537" s="16" t="s">
        <v>117</v>
      </c>
      <c r="F537" s="16" t="n">
        <v>85204</v>
      </c>
      <c r="G537" s="16" t="s">
        <v>61</v>
      </c>
      <c r="H537" s="16" t="s">
        <v>62</v>
      </c>
      <c r="I537" s="16" t="s">
        <v>68</v>
      </c>
      <c r="J537" s="17" t="n">
        <v>16.768</v>
      </c>
      <c r="K537" s="16" t="n">
        <v>2</v>
      </c>
      <c r="L537" s="18" t="n">
        <v>0.2</v>
      </c>
      <c r="M537" s="19" t="n">
        <v>1.4672</v>
      </c>
      <c r="N537" s="16" t="str">
        <f aca="false">IF(M537&lt;0,"Loss",IF(M537&lt;50,"Low Profit",IF(M537&lt;200,"Medium Profit","High Profit")))</f>
        <v>Low Profit</v>
      </c>
      <c r="O537" s="16" t="str">
        <f aca="false">IF(J537&gt;=500,"High Value","Standard")</f>
        <v>Standard</v>
      </c>
      <c r="P537" s="16" t="str">
        <f aca="false">H537&amp;" &gt; "&amp;I537&amp;" ("&amp;K537&amp;" units)"</f>
        <v>Office Supplies &gt; Storage (2 units)</v>
      </c>
      <c r="Q537" s="16" t="str">
        <f aca="false">VLOOKUP(G537,Region_Manager_Table,2,FALSE())</f>
        <v>Sana Sheikh</v>
      </c>
      <c r="R537" s="16" t="n">
        <f aca="false">INDEX(SLA_Days_Col,MATCH(A537,ShipMode_Col,0))</f>
        <v>6</v>
      </c>
    </row>
    <row r="538" customFormat="false" ht="15" hidden="false" customHeight="false" outlineLevel="0" collapsed="false">
      <c r="A538" s="10" t="s">
        <v>49</v>
      </c>
      <c r="B538" s="10" t="s">
        <v>50</v>
      </c>
      <c r="C538" s="10" t="s">
        <v>51</v>
      </c>
      <c r="D538" s="10" t="s">
        <v>115</v>
      </c>
      <c r="E538" s="10" t="s">
        <v>101</v>
      </c>
      <c r="F538" s="10" t="n">
        <v>60653</v>
      </c>
      <c r="G538" s="10" t="s">
        <v>83</v>
      </c>
      <c r="H538" s="10" t="s">
        <v>62</v>
      </c>
      <c r="I538" s="10" t="s">
        <v>73</v>
      </c>
      <c r="J538" s="13" t="n">
        <v>42.616</v>
      </c>
      <c r="K538" s="10" t="n">
        <v>7</v>
      </c>
      <c r="L538" s="14" t="n">
        <v>0.8</v>
      </c>
      <c r="M538" s="15" t="n">
        <v>-68.1856</v>
      </c>
      <c r="N538" s="10" t="str">
        <f aca="false">IF(M538&lt;0,"Loss",IF(M538&lt;50,"Low Profit",IF(M538&lt;200,"Medium Profit","High Profit")))</f>
        <v>Loss</v>
      </c>
      <c r="O538" s="10" t="str">
        <f aca="false">IF(J538&gt;=500,"High Value","Standard")</f>
        <v>Standard</v>
      </c>
      <c r="P538" s="10" t="str">
        <f aca="false">H538&amp;" &gt; "&amp;I538&amp;" ("&amp;K538&amp;" units)"</f>
        <v>Office Supplies &gt; Binders (7 units)</v>
      </c>
      <c r="Q538" s="10" t="str">
        <f aca="false">VLOOKUP(G538,Region_Manager_Table,2,FALSE())</f>
        <v>Aditya Rao</v>
      </c>
      <c r="R538" s="10" t="n">
        <f aca="false">INDEX(SLA_Days_Col,MATCH(A538,ShipMode_Col,0))</f>
        <v>4</v>
      </c>
    </row>
    <row r="539" customFormat="false" ht="15" hidden="false" customHeight="false" outlineLevel="0" collapsed="false">
      <c r="A539" s="16" t="s">
        <v>64</v>
      </c>
      <c r="B539" s="16" t="s">
        <v>80</v>
      </c>
      <c r="C539" s="16" t="s">
        <v>51</v>
      </c>
      <c r="D539" s="16" t="s">
        <v>111</v>
      </c>
      <c r="E539" s="16" t="s">
        <v>112</v>
      </c>
      <c r="F539" s="16" t="n">
        <v>10009</v>
      </c>
      <c r="G539" s="16" t="s">
        <v>93</v>
      </c>
      <c r="H539" s="16" t="s">
        <v>62</v>
      </c>
      <c r="I539" s="16" t="s">
        <v>73</v>
      </c>
      <c r="J539" s="17" t="n">
        <v>10.752</v>
      </c>
      <c r="K539" s="16" t="n">
        <v>4</v>
      </c>
      <c r="L539" s="18" t="n">
        <v>0.2</v>
      </c>
      <c r="M539" s="19" t="n">
        <v>3.36</v>
      </c>
      <c r="N539" s="16" t="str">
        <f aca="false">IF(M539&lt;0,"Loss",IF(M539&lt;50,"Low Profit",IF(M539&lt;200,"Medium Profit","High Profit")))</f>
        <v>Low Profit</v>
      </c>
      <c r="O539" s="16" t="str">
        <f aca="false">IF(J539&gt;=500,"High Value","Standard")</f>
        <v>Standard</v>
      </c>
      <c r="P539" s="16" t="str">
        <f aca="false">H539&amp;" &gt; "&amp;I539&amp;" ("&amp;K539&amp;" units)"</f>
        <v>Office Supplies &gt; Binders (4 units)</v>
      </c>
      <c r="Q539" s="16" t="str">
        <f aca="false">VLOOKUP(G539,Region_Manager_Table,2,FALSE())</f>
        <v>Priya Menon</v>
      </c>
      <c r="R539" s="16" t="n">
        <f aca="false">INDEX(SLA_Days_Col,MATCH(A539,ShipMode_Col,0))</f>
        <v>6</v>
      </c>
    </row>
    <row r="540" customFormat="false" ht="15" hidden="false" customHeight="false" outlineLevel="0" collapsed="false">
      <c r="A540" s="10" t="s">
        <v>64</v>
      </c>
      <c r="B540" s="10" t="s">
        <v>50</v>
      </c>
      <c r="C540" s="10" t="s">
        <v>51</v>
      </c>
      <c r="D540" s="10" t="s">
        <v>52</v>
      </c>
      <c r="E540" s="10" t="s">
        <v>53</v>
      </c>
      <c r="F540" s="10" t="n">
        <v>42420</v>
      </c>
      <c r="G540" s="10" t="s">
        <v>54</v>
      </c>
      <c r="H540" s="10" t="s">
        <v>62</v>
      </c>
      <c r="I540" s="10" t="s">
        <v>74</v>
      </c>
      <c r="J540" s="13" t="n">
        <v>152.94</v>
      </c>
      <c r="K540" s="10" t="n">
        <v>3</v>
      </c>
      <c r="L540" s="14" t="n">
        <v>0</v>
      </c>
      <c r="M540" s="15" t="n">
        <v>41.2938</v>
      </c>
      <c r="N540" s="10" t="str">
        <f aca="false">IF(M540&lt;0,"Loss",IF(M540&lt;50,"Low Profit",IF(M540&lt;200,"Medium Profit","High Profit")))</f>
        <v>Low Profit</v>
      </c>
      <c r="O540" s="10" t="str">
        <f aca="false">IF(J540&gt;=500,"High Value","Standard")</f>
        <v>Standard</v>
      </c>
      <c r="P540" s="10" t="str">
        <f aca="false">H540&amp;" &gt; "&amp;I540&amp;" ("&amp;K540&amp;" units)"</f>
        <v>Office Supplies &gt; Appliances (3 units)</v>
      </c>
      <c r="Q540" s="10" t="str">
        <f aca="false">VLOOKUP(G540,Region_Manager_Table,2,FALSE())</f>
        <v>Karthik Iyer</v>
      </c>
      <c r="R540" s="10" t="n">
        <f aca="false">INDEX(SLA_Days_Col,MATCH(A540,ShipMode_Col,0))</f>
        <v>6</v>
      </c>
    </row>
    <row r="541" customFormat="false" ht="15" hidden="false" customHeight="false" outlineLevel="0" collapsed="false">
      <c r="A541" s="16" t="s">
        <v>64</v>
      </c>
      <c r="B541" s="16" t="s">
        <v>50</v>
      </c>
      <c r="C541" s="16" t="s">
        <v>51</v>
      </c>
      <c r="D541" s="16" t="s">
        <v>52</v>
      </c>
      <c r="E541" s="16" t="s">
        <v>53</v>
      </c>
      <c r="F541" s="16" t="n">
        <v>42420</v>
      </c>
      <c r="G541" s="16" t="s">
        <v>54</v>
      </c>
      <c r="H541" s="16" t="s">
        <v>55</v>
      </c>
      <c r="I541" s="16" t="s">
        <v>57</v>
      </c>
      <c r="J541" s="17" t="n">
        <v>283.92</v>
      </c>
      <c r="K541" s="16" t="n">
        <v>4</v>
      </c>
      <c r="L541" s="18" t="n">
        <v>0</v>
      </c>
      <c r="M541" s="19" t="n">
        <v>70.98</v>
      </c>
      <c r="N541" s="16" t="str">
        <f aca="false">IF(M541&lt;0,"Loss",IF(M541&lt;50,"Low Profit",IF(M541&lt;200,"Medium Profit","High Profit")))</f>
        <v>Medium Profit</v>
      </c>
      <c r="O541" s="16" t="str">
        <f aca="false">IF(J541&gt;=500,"High Value","Standard")</f>
        <v>Standard</v>
      </c>
      <c r="P541" s="16" t="str">
        <f aca="false">H541&amp;" &gt; "&amp;I541&amp;" ("&amp;K541&amp;" units)"</f>
        <v>Furniture &gt; Chairs (4 units)</v>
      </c>
      <c r="Q541" s="16" t="str">
        <f aca="false">VLOOKUP(G541,Region_Manager_Table,2,FALSE())</f>
        <v>Karthik Iyer</v>
      </c>
      <c r="R541" s="16" t="n">
        <f aca="false">INDEX(SLA_Days_Col,MATCH(A541,ShipMode_Col,0))</f>
        <v>6</v>
      </c>
    </row>
    <row r="542" customFormat="false" ht="15" hidden="false" customHeight="false" outlineLevel="0" collapsed="false">
      <c r="A542" s="10" t="s">
        <v>98</v>
      </c>
      <c r="B542" s="10" t="s">
        <v>50</v>
      </c>
      <c r="C542" s="10" t="s">
        <v>51</v>
      </c>
      <c r="D542" s="10" t="s">
        <v>243</v>
      </c>
      <c r="E542" s="10" t="s">
        <v>85</v>
      </c>
      <c r="F542" s="10" t="n">
        <v>54302</v>
      </c>
      <c r="G542" s="10" t="s">
        <v>83</v>
      </c>
      <c r="H542" s="10" t="s">
        <v>71</v>
      </c>
      <c r="I542" s="10" t="s">
        <v>95</v>
      </c>
      <c r="J542" s="13" t="n">
        <v>468.9</v>
      </c>
      <c r="K542" s="10" t="n">
        <v>6</v>
      </c>
      <c r="L542" s="14" t="n">
        <v>0</v>
      </c>
      <c r="M542" s="15" t="n">
        <v>206.316</v>
      </c>
      <c r="N542" s="10" t="str">
        <f aca="false">IF(M542&lt;0,"Loss",IF(M542&lt;50,"Low Profit",IF(M542&lt;200,"Medium Profit","High Profit")))</f>
        <v>High Profit</v>
      </c>
      <c r="O542" s="10" t="str">
        <f aca="false">IF(J542&gt;=500,"High Value","Standard")</f>
        <v>Standard</v>
      </c>
      <c r="P542" s="10" t="str">
        <f aca="false">H542&amp;" &gt; "&amp;I542&amp;" ("&amp;K542&amp;" units)"</f>
        <v>Technology &gt; Accessories (6 units)</v>
      </c>
      <c r="Q542" s="10" t="str">
        <f aca="false">VLOOKUP(G542,Region_Manager_Table,2,FALSE())</f>
        <v>Aditya Rao</v>
      </c>
      <c r="R542" s="10" t="n">
        <f aca="false">INDEX(SLA_Days_Col,MATCH(A542,ShipMode_Col,0))</f>
        <v>2</v>
      </c>
    </row>
    <row r="543" customFormat="false" ht="15" hidden="false" customHeight="false" outlineLevel="0" collapsed="false">
      <c r="A543" s="16" t="s">
        <v>98</v>
      </c>
      <c r="B543" s="16" t="s">
        <v>58</v>
      </c>
      <c r="C543" s="16" t="s">
        <v>51</v>
      </c>
      <c r="D543" s="16" t="s">
        <v>207</v>
      </c>
      <c r="E543" s="16" t="s">
        <v>117</v>
      </c>
      <c r="F543" s="16" t="n">
        <v>85705</v>
      </c>
      <c r="G543" s="16" t="s">
        <v>61</v>
      </c>
      <c r="H543" s="16" t="s">
        <v>71</v>
      </c>
      <c r="I543" s="16" t="s">
        <v>72</v>
      </c>
      <c r="J543" s="17" t="n">
        <v>380.864</v>
      </c>
      <c r="K543" s="16" t="n">
        <v>8</v>
      </c>
      <c r="L543" s="18" t="n">
        <v>0.2</v>
      </c>
      <c r="M543" s="19" t="n">
        <v>38.0864</v>
      </c>
      <c r="N543" s="16" t="str">
        <f aca="false">IF(M543&lt;0,"Loss",IF(M543&lt;50,"Low Profit",IF(M543&lt;200,"Medium Profit","High Profit")))</f>
        <v>Low Profit</v>
      </c>
      <c r="O543" s="16" t="str">
        <f aca="false">IF(J543&gt;=500,"High Value","Standard")</f>
        <v>Standard</v>
      </c>
      <c r="P543" s="16" t="str">
        <f aca="false">H543&amp;" &gt; "&amp;I543&amp;" ("&amp;K543&amp;" units)"</f>
        <v>Technology &gt; Phones (8 units)</v>
      </c>
      <c r="Q543" s="16" t="str">
        <f aca="false">VLOOKUP(G543,Region_Manager_Table,2,FALSE())</f>
        <v>Sana Sheikh</v>
      </c>
      <c r="R543" s="16" t="n">
        <f aca="false">INDEX(SLA_Days_Col,MATCH(A543,ShipMode_Col,0))</f>
        <v>2</v>
      </c>
    </row>
    <row r="544" customFormat="false" ht="15" hidden="false" customHeight="false" outlineLevel="0" collapsed="false">
      <c r="A544" s="10" t="s">
        <v>64</v>
      </c>
      <c r="B544" s="10" t="s">
        <v>50</v>
      </c>
      <c r="C544" s="10" t="s">
        <v>51</v>
      </c>
      <c r="D544" s="10" t="s">
        <v>118</v>
      </c>
      <c r="E544" s="10" t="s">
        <v>140</v>
      </c>
      <c r="F544" s="10" t="n">
        <v>45503</v>
      </c>
      <c r="G544" s="10" t="s">
        <v>93</v>
      </c>
      <c r="H544" s="10" t="s">
        <v>62</v>
      </c>
      <c r="I544" s="10" t="s">
        <v>68</v>
      </c>
      <c r="J544" s="13" t="n">
        <v>646.776</v>
      </c>
      <c r="K544" s="10" t="n">
        <v>9</v>
      </c>
      <c r="L544" s="14" t="n">
        <v>0.2</v>
      </c>
      <c r="M544" s="15" t="n">
        <v>-145.5246</v>
      </c>
      <c r="N544" s="10" t="str">
        <f aca="false">IF(M544&lt;0,"Loss",IF(M544&lt;50,"Low Profit",IF(M544&lt;200,"Medium Profit","High Profit")))</f>
        <v>Loss</v>
      </c>
      <c r="O544" s="10" t="str">
        <f aca="false">IF(J544&gt;=500,"High Value","Standard")</f>
        <v>High Value</v>
      </c>
      <c r="P544" s="10" t="str">
        <f aca="false">H544&amp;" &gt; "&amp;I544&amp;" ("&amp;K544&amp;" units)"</f>
        <v>Office Supplies &gt; Storage (9 units)</v>
      </c>
      <c r="Q544" s="10" t="str">
        <f aca="false">VLOOKUP(G544,Region_Manager_Table,2,FALSE())</f>
        <v>Priya Menon</v>
      </c>
      <c r="R544" s="10" t="n">
        <f aca="false">INDEX(SLA_Days_Col,MATCH(A544,ShipMode_Col,0))</f>
        <v>6</v>
      </c>
    </row>
    <row r="545" customFormat="false" ht="15" hidden="false" customHeight="false" outlineLevel="0" collapsed="false">
      <c r="A545" s="16" t="s">
        <v>64</v>
      </c>
      <c r="B545" s="16" t="s">
        <v>50</v>
      </c>
      <c r="C545" s="16" t="s">
        <v>51</v>
      </c>
      <c r="D545" s="16" t="s">
        <v>81</v>
      </c>
      <c r="E545" s="16" t="s">
        <v>82</v>
      </c>
      <c r="F545" s="16" t="n">
        <v>76106</v>
      </c>
      <c r="G545" s="16" t="s">
        <v>83</v>
      </c>
      <c r="H545" s="16" t="s">
        <v>71</v>
      </c>
      <c r="I545" s="16" t="s">
        <v>95</v>
      </c>
      <c r="J545" s="17" t="n">
        <v>58.112</v>
      </c>
      <c r="K545" s="16" t="n">
        <v>2</v>
      </c>
      <c r="L545" s="18" t="n">
        <v>0.2</v>
      </c>
      <c r="M545" s="19" t="n">
        <v>7.264</v>
      </c>
      <c r="N545" s="16" t="str">
        <f aca="false">IF(M545&lt;0,"Loss",IF(M545&lt;50,"Low Profit",IF(M545&lt;200,"Medium Profit","High Profit")))</f>
        <v>Low Profit</v>
      </c>
      <c r="O545" s="16" t="str">
        <f aca="false">IF(J545&gt;=500,"High Value","Standard")</f>
        <v>Standard</v>
      </c>
      <c r="P545" s="16" t="str">
        <f aca="false">H545&amp;" &gt; "&amp;I545&amp;" ("&amp;K545&amp;" units)"</f>
        <v>Technology &gt; Accessories (2 units)</v>
      </c>
      <c r="Q545" s="16" t="str">
        <f aca="false">VLOOKUP(G545,Region_Manager_Table,2,FALSE())</f>
        <v>Aditya Rao</v>
      </c>
      <c r="R545" s="16" t="n">
        <f aca="false">INDEX(SLA_Days_Col,MATCH(A545,ShipMode_Col,0))</f>
        <v>6</v>
      </c>
    </row>
    <row r="546" customFormat="false" ht="15" hidden="false" customHeight="false" outlineLevel="0" collapsed="false">
      <c r="A546" s="10" t="s">
        <v>64</v>
      </c>
      <c r="B546" s="10" t="s">
        <v>50</v>
      </c>
      <c r="C546" s="10" t="s">
        <v>51</v>
      </c>
      <c r="D546" s="10" t="s">
        <v>81</v>
      </c>
      <c r="E546" s="10" t="s">
        <v>82</v>
      </c>
      <c r="F546" s="10" t="n">
        <v>76106</v>
      </c>
      <c r="G546" s="10" t="s">
        <v>83</v>
      </c>
      <c r="H546" s="10" t="s">
        <v>71</v>
      </c>
      <c r="I546" s="10" t="s">
        <v>72</v>
      </c>
      <c r="J546" s="13" t="n">
        <v>100.792</v>
      </c>
      <c r="K546" s="10" t="n">
        <v>1</v>
      </c>
      <c r="L546" s="14" t="n">
        <v>0.2</v>
      </c>
      <c r="M546" s="15" t="n">
        <v>6.2995</v>
      </c>
      <c r="N546" s="10" t="str">
        <f aca="false">IF(M546&lt;0,"Loss",IF(M546&lt;50,"Low Profit",IF(M546&lt;200,"Medium Profit","High Profit")))</f>
        <v>Low Profit</v>
      </c>
      <c r="O546" s="10" t="str">
        <f aca="false">IF(J546&gt;=500,"High Value","Standard")</f>
        <v>Standard</v>
      </c>
      <c r="P546" s="10" t="str">
        <f aca="false">H546&amp;" &gt; "&amp;I546&amp;" ("&amp;K546&amp;" units)"</f>
        <v>Technology &gt; Phones (1 units)</v>
      </c>
      <c r="Q546" s="10" t="str">
        <f aca="false">VLOOKUP(G546,Region_Manager_Table,2,FALSE())</f>
        <v>Aditya Rao</v>
      </c>
      <c r="R546" s="10" t="n">
        <f aca="false">INDEX(SLA_Days_Col,MATCH(A546,ShipMode_Col,0))</f>
        <v>6</v>
      </c>
    </row>
    <row r="547" customFormat="false" ht="15" hidden="false" customHeight="false" outlineLevel="0" collapsed="false">
      <c r="A547" s="16" t="s">
        <v>64</v>
      </c>
      <c r="B547" s="16" t="s">
        <v>50</v>
      </c>
      <c r="C547" s="16" t="s">
        <v>51</v>
      </c>
      <c r="D547" s="16" t="s">
        <v>81</v>
      </c>
      <c r="E547" s="16" t="s">
        <v>82</v>
      </c>
      <c r="F547" s="16" t="n">
        <v>76106</v>
      </c>
      <c r="G547" s="16" t="s">
        <v>83</v>
      </c>
      <c r="H547" s="16" t="s">
        <v>55</v>
      </c>
      <c r="I547" s="16" t="s">
        <v>69</v>
      </c>
      <c r="J547" s="17" t="n">
        <v>66.112</v>
      </c>
      <c r="K547" s="16" t="n">
        <v>4</v>
      </c>
      <c r="L547" s="18" t="n">
        <v>0.6</v>
      </c>
      <c r="M547" s="19" t="n">
        <v>-84.2928</v>
      </c>
      <c r="N547" s="16" t="str">
        <f aca="false">IF(M547&lt;0,"Loss",IF(M547&lt;50,"Low Profit",IF(M547&lt;200,"Medium Profit","High Profit")))</f>
        <v>Loss</v>
      </c>
      <c r="O547" s="16" t="str">
        <f aca="false">IF(J547&gt;=500,"High Value","Standard")</f>
        <v>Standard</v>
      </c>
      <c r="P547" s="16" t="str">
        <f aca="false">H547&amp;" &gt; "&amp;I547&amp;" ("&amp;K547&amp;" units)"</f>
        <v>Furniture &gt; Furnishings (4 units)</v>
      </c>
      <c r="Q547" s="16" t="str">
        <f aca="false">VLOOKUP(G547,Region_Manager_Table,2,FALSE())</f>
        <v>Aditya Rao</v>
      </c>
      <c r="R547" s="16" t="n">
        <f aca="false">INDEX(SLA_Days_Col,MATCH(A547,ShipMode_Col,0))</f>
        <v>6</v>
      </c>
    </row>
    <row r="548" customFormat="false" ht="15" hidden="false" customHeight="false" outlineLevel="0" collapsed="false">
      <c r="A548" s="10" t="s">
        <v>98</v>
      </c>
      <c r="B548" s="10" t="s">
        <v>80</v>
      </c>
      <c r="C548" s="10" t="s">
        <v>51</v>
      </c>
      <c r="D548" s="10" t="s">
        <v>111</v>
      </c>
      <c r="E548" s="10" t="s">
        <v>112</v>
      </c>
      <c r="F548" s="10" t="n">
        <v>10035</v>
      </c>
      <c r="G548" s="10" t="s">
        <v>93</v>
      </c>
      <c r="H548" s="10" t="s">
        <v>62</v>
      </c>
      <c r="I548" s="10" t="s">
        <v>73</v>
      </c>
      <c r="J548" s="13" t="n">
        <v>41.28</v>
      </c>
      <c r="K548" s="10" t="n">
        <v>6</v>
      </c>
      <c r="L548" s="14" t="n">
        <v>0.2</v>
      </c>
      <c r="M548" s="15" t="n">
        <v>13.932</v>
      </c>
      <c r="N548" s="10" t="str">
        <f aca="false">IF(M548&lt;0,"Loss",IF(M548&lt;50,"Low Profit",IF(M548&lt;200,"Medium Profit","High Profit")))</f>
        <v>Low Profit</v>
      </c>
      <c r="O548" s="10" t="str">
        <f aca="false">IF(J548&gt;=500,"High Value","Standard")</f>
        <v>Standard</v>
      </c>
      <c r="P548" s="10" t="str">
        <f aca="false">H548&amp;" &gt; "&amp;I548&amp;" ("&amp;K548&amp;" units)"</f>
        <v>Office Supplies &gt; Binders (6 units)</v>
      </c>
      <c r="Q548" s="10" t="str">
        <f aca="false">VLOOKUP(G548,Region_Manager_Table,2,FALSE())</f>
        <v>Priya Menon</v>
      </c>
      <c r="R548" s="10" t="n">
        <f aca="false">INDEX(SLA_Days_Col,MATCH(A548,ShipMode_Col,0))</f>
        <v>2</v>
      </c>
    </row>
    <row r="549" customFormat="false" ht="15" hidden="false" customHeight="false" outlineLevel="0" collapsed="false">
      <c r="A549" s="16" t="s">
        <v>98</v>
      </c>
      <c r="B549" s="16" t="s">
        <v>80</v>
      </c>
      <c r="C549" s="16" t="s">
        <v>51</v>
      </c>
      <c r="D549" s="16" t="s">
        <v>111</v>
      </c>
      <c r="E549" s="16" t="s">
        <v>112</v>
      </c>
      <c r="F549" s="16" t="n">
        <v>10035</v>
      </c>
      <c r="G549" s="16" t="s">
        <v>93</v>
      </c>
      <c r="H549" s="16" t="s">
        <v>62</v>
      </c>
      <c r="I549" s="16" t="s">
        <v>77</v>
      </c>
      <c r="J549" s="17" t="n">
        <v>13.36</v>
      </c>
      <c r="K549" s="16" t="n">
        <v>2</v>
      </c>
      <c r="L549" s="18" t="n">
        <v>0</v>
      </c>
      <c r="M549" s="19" t="n">
        <v>6.4128</v>
      </c>
      <c r="N549" s="16" t="str">
        <f aca="false">IF(M549&lt;0,"Loss",IF(M549&lt;50,"Low Profit",IF(M549&lt;200,"Medium Profit","High Profit")))</f>
        <v>Low Profit</v>
      </c>
      <c r="O549" s="16" t="str">
        <f aca="false">IF(J549&gt;=500,"High Value","Standard")</f>
        <v>Standard</v>
      </c>
      <c r="P549" s="16" t="str">
        <f aca="false">H549&amp;" &gt; "&amp;I549&amp;" ("&amp;K549&amp;" units)"</f>
        <v>Office Supplies &gt; Paper (2 units)</v>
      </c>
      <c r="Q549" s="16" t="str">
        <f aca="false">VLOOKUP(G549,Region_Manager_Table,2,FALSE())</f>
        <v>Priya Menon</v>
      </c>
      <c r="R549" s="16" t="n">
        <f aca="false">INDEX(SLA_Days_Col,MATCH(A549,ShipMode_Col,0))</f>
        <v>2</v>
      </c>
    </row>
    <row r="550" customFormat="false" ht="15" hidden="false" customHeight="false" outlineLevel="0" collapsed="false">
      <c r="A550" s="10" t="s">
        <v>49</v>
      </c>
      <c r="B550" s="10" t="s">
        <v>58</v>
      </c>
      <c r="C550" s="10" t="s">
        <v>51</v>
      </c>
      <c r="D550" s="10" t="s">
        <v>115</v>
      </c>
      <c r="E550" s="10" t="s">
        <v>101</v>
      </c>
      <c r="F550" s="10" t="n">
        <v>60653</v>
      </c>
      <c r="G550" s="10" t="s">
        <v>83</v>
      </c>
      <c r="H550" s="10" t="s">
        <v>62</v>
      </c>
      <c r="I550" s="10" t="s">
        <v>68</v>
      </c>
      <c r="J550" s="13" t="n">
        <v>250.272</v>
      </c>
      <c r="K550" s="10" t="n">
        <v>9</v>
      </c>
      <c r="L550" s="14" t="n">
        <v>0.2</v>
      </c>
      <c r="M550" s="15" t="n">
        <v>15.642</v>
      </c>
      <c r="N550" s="10" t="str">
        <f aca="false">IF(M550&lt;0,"Loss",IF(M550&lt;50,"Low Profit",IF(M550&lt;200,"Medium Profit","High Profit")))</f>
        <v>Low Profit</v>
      </c>
      <c r="O550" s="10" t="str">
        <f aca="false">IF(J550&gt;=500,"High Value","Standard")</f>
        <v>Standard</v>
      </c>
      <c r="P550" s="10" t="str">
        <f aca="false">H550&amp;" &gt; "&amp;I550&amp;" ("&amp;K550&amp;" units)"</f>
        <v>Office Supplies &gt; Storage (9 units)</v>
      </c>
      <c r="Q550" s="10" t="str">
        <f aca="false">VLOOKUP(G550,Region_Manager_Table,2,FALSE())</f>
        <v>Aditya Rao</v>
      </c>
      <c r="R550" s="10" t="n">
        <f aca="false">INDEX(SLA_Days_Col,MATCH(A550,ShipMode_Col,0))</f>
        <v>4</v>
      </c>
    </row>
    <row r="551" customFormat="false" ht="15" hidden="false" customHeight="false" outlineLevel="0" collapsed="false">
      <c r="A551" s="16" t="s">
        <v>49</v>
      </c>
      <c r="B551" s="16" t="s">
        <v>58</v>
      </c>
      <c r="C551" s="16" t="s">
        <v>51</v>
      </c>
      <c r="D551" s="16" t="s">
        <v>115</v>
      </c>
      <c r="E551" s="16" t="s">
        <v>101</v>
      </c>
      <c r="F551" s="16" t="n">
        <v>60653</v>
      </c>
      <c r="G551" s="16" t="s">
        <v>83</v>
      </c>
      <c r="H551" s="16" t="s">
        <v>62</v>
      </c>
      <c r="I551" s="16" t="s">
        <v>73</v>
      </c>
      <c r="J551" s="17" t="n">
        <v>11.364</v>
      </c>
      <c r="K551" s="16" t="n">
        <v>3</v>
      </c>
      <c r="L551" s="18" t="n">
        <v>0.8</v>
      </c>
      <c r="M551" s="19" t="n">
        <v>-17.046</v>
      </c>
      <c r="N551" s="16" t="str">
        <f aca="false">IF(M551&lt;0,"Loss",IF(M551&lt;50,"Low Profit",IF(M551&lt;200,"Medium Profit","High Profit")))</f>
        <v>Loss</v>
      </c>
      <c r="O551" s="16" t="str">
        <f aca="false">IF(J551&gt;=500,"High Value","Standard")</f>
        <v>Standard</v>
      </c>
      <c r="P551" s="16" t="str">
        <f aca="false">H551&amp;" &gt; "&amp;I551&amp;" ("&amp;K551&amp;" units)"</f>
        <v>Office Supplies &gt; Binders (3 units)</v>
      </c>
      <c r="Q551" s="16" t="str">
        <f aca="false">VLOOKUP(G551,Region_Manager_Table,2,FALSE())</f>
        <v>Aditya Rao</v>
      </c>
      <c r="R551" s="16" t="n">
        <f aca="false">INDEX(SLA_Days_Col,MATCH(A551,ShipMode_Col,0))</f>
        <v>4</v>
      </c>
    </row>
    <row r="552" customFormat="false" ht="15" hidden="false" customHeight="false" outlineLevel="0" collapsed="false">
      <c r="A552" s="10" t="s">
        <v>49</v>
      </c>
      <c r="B552" s="10" t="s">
        <v>58</v>
      </c>
      <c r="C552" s="10" t="s">
        <v>51</v>
      </c>
      <c r="D552" s="10" t="s">
        <v>115</v>
      </c>
      <c r="E552" s="10" t="s">
        <v>101</v>
      </c>
      <c r="F552" s="10" t="n">
        <v>60653</v>
      </c>
      <c r="G552" s="10" t="s">
        <v>83</v>
      </c>
      <c r="H552" s="10" t="s">
        <v>62</v>
      </c>
      <c r="I552" s="10" t="s">
        <v>146</v>
      </c>
      <c r="J552" s="13" t="n">
        <v>8.72</v>
      </c>
      <c r="K552" s="10" t="n">
        <v>5</v>
      </c>
      <c r="L552" s="14" t="n">
        <v>0.2</v>
      </c>
      <c r="M552" s="15" t="n">
        <v>-1.744</v>
      </c>
      <c r="N552" s="10" t="str">
        <f aca="false">IF(M552&lt;0,"Loss",IF(M552&lt;50,"Low Profit",IF(M552&lt;200,"Medium Profit","High Profit")))</f>
        <v>Loss</v>
      </c>
      <c r="O552" s="10" t="str">
        <f aca="false">IF(J552&gt;=500,"High Value","Standard")</f>
        <v>Standard</v>
      </c>
      <c r="P552" s="10" t="str">
        <f aca="false">H552&amp;" &gt; "&amp;I552&amp;" ("&amp;K552&amp;" units)"</f>
        <v>Office Supplies &gt; Supplies (5 units)</v>
      </c>
      <c r="Q552" s="10" t="str">
        <f aca="false">VLOOKUP(G552,Region_Manager_Table,2,FALSE())</f>
        <v>Aditya Rao</v>
      </c>
      <c r="R552" s="10" t="n">
        <f aca="false">INDEX(SLA_Days_Col,MATCH(A552,ShipMode_Col,0))</f>
        <v>4</v>
      </c>
    </row>
    <row r="553" customFormat="false" ht="15" hidden="false" customHeight="false" outlineLevel="0" collapsed="false">
      <c r="A553" s="16" t="s">
        <v>49</v>
      </c>
      <c r="B553" s="16" t="s">
        <v>50</v>
      </c>
      <c r="C553" s="16" t="s">
        <v>51</v>
      </c>
      <c r="D553" s="16" t="s">
        <v>88</v>
      </c>
      <c r="E553" s="16" t="s">
        <v>60</v>
      </c>
      <c r="F553" s="16" t="n">
        <v>94110</v>
      </c>
      <c r="G553" s="16" t="s">
        <v>61</v>
      </c>
      <c r="H553" s="16" t="s">
        <v>55</v>
      </c>
      <c r="I553" s="16" t="s">
        <v>57</v>
      </c>
      <c r="J553" s="17" t="n">
        <v>1121.568</v>
      </c>
      <c r="K553" s="16" t="n">
        <v>2</v>
      </c>
      <c r="L553" s="18" t="n">
        <v>0.2</v>
      </c>
      <c r="M553" s="19" t="n">
        <v>0</v>
      </c>
      <c r="N553" s="16" t="str">
        <f aca="false">IF(M553&lt;0,"Loss",IF(M553&lt;50,"Low Profit",IF(M553&lt;200,"Medium Profit","High Profit")))</f>
        <v>Low Profit</v>
      </c>
      <c r="O553" s="16" t="str">
        <f aca="false">IF(J553&gt;=500,"High Value","Standard")</f>
        <v>High Value</v>
      </c>
      <c r="P553" s="16" t="str">
        <f aca="false">H553&amp;" &gt; "&amp;I553&amp;" ("&amp;K553&amp;" units)"</f>
        <v>Furniture &gt; Chairs (2 units)</v>
      </c>
      <c r="Q553" s="16" t="str">
        <f aca="false">VLOOKUP(G553,Region_Manager_Table,2,FALSE())</f>
        <v>Sana Sheikh</v>
      </c>
      <c r="R553" s="16" t="n">
        <f aca="false">INDEX(SLA_Days_Col,MATCH(A553,ShipMode_Col,0))</f>
        <v>4</v>
      </c>
    </row>
    <row r="554" customFormat="false" ht="15" hidden="false" customHeight="false" outlineLevel="0" collapsed="false">
      <c r="A554" s="10" t="s">
        <v>98</v>
      </c>
      <c r="B554" s="10" t="s">
        <v>50</v>
      </c>
      <c r="C554" s="10" t="s">
        <v>51</v>
      </c>
      <c r="D554" s="10" t="s">
        <v>225</v>
      </c>
      <c r="E554" s="10" t="s">
        <v>66</v>
      </c>
      <c r="F554" s="10" t="n">
        <v>32216</v>
      </c>
      <c r="G554" s="10" t="s">
        <v>54</v>
      </c>
      <c r="H554" s="10" t="s">
        <v>55</v>
      </c>
      <c r="I554" s="10" t="s">
        <v>69</v>
      </c>
      <c r="J554" s="13" t="n">
        <v>34.504</v>
      </c>
      <c r="K554" s="10" t="n">
        <v>1</v>
      </c>
      <c r="L554" s="14" t="n">
        <v>0.2</v>
      </c>
      <c r="M554" s="15" t="n">
        <v>6.0382</v>
      </c>
      <c r="N554" s="10" t="str">
        <f aca="false">IF(M554&lt;0,"Loss",IF(M554&lt;50,"Low Profit",IF(M554&lt;200,"Medium Profit","High Profit")))</f>
        <v>Low Profit</v>
      </c>
      <c r="O554" s="10" t="str">
        <f aca="false">IF(J554&gt;=500,"High Value","Standard")</f>
        <v>Standard</v>
      </c>
      <c r="P554" s="10" t="str">
        <f aca="false">H554&amp;" &gt; "&amp;I554&amp;" ("&amp;K554&amp;" units)"</f>
        <v>Furniture &gt; Furnishings (1 units)</v>
      </c>
      <c r="Q554" s="10" t="str">
        <f aca="false">VLOOKUP(G554,Region_Manager_Table,2,FALSE())</f>
        <v>Karthik Iyer</v>
      </c>
      <c r="R554" s="10" t="n">
        <f aca="false">INDEX(SLA_Days_Col,MATCH(A554,ShipMode_Col,0))</f>
        <v>2</v>
      </c>
    </row>
    <row r="555" customFormat="false" ht="15" hidden="false" customHeight="false" outlineLevel="0" collapsed="false">
      <c r="A555" s="16" t="s">
        <v>64</v>
      </c>
      <c r="B555" s="16" t="s">
        <v>50</v>
      </c>
      <c r="C555" s="16" t="s">
        <v>51</v>
      </c>
      <c r="D555" s="16" t="s">
        <v>97</v>
      </c>
      <c r="E555" s="16" t="s">
        <v>82</v>
      </c>
      <c r="F555" s="16" t="n">
        <v>77070</v>
      </c>
      <c r="G555" s="16" t="s">
        <v>83</v>
      </c>
      <c r="H555" s="16" t="s">
        <v>62</v>
      </c>
      <c r="I555" s="16" t="s">
        <v>113</v>
      </c>
      <c r="J555" s="17" t="n">
        <v>10.824</v>
      </c>
      <c r="K555" s="16" t="n">
        <v>3</v>
      </c>
      <c r="L555" s="18" t="n">
        <v>0.2</v>
      </c>
      <c r="M555" s="19" t="n">
        <v>2.5707</v>
      </c>
      <c r="N555" s="16" t="str">
        <f aca="false">IF(M555&lt;0,"Loss",IF(M555&lt;50,"Low Profit",IF(M555&lt;200,"Medium Profit","High Profit")))</f>
        <v>Low Profit</v>
      </c>
      <c r="O555" s="16" t="str">
        <f aca="false">IF(J555&gt;=500,"High Value","Standard")</f>
        <v>Standard</v>
      </c>
      <c r="P555" s="16" t="str">
        <f aca="false">H555&amp;" &gt; "&amp;I555&amp;" ("&amp;K555&amp;" units)"</f>
        <v>Office Supplies &gt; Fasteners (3 units)</v>
      </c>
      <c r="Q555" s="16" t="str">
        <f aca="false">VLOOKUP(G555,Region_Manager_Table,2,FALSE())</f>
        <v>Aditya Rao</v>
      </c>
      <c r="R555" s="16" t="n">
        <f aca="false">INDEX(SLA_Days_Col,MATCH(A555,ShipMode_Col,0))</f>
        <v>6</v>
      </c>
    </row>
    <row r="556" customFormat="false" ht="15" hidden="false" customHeight="false" outlineLevel="0" collapsed="false">
      <c r="A556" s="10" t="s">
        <v>49</v>
      </c>
      <c r="B556" s="10" t="s">
        <v>58</v>
      </c>
      <c r="C556" s="10" t="s">
        <v>51</v>
      </c>
      <c r="D556" s="10" t="s">
        <v>244</v>
      </c>
      <c r="E556" s="10" t="s">
        <v>60</v>
      </c>
      <c r="F556" s="10" t="n">
        <v>92804</v>
      </c>
      <c r="G556" s="10" t="s">
        <v>61</v>
      </c>
      <c r="H556" s="10" t="s">
        <v>62</v>
      </c>
      <c r="I556" s="10" t="s">
        <v>68</v>
      </c>
      <c r="J556" s="13" t="n">
        <v>1295.78</v>
      </c>
      <c r="K556" s="10" t="n">
        <v>2</v>
      </c>
      <c r="L556" s="14" t="n">
        <v>0</v>
      </c>
      <c r="M556" s="15" t="n">
        <v>310.9872</v>
      </c>
      <c r="N556" s="10" t="str">
        <f aca="false">IF(M556&lt;0,"Loss",IF(M556&lt;50,"Low Profit",IF(M556&lt;200,"Medium Profit","High Profit")))</f>
        <v>High Profit</v>
      </c>
      <c r="O556" s="10" t="str">
        <f aca="false">IF(J556&gt;=500,"High Value","Standard")</f>
        <v>High Value</v>
      </c>
      <c r="P556" s="10" t="str">
        <f aca="false">H556&amp;" &gt; "&amp;I556&amp;" ("&amp;K556&amp;" units)"</f>
        <v>Office Supplies &gt; Storage (2 units)</v>
      </c>
      <c r="Q556" s="10" t="str">
        <f aca="false">VLOOKUP(G556,Region_Manager_Table,2,FALSE())</f>
        <v>Sana Sheikh</v>
      </c>
      <c r="R556" s="10" t="n">
        <f aca="false">INDEX(SLA_Days_Col,MATCH(A556,ShipMode_Col,0))</f>
        <v>4</v>
      </c>
    </row>
    <row r="557" customFormat="false" ht="15" hidden="false" customHeight="false" outlineLevel="0" collapsed="false">
      <c r="A557" s="16" t="s">
        <v>49</v>
      </c>
      <c r="B557" s="16" t="s">
        <v>50</v>
      </c>
      <c r="C557" s="16" t="s">
        <v>51</v>
      </c>
      <c r="D557" s="16" t="s">
        <v>142</v>
      </c>
      <c r="E557" s="16" t="s">
        <v>76</v>
      </c>
      <c r="F557" s="16" t="n">
        <v>28403</v>
      </c>
      <c r="G557" s="16" t="s">
        <v>54</v>
      </c>
      <c r="H557" s="16" t="s">
        <v>62</v>
      </c>
      <c r="I557" s="16" t="s">
        <v>70</v>
      </c>
      <c r="J557" s="17" t="n">
        <v>19.456</v>
      </c>
      <c r="K557" s="16" t="n">
        <v>4</v>
      </c>
      <c r="L557" s="18" t="n">
        <v>0.2</v>
      </c>
      <c r="M557" s="19" t="n">
        <v>3.4048</v>
      </c>
      <c r="N557" s="16" t="str">
        <f aca="false">IF(M557&lt;0,"Loss",IF(M557&lt;50,"Low Profit",IF(M557&lt;200,"Medium Profit","High Profit")))</f>
        <v>Low Profit</v>
      </c>
      <c r="O557" s="16" t="str">
        <f aca="false">IF(J557&gt;=500,"High Value","Standard")</f>
        <v>Standard</v>
      </c>
      <c r="P557" s="16" t="str">
        <f aca="false">H557&amp;" &gt; "&amp;I557&amp;" ("&amp;K557&amp;" units)"</f>
        <v>Office Supplies &gt; Art (4 units)</v>
      </c>
      <c r="Q557" s="16" t="str">
        <f aca="false">VLOOKUP(G557,Region_Manager_Table,2,FALSE())</f>
        <v>Karthik Iyer</v>
      </c>
      <c r="R557" s="16" t="n">
        <f aca="false">INDEX(SLA_Days_Col,MATCH(A557,ShipMode_Col,0))</f>
        <v>4</v>
      </c>
    </row>
    <row r="558" customFormat="false" ht="15" hidden="false" customHeight="false" outlineLevel="0" collapsed="false">
      <c r="A558" s="10" t="s">
        <v>64</v>
      </c>
      <c r="B558" s="10" t="s">
        <v>50</v>
      </c>
      <c r="C558" s="10" t="s">
        <v>51</v>
      </c>
      <c r="D558" s="10" t="s">
        <v>59</v>
      </c>
      <c r="E558" s="10" t="s">
        <v>60</v>
      </c>
      <c r="F558" s="10" t="n">
        <v>90045</v>
      </c>
      <c r="G558" s="10" t="s">
        <v>61</v>
      </c>
      <c r="H558" s="10" t="s">
        <v>62</v>
      </c>
      <c r="I558" s="10" t="s">
        <v>63</v>
      </c>
      <c r="J558" s="13" t="n">
        <v>20.7</v>
      </c>
      <c r="K558" s="10" t="n">
        <v>2</v>
      </c>
      <c r="L558" s="14" t="n">
        <v>0</v>
      </c>
      <c r="M558" s="15" t="n">
        <v>9.936</v>
      </c>
      <c r="N558" s="10" t="str">
        <f aca="false">IF(M558&lt;0,"Loss",IF(M558&lt;50,"Low Profit",IF(M558&lt;200,"Medium Profit","High Profit")))</f>
        <v>Low Profit</v>
      </c>
      <c r="O558" s="10" t="str">
        <f aca="false">IF(J558&gt;=500,"High Value","Standard")</f>
        <v>Standard</v>
      </c>
      <c r="P558" s="10" t="str">
        <f aca="false">H558&amp;" &gt; "&amp;I558&amp;" ("&amp;K558&amp;" units)"</f>
        <v>Office Supplies &gt; Labels (2 units)</v>
      </c>
      <c r="Q558" s="10" t="str">
        <f aca="false">VLOOKUP(G558,Region_Manager_Table,2,FALSE())</f>
        <v>Sana Sheikh</v>
      </c>
      <c r="R558" s="10" t="n">
        <f aca="false">INDEX(SLA_Days_Col,MATCH(A558,ShipMode_Col,0))</f>
        <v>6</v>
      </c>
    </row>
    <row r="559" customFormat="false" ht="15" hidden="false" customHeight="false" outlineLevel="0" collapsed="false">
      <c r="A559" s="16" t="s">
        <v>64</v>
      </c>
      <c r="B559" s="16" t="s">
        <v>50</v>
      </c>
      <c r="C559" s="16" t="s">
        <v>51</v>
      </c>
      <c r="D559" s="16" t="s">
        <v>59</v>
      </c>
      <c r="E559" s="16" t="s">
        <v>60</v>
      </c>
      <c r="F559" s="16" t="n">
        <v>90045</v>
      </c>
      <c r="G559" s="16" t="s">
        <v>61</v>
      </c>
      <c r="H559" s="16" t="s">
        <v>55</v>
      </c>
      <c r="I559" s="16" t="s">
        <v>67</v>
      </c>
      <c r="J559" s="17" t="n">
        <v>1335.68</v>
      </c>
      <c r="K559" s="16" t="n">
        <v>4</v>
      </c>
      <c r="L559" s="18" t="n">
        <v>0.2</v>
      </c>
      <c r="M559" s="19" t="n">
        <v>-217.048</v>
      </c>
      <c r="N559" s="16" t="str">
        <f aca="false">IF(M559&lt;0,"Loss",IF(M559&lt;50,"Low Profit",IF(M559&lt;200,"Medium Profit","High Profit")))</f>
        <v>Loss</v>
      </c>
      <c r="O559" s="16" t="str">
        <f aca="false">IF(J559&gt;=500,"High Value","Standard")</f>
        <v>High Value</v>
      </c>
      <c r="P559" s="16" t="str">
        <f aca="false">H559&amp;" &gt; "&amp;I559&amp;" ("&amp;K559&amp;" units)"</f>
        <v>Furniture &gt; Tables (4 units)</v>
      </c>
      <c r="Q559" s="16" t="str">
        <f aca="false">VLOOKUP(G559,Region_Manager_Table,2,FALSE())</f>
        <v>Sana Sheikh</v>
      </c>
      <c r="R559" s="16" t="n">
        <f aca="false">INDEX(SLA_Days_Col,MATCH(A559,ShipMode_Col,0))</f>
        <v>6</v>
      </c>
    </row>
    <row r="560" customFormat="false" ht="15" hidden="false" customHeight="false" outlineLevel="0" collapsed="false">
      <c r="A560" s="10" t="s">
        <v>64</v>
      </c>
      <c r="B560" s="10" t="s">
        <v>50</v>
      </c>
      <c r="C560" s="10" t="s">
        <v>51</v>
      </c>
      <c r="D560" s="10" t="s">
        <v>59</v>
      </c>
      <c r="E560" s="10" t="s">
        <v>60</v>
      </c>
      <c r="F560" s="10" t="n">
        <v>90045</v>
      </c>
      <c r="G560" s="10" t="s">
        <v>61</v>
      </c>
      <c r="H560" s="10" t="s">
        <v>62</v>
      </c>
      <c r="I560" s="10" t="s">
        <v>77</v>
      </c>
      <c r="J560" s="13" t="n">
        <v>32.4</v>
      </c>
      <c r="K560" s="10" t="n">
        <v>5</v>
      </c>
      <c r="L560" s="14" t="n">
        <v>0</v>
      </c>
      <c r="M560" s="15" t="n">
        <v>15.552</v>
      </c>
      <c r="N560" s="10" t="str">
        <f aca="false">IF(M560&lt;0,"Loss",IF(M560&lt;50,"Low Profit",IF(M560&lt;200,"Medium Profit","High Profit")))</f>
        <v>Low Profit</v>
      </c>
      <c r="O560" s="10" t="str">
        <f aca="false">IF(J560&gt;=500,"High Value","Standard")</f>
        <v>Standard</v>
      </c>
      <c r="P560" s="10" t="str">
        <f aca="false">H560&amp;" &gt; "&amp;I560&amp;" ("&amp;K560&amp;" units)"</f>
        <v>Office Supplies &gt; Paper (5 units)</v>
      </c>
      <c r="Q560" s="10" t="str">
        <f aca="false">VLOOKUP(G560,Region_Manager_Table,2,FALSE())</f>
        <v>Sana Sheikh</v>
      </c>
      <c r="R560" s="10" t="n">
        <f aca="false">INDEX(SLA_Days_Col,MATCH(A560,ShipMode_Col,0))</f>
        <v>6</v>
      </c>
    </row>
    <row r="561" customFormat="false" ht="15" hidden="false" customHeight="false" outlineLevel="0" collapsed="false">
      <c r="A561" s="16" t="s">
        <v>49</v>
      </c>
      <c r="B561" s="16" t="s">
        <v>50</v>
      </c>
      <c r="C561" s="16" t="s">
        <v>51</v>
      </c>
      <c r="D561" s="16" t="s">
        <v>88</v>
      </c>
      <c r="E561" s="16" t="s">
        <v>60</v>
      </c>
      <c r="F561" s="16" t="n">
        <v>94110</v>
      </c>
      <c r="G561" s="16" t="s">
        <v>61</v>
      </c>
      <c r="H561" s="16" t="s">
        <v>55</v>
      </c>
      <c r="I561" s="16" t="s">
        <v>69</v>
      </c>
      <c r="J561" s="17" t="n">
        <v>42.6</v>
      </c>
      <c r="K561" s="16" t="n">
        <v>3</v>
      </c>
      <c r="L561" s="18" t="n">
        <v>0</v>
      </c>
      <c r="M561" s="19" t="n">
        <v>16.614</v>
      </c>
      <c r="N561" s="16" t="str">
        <f aca="false">IF(M561&lt;0,"Loss",IF(M561&lt;50,"Low Profit",IF(M561&lt;200,"Medium Profit","High Profit")))</f>
        <v>Low Profit</v>
      </c>
      <c r="O561" s="16" t="str">
        <f aca="false">IF(J561&gt;=500,"High Value","Standard")</f>
        <v>Standard</v>
      </c>
      <c r="P561" s="16" t="str">
        <f aca="false">H561&amp;" &gt; "&amp;I561&amp;" ("&amp;K561&amp;" units)"</f>
        <v>Furniture &gt; Furnishings (3 units)</v>
      </c>
      <c r="Q561" s="16" t="str">
        <f aca="false">VLOOKUP(G561,Region_Manager_Table,2,FALSE())</f>
        <v>Sana Sheikh</v>
      </c>
      <c r="R561" s="16" t="n">
        <f aca="false">INDEX(SLA_Days_Col,MATCH(A561,ShipMode_Col,0))</f>
        <v>4</v>
      </c>
    </row>
    <row r="562" customFormat="false" ht="15" hidden="false" customHeight="false" outlineLevel="0" collapsed="false">
      <c r="A562" s="10" t="s">
        <v>49</v>
      </c>
      <c r="B562" s="10" t="s">
        <v>50</v>
      </c>
      <c r="C562" s="10" t="s">
        <v>51</v>
      </c>
      <c r="D562" s="10" t="s">
        <v>88</v>
      </c>
      <c r="E562" s="10" t="s">
        <v>60</v>
      </c>
      <c r="F562" s="10" t="n">
        <v>94110</v>
      </c>
      <c r="G562" s="10" t="s">
        <v>61</v>
      </c>
      <c r="H562" s="10" t="s">
        <v>62</v>
      </c>
      <c r="I562" s="10" t="s">
        <v>73</v>
      </c>
      <c r="J562" s="13" t="n">
        <v>84.056</v>
      </c>
      <c r="K562" s="10" t="n">
        <v>7</v>
      </c>
      <c r="L562" s="14" t="n">
        <v>0.2</v>
      </c>
      <c r="M562" s="15" t="n">
        <v>27.3182</v>
      </c>
      <c r="N562" s="10" t="str">
        <f aca="false">IF(M562&lt;0,"Loss",IF(M562&lt;50,"Low Profit",IF(M562&lt;200,"Medium Profit","High Profit")))</f>
        <v>Low Profit</v>
      </c>
      <c r="O562" s="10" t="str">
        <f aca="false">IF(J562&gt;=500,"High Value","Standard")</f>
        <v>Standard</v>
      </c>
      <c r="P562" s="10" t="str">
        <f aca="false">H562&amp;" &gt; "&amp;I562&amp;" ("&amp;K562&amp;" units)"</f>
        <v>Office Supplies &gt; Binders (7 units)</v>
      </c>
      <c r="Q562" s="10" t="str">
        <f aca="false">VLOOKUP(G562,Region_Manager_Table,2,FALSE())</f>
        <v>Sana Sheikh</v>
      </c>
      <c r="R562" s="10" t="n">
        <f aca="false">INDEX(SLA_Days_Col,MATCH(A562,ShipMode_Col,0))</f>
        <v>4</v>
      </c>
    </row>
    <row r="563" customFormat="false" ht="15" hidden="false" customHeight="false" outlineLevel="0" collapsed="false">
      <c r="A563" s="16" t="s">
        <v>49</v>
      </c>
      <c r="B563" s="16" t="s">
        <v>50</v>
      </c>
      <c r="C563" s="16" t="s">
        <v>51</v>
      </c>
      <c r="D563" s="16" t="s">
        <v>177</v>
      </c>
      <c r="E563" s="16" t="s">
        <v>66</v>
      </c>
      <c r="F563" s="16" t="n">
        <v>33614</v>
      </c>
      <c r="G563" s="16" t="s">
        <v>54</v>
      </c>
      <c r="H563" s="16" t="s">
        <v>62</v>
      </c>
      <c r="I563" s="16" t="s">
        <v>74</v>
      </c>
      <c r="J563" s="17" t="n">
        <v>13</v>
      </c>
      <c r="K563" s="16" t="n">
        <v>5</v>
      </c>
      <c r="L563" s="18" t="n">
        <v>0.2</v>
      </c>
      <c r="M563" s="19" t="n">
        <v>1.3</v>
      </c>
      <c r="N563" s="16" t="str">
        <f aca="false">IF(M563&lt;0,"Loss",IF(M563&lt;50,"Low Profit",IF(M563&lt;200,"Medium Profit","High Profit")))</f>
        <v>Low Profit</v>
      </c>
      <c r="O563" s="16" t="str">
        <f aca="false">IF(J563&gt;=500,"High Value","Standard")</f>
        <v>Standard</v>
      </c>
      <c r="P563" s="16" t="str">
        <f aca="false">H563&amp;" &gt; "&amp;I563&amp;" ("&amp;K563&amp;" units)"</f>
        <v>Office Supplies &gt; Appliances (5 units)</v>
      </c>
      <c r="Q563" s="16" t="str">
        <f aca="false">VLOOKUP(G563,Region_Manager_Table,2,FALSE())</f>
        <v>Karthik Iyer</v>
      </c>
      <c r="R563" s="16" t="n">
        <f aca="false">INDEX(SLA_Days_Col,MATCH(A563,ShipMode_Col,0))</f>
        <v>4</v>
      </c>
    </row>
    <row r="564" customFormat="false" ht="15" hidden="false" customHeight="false" outlineLevel="0" collapsed="false">
      <c r="A564" s="10" t="s">
        <v>49</v>
      </c>
      <c r="B564" s="10" t="s">
        <v>50</v>
      </c>
      <c r="C564" s="10" t="s">
        <v>51</v>
      </c>
      <c r="D564" s="10" t="s">
        <v>177</v>
      </c>
      <c r="E564" s="10" t="s">
        <v>66</v>
      </c>
      <c r="F564" s="10" t="n">
        <v>33614</v>
      </c>
      <c r="G564" s="10" t="s">
        <v>54</v>
      </c>
      <c r="H564" s="10" t="s">
        <v>55</v>
      </c>
      <c r="I564" s="10" t="s">
        <v>69</v>
      </c>
      <c r="J564" s="13" t="n">
        <v>13.128</v>
      </c>
      <c r="K564" s="10" t="n">
        <v>3</v>
      </c>
      <c r="L564" s="14" t="n">
        <v>0.2</v>
      </c>
      <c r="M564" s="15" t="n">
        <v>3.7743</v>
      </c>
      <c r="N564" s="10" t="str">
        <f aca="false">IF(M564&lt;0,"Loss",IF(M564&lt;50,"Low Profit",IF(M564&lt;200,"Medium Profit","High Profit")))</f>
        <v>Low Profit</v>
      </c>
      <c r="O564" s="10" t="str">
        <f aca="false">IF(J564&gt;=500,"High Value","Standard")</f>
        <v>Standard</v>
      </c>
      <c r="P564" s="10" t="str">
        <f aca="false">H564&amp;" &gt; "&amp;I564&amp;" ("&amp;K564&amp;" units)"</f>
        <v>Furniture &gt; Furnishings (3 units)</v>
      </c>
      <c r="Q564" s="10" t="str">
        <f aca="false">VLOOKUP(G564,Region_Manager_Table,2,FALSE())</f>
        <v>Karthik Iyer</v>
      </c>
      <c r="R564" s="10" t="n">
        <f aca="false">INDEX(SLA_Days_Col,MATCH(A564,ShipMode_Col,0))</f>
        <v>4</v>
      </c>
    </row>
    <row r="565" customFormat="false" ht="15" hidden="false" customHeight="false" outlineLevel="0" collapsed="false">
      <c r="A565" s="16" t="s">
        <v>98</v>
      </c>
      <c r="B565" s="16" t="s">
        <v>50</v>
      </c>
      <c r="C565" s="16" t="s">
        <v>51</v>
      </c>
      <c r="D565" s="16" t="s">
        <v>78</v>
      </c>
      <c r="E565" s="16" t="s">
        <v>79</v>
      </c>
      <c r="F565" s="16" t="n">
        <v>98105</v>
      </c>
      <c r="G565" s="16" t="s">
        <v>61</v>
      </c>
      <c r="H565" s="16" t="s">
        <v>62</v>
      </c>
      <c r="I565" s="16" t="s">
        <v>113</v>
      </c>
      <c r="J565" s="17" t="n">
        <v>3.96</v>
      </c>
      <c r="K565" s="16" t="n">
        <v>2</v>
      </c>
      <c r="L565" s="18" t="n">
        <v>0</v>
      </c>
      <c r="M565" s="19" t="n">
        <v>0</v>
      </c>
      <c r="N565" s="16" t="str">
        <f aca="false">IF(M565&lt;0,"Loss",IF(M565&lt;50,"Low Profit",IF(M565&lt;200,"Medium Profit","High Profit")))</f>
        <v>Low Profit</v>
      </c>
      <c r="O565" s="16" t="str">
        <f aca="false">IF(J565&gt;=500,"High Value","Standard")</f>
        <v>Standard</v>
      </c>
      <c r="P565" s="16" t="str">
        <f aca="false">H565&amp;" &gt; "&amp;I565&amp;" ("&amp;K565&amp;" units)"</f>
        <v>Office Supplies &gt; Fasteners (2 units)</v>
      </c>
      <c r="Q565" s="16" t="str">
        <f aca="false">VLOOKUP(G565,Region_Manager_Table,2,FALSE())</f>
        <v>Sana Sheikh</v>
      </c>
      <c r="R565" s="16" t="n">
        <f aca="false">INDEX(SLA_Days_Col,MATCH(A565,ShipMode_Col,0))</f>
        <v>2</v>
      </c>
    </row>
    <row r="566" customFormat="false" ht="15" hidden="false" customHeight="false" outlineLevel="0" collapsed="false">
      <c r="A566" s="10" t="s">
        <v>98</v>
      </c>
      <c r="B566" s="10" t="s">
        <v>50</v>
      </c>
      <c r="C566" s="10" t="s">
        <v>51</v>
      </c>
      <c r="D566" s="10" t="s">
        <v>78</v>
      </c>
      <c r="E566" s="10" t="s">
        <v>79</v>
      </c>
      <c r="F566" s="10" t="n">
        <v>98105</v>
      </c>
      <c r="G566" s="10" t="s">
        <v>61</v>
      </c>
      <c r="H566" s="10" t="s">
        <v>62</v>
      </c>
      <c r="I566" s="10" t="s">
        <v>63</v>
      </c>
      <c r="J566" s="13" t="n">
        <v>2.61</v>
      </c>
      <c r="K566" s="10" t="n">
        <v>1</v>
      </c>
      <c r="L566" s="14" t="n">
        <v>0</v>
      </c>
      <c r="M566" s="15" t="n">
        <v>1.2006</v>
      </c>
      <c r="N566" s="10" t="str">
        <f aca="false">IF(M566&lt;0,"Loss",IF(M566&lt;50,"Low Profit",IF(M566&lt;200,"Medium Profit","High Profit")))</f>
        <v>Low Profit</v>
      </c>
      <c r="O566" s="10" t="str">
        <f aca="false">IF(J566&gt;=500,"High Value","Standard")</f>
        <v>Standard</v>
      </c>
      <c r="P566" s="10" t="str">
        <f aca="false">H566&amp;" &gt; "&amp;I566&amp;" ("&amp;K566&amp;" units)"</f>
        <v>Office Supplies &gt; Labels (1 units)</v>
      </c>
      <c r="Q566" s="10" t="str">
        <f aca="false">VLOOKUP(G566,Region_Manager_Table,2,FALSE())</f>
        <v>Sana Sheikh</v>
      </c>
      <c r="R566" s="10" t="n">
        <f aca="false">INDEX(SLA_Days_Col,MATCH(A566,ShipMode_Col,0))</f>
        <v>2</v>
      </c>
    </row>
    <row r="567" customFormat="false" ht="15" hidden="false" customHeight="false" outlineLevel="0" collapsed="false">
      <c r="A567" s="16" t="s">
        <v>98</v>
      </c>
      <c r="B567" s="16" t="s">
        <v>50</v>
      </c>
      <c r="C567" s="16" t="s">
        <v>51</v>
      </c>
      <c r="D567" s="16" t="s">
        <v>59</v>
      </c>
      <c r="E567" s="16" t="s">
        <v>60</v>
      </c>
      <c r="F567" s="16" t="n">
        <v>90008</v>
      </c>
      <c r="G567" s="16" t="s">
        <v>61</v>
      </c>
      <c r="H567" s="16" t="s">
        <v>71</v>
      </c>
      <c r="I567" s="16" t="s">
        <v>72</v>
      </c>
      <c r="J567" s="17" t="n">
        <v>374.376</v>
      </c>
      <c r="K567" s="16" t="n">
        <v>3</v>
      </c>
      <c r="L567" s="18" t="n">
        <v>0.2</v>
      </c>
      <c r="M567" s="19" t="n">
        <v>46.797</v>
      </c>
      <c r="N567" s="16" t="str">
        <f aca="false">IF(M567&lt;0,"Loss",IF(M567&lt;50,"Low Profit",IF(M567&lt;200,"Medium Profit","High Profit")))</f>
        <v>Low Profit</v>
      </c>
      <c r="O567" s="16" t="str">
        <f aca="false">IF(J567&gt;=500,"High Value","Standard")</f>
        <v>Standard</v>
      </c>
      <c r="P567" s="16" t="str">
        <f aca="false">H567&amp;" &gt; "&amp;I567&amp;" ("&amp;K567&amp;" units)"</f>
        <v>Technology &gt; Phones (3 units)</v>
      </c>
      <c r="Q567" s="16" t="str">
        <f aca="false">VLOOKUP(G567,Region_Manager_Table,2,FALSE())</f>
        <v>Sana Sheikh</v>
      </c>
      <c r="R567" s="16" t="n">
        <f aca="false">INDEX(SLA_Days_Col,MATCH(A567,ShipMode_Col,0))</f>
        <v>2</v>
      </c>
    </row>
    <row r="568" customFormat="false" ht="15" hidden="false" customHeight="false" outlineLevel="0" collapsed="false">
      <c r="A568" s="10" t="s">
        <v>64</v>
      </c>
      <c r="B568" s="10" t="s">
        <v>58</v>
      </c>
      <c r="C568" s="10" t="s">
        <v>51</v>
      </c>
      <c r="D568" s="10" t="s">
        <v>78</v>
      </c>
      <c r="E568" s="10" t="s">
        <v>79</v>
      </c>
      <c r="F568" s="10" t="n">
        <v>98105</v>
      </c>
      <c r="G568" s="10" t="s">
        <v>61</v>
      </c>
      <c r="H568" s="10" t="s">
        <v>62</v>
      </c>
      <c r="I568" s="10" t="s">
        <v>77</v>
      </c>
      <c r="J568" s="13" t="n">
        <v>91.84</v>
      </c>
      <c r="K568" s="10" t="n">
        <v>8</v>
      </c>
      <c r="L568" s="14" t="n">
        <v>0</v>
      </c>
      <c r="M568" s="15" t="n">
        <v>45.0016</v>
      </c>
      <c r="N568" s="10" t="str">
        <f aca="false">IF(M568&lt;0,"Loss",IF(M568&lt;50,"Low Profit",IF(M568&lt;200,"Medium Profit","High Profit")))</f>
        <v>Low Profit</v>
      </c>
      <c r="O568" s="10" t="str">
        <f aca="false">IF(J568&gt;=500,"High Value","Standard")</f>
        <v>Standard</v>
      </c>
      <c r="P568" s="10" t="str">
        <f aca="false">H568&amp;" &gt; "&amp;I568&amp;" ("&amp;K568&amp;" units)"</f>
        <v>Office Supplies &gt; Paper (8 units)</v>
      </c>
      <c r="Q568" s="10" t="str">
        <f aca="false">VLOOKUP(G568,Region_Manager_Table,2,FALSE())</f>
        <v>Sana Sheikh</v>
      </c>
      <c r="R568" s="10" t="n">
        <f aca="false">INDEX(SLA_Days_Col,MATCH(A568,ShipMode_Col,0))</f>
        <v>6</v>
      </c>
    </row>
    <row r="569" customFormat="false" ht="15" hidden="false" customHeight="false" outlineLevel="0" collapsed="false">
      <c r="A569" s="16" t="s">
        <v>64</v>
      </c>
      <c r="B569" s="16" t="s">
        <v>58</v>
      </c>
      <c r="C569" s="16" t="s">
        <v>51</v>
      </c>
      <c r="D569" s="16" t="s">
        <v>78</v>
      </c>
      <c r="E569" s="16" t="s">
        <v>79</v>
      </c>
      <c r="F569" s="16" t="n">
        <v>98105</v>
      </c>
      <c r="G569" s="16" t="s">
        <v>61</v>
      </c>
      <c r="H569" s="16" t="s">
        <v>62</v>
      </c>
      <c r="I569" s="16" t="s">
        <v>73</v>
      </c>
      <c r="J569" s="17" t="n">
        <v>81.088</v>
      </c>
      <c r="K569" s="16" t="n">
        <v>7</v>
      </c>
      <c r="L569" s="18" t="n">
        <v>0.2</v>
      </c>
      <c r="M569" s="19" t="n">
        <v>27.3672</v>
      </c>
      <c r="N569" s="16" t="str">
        <f aca="false">IF(M569&lt;0,"Loss",IF(M569&lt;50,"Low Profit",IF(M569&lt;200,"Medium Profit","High Profit")))</f>
        <v>Low Profit</v>
      </c>
      <c r="O569" s="16" t="str">
        <f aca="false">IF(J569&gt;=500,"High Value","Standard")</f>
        <v>Standard</v>
      </c>
      <c r="P569" s="16" t="str">
        <f aca="false">H569&amp;" &gt; "&amp;I569&amp;" ("&amp;K569&amp;" units)"</f>
        <v>Office Supplies &gt; Binders (7 units)</v>
      </c>
      <c r="Q569" s="16" t="str">
        <f aca="false">VLOOKUP(G569,Region_Manager_Table,2,FALSE())</f>
        <v>Sana Sheikh</v>
      </c>
      <c r="R569" s="16" t="n">
        <f aca="false">INDEX(SLA_Days_Col,MATCH(A569,ShipMode_Col,0))</f>
        <v>6</v>
      </c>
    </row>
    <row r="570" customFormat="false" ht="15" hidden="false" customHeight="false" outlineLevel="0" collapsed="false">
      <c r="A570" s="10" t="s">
        <v>64</v>
      </c>
      <c r="B570" s="10" t="s">
        <v>58</v>
      </c>
      <c r="C570" s="10" t="s">
        <v>51</v>
      </c>
      <c r="D570" s="10" t="s">
        <v>78</v>
      </c>
      <c r="E570" s="10" t="s">
        <v>79</v>
      </c>
      <c r="F570" s="10" t="n">
        <v>98105</v>
      </c>
      <c r="G570" s="10" t="s">
        <v>61</v>
      </c>
      <c r="H570" s="10" t="s">
        <v>62</v>
      </c>
      <c r="I570" s="10" t="s">
        <v>77</v>
      </c>
      <c r="J570" s="13" t="n">
        <v>19.44</v>
      </c>
      <c r="K570" s="10" t="n">
        <v>3</v>
      </c>
      <c r="L570" s="14" t="n">
        <v>0</v>
      </c>
      <c r="M570" s="15" t="n">
        <v>9.3312</v>
      </c>
      <c r="N570" s="10" t="str">
        <f aca="false">IF(M570&lt;0,"Loss",IF(M570&lt;50,"Low Profit",IF(M570&lt;200,"Medium Profit","High Profit")))</f>
        <v>Low Profit</v>
      </c>
      <c r="O570" s="10" t="str">
        <f aca="false">IF(J570&gt;=500,"High Value","Standard")</f>
        <v>Standard</v>
      </c>
      <c r="P570" s="10" t="str">
        <f aca="false">H570&amp;" &gt; "&amp;I570&amp;" ("&amp;K570&amp;" units)"</f>
        <v>Office Supplies &gt; Paper (3 units)</v>
      </c>
      <c r="Q570" s="10" t="str">
        <f aca="false">VLOOKUP(G570,Region_Manager_Table,2,FALSE())</f>
        <v>Sana Sheikh</v>
      </c>
      <c r="R570" s="10" t="n">
        <f aca="false">INDEX(SLA_Days_Col,MATCH(A570,ShipMode_Col,0))</f>
        <v>6</v>
      </c>
    </row>
    <row r="571" customFormat="false" ht="15" hidden="false" customHeight="false" outlineLevel="0" collapsed="false">
      <c r="A571" s="16" t="s">
        <v>64</v>
      </c>
      <c r="B571" s="16" t="s">
        <v>58</v>
      </c>
      <c r="C571" s="16" t="s">
        <v>51</v>
      </c>
      <c r="D571" s="16" t="s">
        <v>78</v>
      </c>
      <c r="E571" s="16" t="s">
        <v>79</v>
      </c>
      <c r="F571" s="16" t="n">
        <v>98105</v>
      </c>
      <c r="G571" s="16" t="s">
        <v>61</v>
      </c>
      <c r="H571" s="16" t="s">
        <v>55</v>
      </c>
      <c r="I571" s="16" t="s">
        <v>57</v>
      </c>
      <c r="J571" s="17" t="n">
        <v>451.152</v>
      </c>
      <c r="K571" s="16" t="n">
        <v>3</v>
      </c>
      <c r="L571" s="18" t="n">
        <v>0.2</v>
      </c>
      <c r="M571" s="19" t="n">
        <v>0</v>
      </c>
      <c r="N571" s="16" t="str">
        <f aca="false">IF(M571&lt;0,"Loss",IF(M571&lt;50,"Low Profit",IF(M571&lt;200,"Medium Profit","High Profit")))</f>
        <v>Low Profit</v>
      </c>
      <c r="O571" s="16" t="str">
        <f aca="false">IF(J571&gt;=500,"High Value","Standard")</f>
        <v>Standard</v>
      </c>
      <c r="P571" s="16" t="str">
        <f aca="false">H571&amp;" &gt; "&amp;I571&amp;" ("&amp;K571&amp;" units)"</f>
        <v>Furniture &gt; Chairs (3 units)</v>
      </c>
      <c r="Q571" s="16" t="str">
        <f aca="false">VLOOKUP(G571,Region_Manager_Table,2,FALSE())</f>
        <v>Sana Sheikh</v>
      </c>
      <c r="R571" s="16" t="n">
        <f aca="false">INDEX(SLA_Days_Col,MATCH(A571,ShipMode_Col,0))</f>
        <v>6</v>
      </c>
    </row>
    <row r="572" customFormat="false" ht="15" hidden="false" customHeight="false" outlineLevel="0" collapsed="false">
      <c r="A572" s="10" t="s">
        <v>64</v>
      </c>
      <c r="B572" s="10" t="s">
        <v>50</v>
      </c>
      <c r="C572" s="10" t="s">
        <v>51</v>
      </c>
      <c r="D572" s="10" t="s">
        <v>111</v>
      </c>
      <c r="E572" s="10" t="s">
        <v>112</v>
      </c>
      <c r="F572" s="10" t="n">
        <v>10024</v>
      </c>
      <c r="G572" s="10" t="s">
        <v>93</v>
      </c>
      <c r="H572" s="10" t="s">
        <v>62</v>
      </c>
      <c r="I572" s="10" t="s">
        <v>63</v>
      </c>
      <c r="J572" s="13" t="n">
        <v>72.45</v>
      </c>
      <c r="K572" s="10" t="n">
        <v>7</v>
      </c>
      <c r="L572" s="14" t="n">
        <v>0</v>
      </c>
      <c r="M572" s="15" t="n">
        <v>34.776</v>
      </c>
      <c r="N572" s="10" t="str">
        <f aca="false">IF(M572&lt;0,"Loss",IF(M572&lt;50,"Low Profit",IF(M572&lt;200,"Medium Profit","High Profit")))</f>
        <v>Low Profit</v>
      </c>
      <c r="O572" s="10" t="str">
        <f aca="false">IF(J572&gt;=500,"High Value","Standard")</f>
        <v>Standard</v>
      </c>
      <c r="P572" s="10" t="str">
        <f aca="false">H572&amp;" &gt; "&amp;I572&amp;" ("&amp;K572&amp;" units)"</f>
        <v>Office Supplies &gt; Labels (7 units)</v>
      </c>
      <c r="Q572" s="10" t="str">
        <f aca="false">VLOOKUP(G572,Region_Manager_Table,2,FALSE())</f>
        <v>Priya Menon</v>
      </c>
      <c r="R572" s="10" t="n">
        <f aca="false">INDEX(SLA_Days_Col,MATCH(A572,ShipMode_Col,0))</f>
        <v>6</v>
      </c>
    </row>
    <row r="573" customFormat="false" ht="15" hidden="false" customHeight="false" outlineLevel="0" collapsed="false">
      <c r="A573" s="16" t="s">
        <v>64</v>
      </c>
      <c r="B573" s="16" t="s">
        <v>50</v>
      </c>
      <c r="C573" s="16" t="s">
        <v>51</v>
      </c>
      <c r="D573" s="16" t="s">
        <v>111</v>
      </c>
      <c r="E573" s="16" t="s">
        <v>112</v>
      </c>
      <c r="F573" s="16" t="n">
        <v>10024</v>
      </c>
      <c r="G573" s="16" t="s">
        <v>93</v>
      </c>
      <c r="H573" s="16" t="s">
        <v>62</v>
      </c>
      <c r="I573" s="16" t="s">
        <v>113</v>
      </c>
      <c r="J573" s="17" t="n">
        <v>13.96</v>
      </c>
      <c r="K573" s="16" t="n">
        <v>4</v>
      </c>
      <c r="L573" s="18" t="n">
        <v>0</v>
      </c>
      <c r="M573" s="19" t="n">
        <v>6.4216</v>
      </c>
      <c r="N573" s="16" t="str">
        <f aca="false">IF(M573&lt;0,"Loss",IF(M573&lt;50,"Low Profit",IF(M573&lt;200,"Medium Profit","High Profit")))</f>
        <v>Low Profit</v>
      </c>
      <c r="O573" s="16" t="str">
        <f aca="false">IF(J573&gt;=500,"High Value","Standard")</f>
        <v>Standard</v>
      </c>
      <c r="P573" s="16" t="str">
        <f aca="false">H573&amp;" &gt; "&amp;I573&amp;" ("&amp;K573&amp;" units)"</f>
        <v>Office Supplies &gt; Fasteners (4 units)</v>
      </c>
      <c r="Q573" s="16" t="str">
        <f aca="false">VLOOKUP(G573,Region_Manager_Table,2,FALSE())</f>
        <v>Priya Menon</v>
      </c>
      <c r="R573" s="16" t="n">
        <f aca="false">INDEX(SLA_Days_Col,MATCH(A573,ShipMode_Col,0))</f>
        <v>6</v>
      </c>
    </row>
    <row r="574" customFormat="false" ht="15" hidden="false" customHeight="false" outlineLevel="0" collapsed="false">
      <c r="A574" s="10" t="s">
        <v>64</v>
      </c>
      <c r="B574" s="10" t="s">
        <v>50</v>
      </c>
      <c r="C574" s="10" t="s">
        <v>51</v>
      </c>
      <c r="D574" s="10" t="s">
        <v>111</v>
      </c>
      <c r="E574" s="10" t="s">
        <v>112</v>
      </c>
      <c r="F574" s="10" t="n">
        <v>10024</v>
      </c>
      <c r="G574" s="10" t="s">
        <v>93</v>
      </c>
      <c r="H574" s="10" t="s">
        <v>62</v>
      </c>
      <c r="I574" s="10" t="s">
        <v>73</v>
      </c>
      <c r="J574" s="13" t="n">
        <v>33.264</v>
      </c>
      <c r="K574" s="10" t="n">
        <v>7</v>
      </c>
      <c r="L574" s="14" t="n">
        <v>0.2</v>
      </c>
      <c r="M574" s="15" t="n">
        <v>11.2266</v>
      </c>
      <c r="N574" s="10" t="str">
        <f aca="false">IF(M574&lt;0,"Loss",IF(M574&lt;50,"Low Profit",IF(M574&lt;200,"Medium Profit","High Profit")))</f>
        <v>Low Profit</v>
      </c>
      <c r="O574" s="10" t="str">
        <f aca="false">IF(J574&gt;=500,"High Value","Standard")</f>
        <v>Standard</v>
      </c>
      <c r="P574" s="10" t="str">
        <f aca="false">H574&amp;" &gt; "&amp;I574&amp;" ("&amp;K574&amp;" units)"</f>
        <v>Office Supplies &gt; Binders (7 units)</v>
      </c>
      <c r="Q574" s="10" t="str">
        <f aca="false">VLOOKUP(G574,Region_Manager_Table,2,FALSE())</f>
        <v>Priya Menon</v>
      </c>
      <c r="R574" s="10" t="n">
        <f aca="false">INDEX(SLA_Days_Col,MATCH(A574,ShipMode_Col,0))</f>
        <v>6</v>
      </c>
    </row>
    <row r="575" customFormat="false" ht="15" hidden="false" customHeight="false" outlineLevel="0" collapsed="false">
      <c r="A575" s="16" t="s">
        <v>64</v>
      </c>
      <c r="B575" s="16" t="s">
        <v>50</v>
      </c>
      <c r="C575" s="16" t="s">
        <v>51</v>
      </c>
      <c r="D575" s="16" t="s">
        <v>111</v>
      </c>
      <c r="E575" s="16" t="s">
        <v>112</v>
      </c>
      <c r="F575" s="16" t="n">
        <v>10024</v>
      </c>
      <c r="G575" s="16" t="s">
        <v>93</v>
      </c>
      <c r="H575" s="16" t="s">
        <v>71</v>
      </c>
      <c r="I575" s="16" t="s">
        <v>72</v>
      </c>
      <c r="J575" s="17" t="n">
        <v>14.85</v>
      </c>
      <c r="K575" s="16" t="n">
        <v>3</v>
      </c>
      <c r="L575" s="18" t="n">
        <v>0</v>
      </c>
      <c r="M575" s="19" t="n">
        <v>4.0095</v>
      </c>
      <c r="N575" s="16" t="str">
        <f aca="false">IF(M575&lt;0,"Loss",IF(M575&lt;50,"Low Profit",IF(M575&lt;200,"Medium Profit","High Profit")))</f>
        <v>Low Profit</v>
      </c>
      <c r="O575" s="16" t="str">
        <f aca="false">IF(J575&gt;=500,"High Value","Standard")</f>
        <v>Standard</v>
      </c>
      <c r="P575" s="16" t="str">
        <f aca="false">H575&amp;" &gt; "&amp;I575&amp;" ("&amp;K575&amp;" units)"</f>
        <v>Technology &gt; Phones (3 units)</v>
      </c>
      <c r="Q575" s="16" t="str">
        <f aca="false">VLOOKUP(G575,Region_Manager_Table,2,FALSE())</f>
        <v>Priya Menon</v>
      </c>
      <c r="R575" s="16" t="n">
        <f aca="false">INDEX(SLA_Days_Col,MATCH(A575,ShipMode_Col,0))</f>
        <v>6</v>
      </c>
    </row>
    <row r="576" customFormat="false" ht="15" hidden="false" customHeight="false" outlineLevel="0" collapsed="false">
      <c r="A576" s="10" t="s">
        <v>64</v>
      </c>
      <c r="B576" s="10" t="s">
        <v>50</v>
      </c>
      <c r="C576" s="10" t="s">
        <v>51</v>
      </c>
      <c r="D576" s="10" t="s">
        <v>245</v>
      </c>
      <c r="E576" s="10" t="s">
        <v>79</v>
      </c>
      <c r="F576" s="10" t="n">
        <v>98270</v>
      </c>
      <c r="G576" s="10" t="s">
        <v>61</v>
      </c>
      <c r="H576" s="10" t="s">
        <v>62</v>
      </c>
      <c r="I576" s="10" t="s">
        <v>70</v>
      </c>
      <c r="J576" s="13" t="n">
        <v>8.82</v>
      </c>
      <c r="K576" s="10" t="n">
        <v>3</v>
      </c>
      <c r="L576" s="14" t="n">
        <v>0</v>
      </c>
      <c r="M576" s="15" t="n">
        <v>2.3814</v>
      </c>
      <c r="N576" s="10" t="str">
        <f aca="false">IF(M576&lt;0,"Loss",IF(M576&lt;50,"Low Profit",IF(M576&lt;200,"Medium Profit","High Profit")))</f>
        <v>Low Profit</v>
      </c>
      <c r="O576" s="10" t="str">
        <f aca="false">IF(J576&gt;=500,"High Value","Standard")</f>
        <v>Standard</v>
      </c>
      <c r="P576" s="10" t="str">
        <f aca="false">H576&amp;" &gt; "&amp;I576&amp;" ("&amp;K576&amp;" units)"</f>
        <v>Office Supplies &gt; Art (3 units)</v>
      </c>
      <c r="Q576" s="10" t="str">
        <f aca="false">VLOOKUP(G576,Region_Manager_Table,2,FALSE())</f>
        <v>Sana Sheikh</v>
      </c>
      <c r="R576" s="10" t="n">
        <f aca="false">INDEX(SLA_Days_Col,MATCH(A576,ShipMode_Col,0))</f>
        <v>6</v>
      </c>
    </row>
    <row r="577" customFormat="false" ht="15" hidden="false" customHeight="false" outlineLevel="0" collapsed="false">
      <c r="A577" s="16" t="s">
        <v>49</v>
      </c>
      <c r="B577" s="16" t="s">
        <v>50</v>
      </c>
      <c r="C577" s="16" t="s">
        <v>51</v>
      </c>
      <c r="D577" s="16" t="s">
        <v>195</v>
      </c>
      <c r="E577" s="16" t="s">
        <v>60</v>
      </c>
      <c r="F577" s="16" t="n">
        <v>90805</v>
      </c>
      <c r="G577" s="16" t="s">
        <v>61</v>
      </c>
      <c r="H577" s="16" t="s">
        <v>62</v>
      </c>
      <c r="I577" s="16" t="s">
        <v>77</v>
      </c>
      <c r="J577" s="17" t="n">
        <v>160.72</v>
      </c>
      <c r="K577" s="16" t="n">
        <v>14</v>
      </c>
      <c r="L577" s="18" t="n">
        <v>0</v>
      </c>
      <c r="M577" s="19" t="n">
        <v>78.7528</v>
      </c>
      <c r="N577" s="16" t="str">
        <f aca="false">IF(M577&lt;0,"Loss",IF(M577&lt;50,"Low Profit",IF(M577&lt;200,"Medium Profit","High Profit")))</f>
        <v>Medium Profit</v>
      </c>
      <c r="O577" s="16" t="str">
        <f aca="false">IF(J577&gt;=500,"High Value","Standard")</f>
        <v>Standard</v>
      </c>
      <c r="P577" s="16" t="str">
        <f aca="false">H577&amp;" &gt; "&amp;I577&amp;" ("&amp;K577&amp;" units)"</f>
        <v>Office Supplies &gt; Paper (14 units)</v>
      </c>
      <c r="Q577" s="16" t="str">
        <f aca="false">VLOOKUP(G577,Region_Manager_Table,2,FALSE())</f>
        <v>Sana Sheikh</v>
      </c>
      <c r="R577" s="16" t="n">
        <f aca="false">INDEX(SLA_Days_Col,MATCH(A577,ShipMode_Col,0))</f>
        <v>4</v>
      </c>
    </row>
    <row r="578" customFormat="false" ht="15" hidden="false" customHeight="false" outlineLevel="0" collapsed="false">
      <c r="A578" s="10" t="s">
        <v>49</v>
      </c>
      <c r="B578" s="10" t="s">
        <v>50</v>
      </c>
      <c r="C578" s="10" t="s">
        <v>51</v>
      </c>
      <c r="D578" s="10" t="s">
        <v>195</v>
      </c>
      <c r="E578" s="10" t="s">
        <v>60</v>
      </c>
      <c r="F578" s="10" t="n">
        <v>90805</v>
      </c>
      <c r="G578" s="10" t="s">
        <v>61</v>
      </c>
      <c r="H578" s="10" t="s">
        <v>62</v>
      </c>
      <c r="I578" s="10" t="s">
        <v>77</v>
      </c>
      <c r="J578" s="13" t="n">
        <v>19.92</v>
      </c>
      <c r="K578" s="10" t="n">
        <v>4</v>
      </c>
      <c r="L578" s="14" t="n">
        <v>0</v>
      </c>
      <c r="M578" s="15" t="n">
        <v>9.7608</v>
      </c>
      <c r="N578" s="10" t="str">
        <f aca="false">IF(M578&lt;0,"Loss",IF(M578&lt;50,"Low Profit",IF(M578&lt;200,"Medium Profit","High Profit")))</f>
        <v>Low Profit</v>
      </c>
      <c r="O578" s="10" t="str">
        <f aca="false">IF(J578&gt;=500,"High Value","Standard")</f>
        <v>Standard</v>
      </c>
      <c r="P578" s="10" t="str">
        <f aca="false">H578&amp;" &gt; "&amp;I578&amp;" ("&amp;K578&amp;" units)"</f>
        <v>Office Supplies &gt; Paper (4 units)</v>
      </c>
      <c r="Q578" s="10" t="str">
        <f aca="false">VLOOKUP(G578,Region_Manager_Table,2,FALSE())</f>
        <v>Sana Sheikh</v>
      </c>
      <c r="R578" s="10" t="n">
        <f aca="false">INDEX(SLA_Days_Col,MATCH(A578,ShipMode_Col,0))</f>
        <v>4</v>
      </c>
    </row>
    <row r="579" customFormat="false" ht="15" hidden="false" customHeight="false" outlineLevel="0" collapsed="false">
      <c r="A579" s="16" t="s">
        <v>49</v>
      </c>
      <c r="B579" s="16" t="s">
        <v>50</v>
      </c>
      <c r="C579" s="16" t="s">
        <v>51</v>
      </c>
      <c r="D579" s="16" t="s">
        <v>195</v>
      </c>
      <c r="E579" s="16" t="s">
        <v>60</v>
      </c>
      <c r="F579" s="16" t="n">
        <v>90805</v>
      </c>
      <c r="G579" s="16" t="s">
        <v>61</v>
      </c>
      <c r="H579" s="16" t="s">
        <v>62</v>
      </c>
      <c r="I579" s="16" t="s">
        <v>146</v>
      </c>
      <c r="J579" s="17" t="n">
        <v>7.3</v>
      </c>
      <c r="K579" s="16" t="n">
        <v>2</v>
      </c>
      <c r="L579" s="18" t="n">
        <v>0</v>
      </c>
      <c r="M579" s="19" t="n">
        <v>2.19</v>
      </c>
      <c r="N579" s="16" t="str">
        <f aca="false">IF(M579&lt;0,"Loss",IF(M579&lt;50,"Low Profit",IF(M579&lt;200,"Medium Profit","High Profit")))</f>
        <v>Low Profit</v>
      </c>
      <c r="O579" s="16" t="str">
        <f aca="false">IF(J579&gt;=500,"High Value","Standard")</f>
        <v>Standard</v>
      </c>
      <c r="P579" s="16" t="str">
        <f aca="false">H579&amp;" &gt; "&amp;I579&amp;" ("&amp;K579&amp;" units)"</f>
        <v>Office Supplies &gt; Supplies (2 units)</v>
      </c>
      <c r="Q579" s="16" t="str">
        <f aca="false">VLOOKUP(G579,Region_Manager_Table,2,FALSE())</f>
        <v>Sana Sheikh</v>
      </c>
      <c r="R579" s="16" t="n">
        <f aca="false">INDEX(SLA_Days_Col,MATCH(A579,ShipMode_Col,0))</f>
        <v>4</v>
      </c>
    </row>
    <row r="580" customFormat="false" ht="15" hidden="false" customHeight="false" outlineLevel="0" collapsed="false">
      <c r="A580" s="10" t="s">
        <v>64</v>
      </c>
      <c r="B580" s="10" t="s">
        <v>50</v>
      </c>
      <c r="C580" s="10" t="s">
        <v>51</v>
      </c>
      <c r="D580" s="10" t="s">
        <v>115</v>
      </c>
      <c r="E580" s="10" t="s">
        <v>101</v>
      </c>
      <c r="F580" s="10" t="n">
        <v>60610</v>
      </c>
      <c r="G580" s="10" t="s">
        <v>83</v>
      </c>
      <c r="H580" s="10" t="s">
        <v>62</v>
      </c>
      <c r="I580" s="10" t="s">
        <v>68</v>
      </c>
      <c r="J580" s="13" t="n">
        <v>69.712</v>
      </c>
      <c r="K580" s="10" t="n">
        <v>2</v>
      </c>
      <c r="L580" s="14" t="n">
        <v>0.2</v>
      </c>
      <c r="M580" s="15" t="n">
        <v>8.714</v>
      </c>
      <c r="N580" s="10" t="str">
        <f aca="false">IF(M580&lt;0,"Loss",IF(M580&lt;50,"Low Profit",IF(M580&lt;200,"Medium Profit","High Profit")))</f>
        <v>Low Profit</v>
      </c>
      <c r="O580" s="10" t="str">
        <f aca="false">IF(J580&gt;=500,"High Value","Standard")</f>
        <v>Standard</v>
      </c>
      <c r="P580" s="10" t="str">
        <f aca="false">H580&amp;" &gt; "&amp;I580&amp;" ("&amp;K580&amp;" units)"</f>
        <v>Office Supplies &gt; Storage (2 units)</v>
      </c>
      <c r="Q580" s="10" t="str">
        <f aca="false">VLOOKUP(G580,Region_Manager_Table,2,FALSE())</f>
        <v>Aditya Rao</v>
      </c>
      <c r="R580" s="10" t="n">
        <f aca="false">INDEX(SLA_Days_Col,MATCH(A580,ShipMode_Col,0))</f>
        <v>6</v>
      </c>
    </row>
    <row r="581" customFormat="false" ht="15" hidden="false" customHeight="false" outlineLevel="0" collapsed="false">
      <c r="A581" s="16" t="s">
        <v>64</v>
      </c>
      <c r="B581" s="16" t="s">
        <v>50</v>
      </c>
      <c r="C581" s="16" t="s">
        <v>51</v>
      </c>
      <c r="D581" s="16" t="s">
        <v>115</v>
      </c>
      <c r="E581" s="16" t="s">
        <v>101</v>
      </c>
      <c r="F581" s="16" t="n">
        <v>60610</v>
      </c>
      <c r="G581" s="16" t="s">
        <v>83</v>
      </c>
      <c r="H581" s="16" t="s">
        <v>55</v>
      </c>
      <c r="I581" s="16" t="s">
        <v>69</v>
      </c>
      <c r="J581" s="17" t="n">
        <v>8.792</v>
      </c>
      <c r="K581" s="16" t="n">
        <v>1</v>
      </c>
      <c r="L581" s="18" t="n">
        <v>0.6</v>
      </c>
      <c r="M581" s="19" t="n">
        <v>-5.7148</v>
      </c>
      <c r="N581" s="16" t="str">
        <f aca="false">IF(M581&lt;0,"Loss",IF(M581&lt;50,"Low Profit",IF(M581&lt;200,"Medium Profit","High Profit")))</f>
        <v>Loss</v>
      </c>
      <c r="O581" s="16" t="str">
        <f aca="false">IF(J581&gt;=500,"High Value","Standard")</f>
        <v>Standard</v>
      </c>
      <c r="P581" s="16" t="str">
        <f aca="false">H581&amp;" &gt; "&amp;I581&amp;" ("&amp;K581&amp;" units)"</f>
        <v>Furniture &gt; Furnishings (1 units)</v>
      </c>
      <c r="Q581" s="16" t="str">
        <f aca="false">VLOOKUP(G581,Region_Manager_Table,2,FALSE())</f>
        <v>Aditya Rao</v>
      </c>
      <c r="R581" s="16" t="n">
        <f aca="false">INDEX(SLA_Days_Col,MATCH(A581,ShipMode_Col,0))</f>
        <v>6</v>
      </c>
    </row>
    <row r="582" customFormat="false" ht="15" hidden="false" customHeight="false" outlineLevel="0" collapsed="false">
      <c r="A582" s="10" t="s">
        <v>64</v>
      </c>
      <c r="B582" s="10" t="s">
        <v>50</v>
      </c>
      <c r="C582" s="10" t="s">
        <v>51</v>
      </c>
      <c r="D582" s="10" t="s">
        <v>59</v>
      </c>
      <c r="E582" s="10" t="s">
        <v>60</v>
      </c>
      <c r="F582" s="10" t="n">
        <v>90004</v>
      </c>
      <c r="G582" s="10" t="s">
        <v>61</v>
      </c>
      <c r="H582" s="10" t="s">
        <v>62</v>
      </c>
      <c r="I582" s="10" t="s">
        <v>146</v>
      </c>
      <c r="J582" s="13" t="n">
        <v>51.52</v>
      </c>
      <c r="K582" s="10" t="n">
        <v>4</v>
      </c>
      <c r="L582" s="14" t="n">
        <v>0</v>
      </c>
      <c r="M582" s="15" t="n">
        <v>1.5456</v>
      </c>
      <c r="N582" s="10" t="str">
        <f aca="false">IF(M582&lt;0,"Loss",IF(M582&lt;50,"Low Profit",IF(M582&lt;200,"Medium Profit","High Profit")))</f>
        <v>Low Profit</v>
      </c>
      <c r="O582" s="10" t="str">
        <f aca="false">IF(J582&gt;=500,"High Value","Standard")</f>
        <v>Standard</v>
      </c>
      <c r="P582" s="10" t="str">
        <f aca="false">H582&amp;" &gt; "&amp;I582&amp;" ("&amp;K582&amp;" units)"</f>
        <v>Office Supplies &gt; Supplies (4 units)</v>
      </c>
      <c r="Q582" s="10" t="str">
        <f aca="false">VLOOKUP(G582,Region_Manager_Table,2,FALSE())</f>
        <v>Sana Sheikh</v>
      </c>
      <c r="R582" s="10" t="n">
        <f aca="false">INDEX(SLA_Days_Col,MATCH(A582,ShipMode_Col,0))</f>
        <v>6</v>
      </c>
    </row>
    <row r="583" customFormat="false" ht="15" hidden="false" customHeight="false" outlineLevel="0" collapsed="false">
      <c r="A583" s="16" t="s">
        <v>64</v>
      </c>
      <c r="B583" s="16" t="s">
        <v>50</v>
      </c>
      <c r="C583" s="16" t="s">
        <v>51</v>
      </c>
      <c r="D583" s="16" t="s">
        <v>170</v>
      </c>
      <c r="E583" s="16" t="s">
        <v>134</v>
      </c>
      <c r="F583" s="16" t="n">
        <v>80219</v>
      </c>
      <c r="G583" s="16" t="s">
        <v>61</v>
      </c>
      <c r="H583" s="16" t="s">
        <v>71</v>
      </c>
      <c r="I583" s="16" t="s">
        <v>72</v>
      </c>
      <c r="J583" s="17" t="n">
        <v>470.376</v>
      </c>
      <c r="K583" s="16" t="n">
        <v>3</v>
      </c>
      <c r="L583" s="18" t="n">
        <v>0.2</v>
      </c>
      <c r="M583" s="19" t="n">
        <v>52.9173</v>
      </c>
      <c r="N583" s="16" t="str">
        <f aca="false">IF(M583&lt;0,"Loss",IF(M583&lt;50,"Low Profit",IF(M583&lt;200,"Medium Profit","High Profit")))</f>
        <v>Medium Profit</v>
      </c>
      <c r="O583" s="16" t="str">
        <f aca="false">IF(J583&gt;=500,"High Value","Standard")</f>
        <v>Standard</v>
      </c>
      <c r="P583" s="16" t="str">
        <f aca="false">H583&amp;" &gt; "&amp;I583&amp;" ("&amp;K583&amp;" units)"</f>
        <v>Technology &gt; Phones (3 units)</v>
      </c>
      <c r="Q583" s="16" t="str">
        <f aca="false">VLOOKUP(G583,Region_Manager_Table,2,FALSE())</f>
        <v>Sana Sheikh</v>
      </c>
      <c r="R583" s="16" t="n">
        <f aca="false">INDEX(SLA_Days_Col,MATCH(A583,ShipMode_Col,0))</f>
        <v>6</v>
      </c>
    </row>
    <row r="584" customFormat="false" ht="15" hidden="false" customHeight="false" outlineLevel="0" collapsed="false">
      <c r="A584" s="10" t="s">
        <v>64</v>
      </c>
      <c r="B584" s="10" t="s">
        <v>50</v>
      </c>
      <c r="C584" s="10" t="s">
        <v>51</v>
      </c>
      <c r="D584" s="10" t="s">
        <v>170</v>
      </c>
      <c r="E584" s="10" t="s">
        <v>134</v>
      </c>
      <c r="F584" s="10" t="n">
        <v>80219</v>
      </c>
      <c r="G584" s="10" t="s">
        <v>61</v>
      </c>
      <c r="H584" s="10" t="s">
        <v>71</v>
      </c>
      <c r="I584" s="10" t="s">
        <v>72</v>
      </c>
      <c r="J584" s="13" t="n">
        <v>105.584</v>
      </c>
      <c r="K584" s="10" t="n">
        <v>2</v>
      </c>
      <c r="L584" s="14" t="n">
        <v>0.2</v>
      </c>
      <c r="M584" s="15" t="n">
        <v>9.2386</v>
      </c>
      <c r="N584" s="10" t="str">
        <f aca="false">IF(M584&lt;0,"Loss",IF(M584&lt;50,"Low Profit",IF(M584&lt;200,"Medium Profit","High Profit")))</f>
        <v>Low Profit</v>
      </c>
      <c r="O584" s="10" t="str">
        <f aca="false">IF(J584&gt;=500,"High Value","Standard")</f>
        <v>Standard</v>
      </c>
      <c r="P584" s="10" t="str">
        <f aca="false">H584&amp;" &gt; "&amp;I584&amp;" ("&amp;K584&amp;" units)"</f>
        <v>Technology &gt; Phones (2 units)</v>
      </c>
      <c r="Q584" s="10" t="str">
        <f aca="false">VLOOKUP(G584,Region_Manager_Table,2,FALSE())</f>
        <v>Sana Sheikh</v>
      </c>
      <c r="R584" s="10" t="n">
        <f aca="false">INDEX(SLA_Days_Col,MATCH(A584,ShipMode_Col,0))</f>
        <v>6</v>
      </c>
    </row>
    <row r="585" customFormat="false" ht="15" hidden="false" customHeight="false" outlineLevel="0" collapsed="false">
      <c r="A585" s="16" t="s">
        <v>64</v>
      </c>
      <c r="B585" s="16" t="s">
        <v>50</v>
      </c>
      <c r="C585" s="16" t="s">
        <v>51</v>
      </c>
      <c r="D585" s="16" t="s">
        <v>170</v>
      </c>
      <c r="E585" s="16" t="s">
        <v>134</v>
      </c>
      <c r="F585" s="16" t="n">
        <v>80219</v>
      </c>
      <c r="G585" s="16" t="s">
        <v>61</v>
      </c>
      <c r="H585" s="16" t="s">
        <v>62</v>
      </c>
      <c r="I585" s="16" t="s">
        <v>74</v>
      </c>
      <c r="J585" s="17" t="n">
        <v>31.152</v>
      </c>
      <c r="K585" s="16" t="n">
        <v>3</v>
      </c>
      <c r="L585" s="18" t="n">
        <v>0.2</v>
      </c>
      <c r="M585" s="19" t="n">
        <v>3.5046</v>
      </c>
      <c r="N585" s="16" t="str">
        <f aca="false">IF(M585&lt;0,"Loss",IF(M585&lt;50,"Low Profit",IF(M585&lt;200,"Medium Profit","High Profit")))</f>
        <v>Low Profit</v>
      </c>
      <c r="O585" s="16" t="str">
        <f aca="false">IF(J585&gt;=500,"High Value","Standard")</f>
        <v>Standard</v>
      </c>
      <c r="P585" s="16" t="str">
        <f aca="false">H585&amp;" &gt; "&amp;I585&amp;" ("&amp;K585&amp;" units)"</f>
        <v>Office Supplies &gt; Appliances (3 units)</v>
      </c>
      <c r="Q585" s="16" t="str">
        <f aca="false">VLOOKUP(G585,Region_Manager_Table,2,FALSE())</f>
        <v>Sana Sheikh</v>
      </c>
      <c r="R585" s="16" t="n">
        <f aca="false">INDEX(SLA_Days_Col,MATCH(A585,ShipMode_Col,0))</f>
        <v>6</v>
      </c>
    </row>
    <row r="586" customFormat="false" ht="15" hidden="false" customHeight="false" outlineLevel="0" collapsed="false">
      <c r="A586" s="10" t="s">
        <v>64</v>
      </c>
      <c r="B586" s="10" t="s">
        <v>50</v>
      </c>
      <c r="C586" s="10" t="s">
        <v>51</v>
      </c>
      <c r="D586" s="10" t="s">
        <v>170</v>
      </c>
      <c r="E586" s="10" t="s">
        <v>134</v>
      </c>
      <c r="F586" s="10" t="n">
        <v>80219</v>
      </c>
      <c r="G586" s="10" t="s">
        <v>61</v>
      </c>
      <c r="H586" s="10" t="s">
        <v>62</v>
      </c>
      <c r="I586" s="10" t="s">
        <v>73</v>
      </c>
      <c r="J586" s="13" t="n">
        <v>6.783</v>
      </c>
      <c r="K586" s="10" t="n">
        <v>7</v>
      </c>
      <c r="L586" s="14" t="n">
        <v>0.7</v>
      </c>
      <c r="M586" s="15" t="n">
        <v>-4.7481</v>
      </c>
      <c r="N586" s="10" t="str">
        <f aca="false">IF(M586&lt;0,"Loss",IF(M586&lt;50,"Low Profit",IF(M586&lt;200,"Medium Profit","High Profit")))</f>
        <v>Loss</v>
      </c>
      <c r="O586" s="10" t="str">
        <f aca="false">IF(J586&gt;=500,"High Value","Standard")</f>
        <v>Standard</v>
      </c>
      <c r="P586" s="10" t="str">
        <f aca="false">H586&amp;" &gt; "&amp;I586&amp;" ("&amp;K586&amp;" units)"</f>
        <v>Office Supplies &gt; Binders (7 units)</v>
      </c>
      <c r="Q586" s="10" t="str">
        <f aca="false">VLOOKUP(G586,Region_Manager_Table,2,FALSE())</f>
        <v>Sana Sheikh</v>
      </c>
      <c r="R586" s="10" t="n">
        <f aca="false">INDEX(SLA_Days_Col,MATCH(A586,ShipMode_Col,0))</f>
        <v>6</v>
      </c>
    </row>
    <row r="587" customFormat="false" ht="15" hidden="false" customHeight="false" outlineLevel="0" collapsed="false">
      <c r="A587" s="16" t="s">
        <v>64</v>
      </c>
      <c r="B587" s="16" t="s">
        <v>50</v>
      </c>
      <c r="C587" s="16" t="s">
        <v>51</v>
      </c>
      <c r="D587" s="16" t="s">
        <v>170</v>
      </c>
      <c r="E587" s="16" t="s">
        <v>134</v>
      </c>
      <c r="F587" s="16" t="n">
        <v>80219</v>
      </c>
      <c r="G587" s="16" t="s">
        <v>61</v>
      </c>
      <c r="H587" s="16" t="s">
        <v>71</v>
      </c>
      <c r="I587" s="16" t="s">
        <v>72</v>
      </c>
      <c r="J587" s="17" t="n">
        <v>406.368</v>
      </c>
      <c r="K587" s="16" t="n">
        <v>4</v>
      </c>
      <c r="L587" s="18" t="n">
        <v>0.2</v>
      </c>
      <c r="M587" s="19" t="n">
        <v>30.4776</v>
      </c>
      <c r="N587" s="16" t="str">
        <f aca="false">IF(M587&lt;0,"Loss",IF(M587&lt;50,"Low Profit",IF(M587&lt;200,"Medium Profit","High Profit")))</f>
        <v>Low Profit</v>
      </c>
      <c r="O587" s="16" t="str">
        <f aca="false">IF(J587&gt;=500,"High Value","Standard")</f>
        <v>Standard</v>
      </c>
      <c r="P587" s="16" t="str">
        <f aca="false">H587&amp;" &gt; "&amp;I587&amp;" ("&amp;K587&amp;" units)"</f>
        <v>Technology &gt; Phones (4 units)</v>
      </c>
      <c r="Q587" s="16" t="str">
        <f aca="false">VLOOKUP(G587,Region_Manager_Table,2,FALSE())</f>
        <v>Sana Sheikh</v>
      </c>
      <c r="R587" s="16" t="n">
        <f aca="false">INDEX(SLA_Days_Col,MATCH(A587,ShipMode_Col,0))</f>
        <v>6</v>
      </c>
    </row>
    <row r="588" customFormat="false" ht="15" hidden="false" customHeight="false" outlineLevel="0" collapsed="false">
      <c r="A588" s="10" t="s">
        <v>64</v>
      </c>
      <c r="B588" s="10" t="s">
        <v>50</v>
      </c>
      <c r="C588" s="10" t="s">
        <v>51</v>
      </c>
      <c r="D588" s="10" t="s">
        <v>218</v>
      </c>
      <c r="E588" s="10" t="s">
        <v>53</v>
      </c>
      <c r="F588" s="10" t="n">
        <v>40475</v>
      </c>
      <c r="G588" s="10" t="s">
        <v>54</v>
      </c>
      <c r="H588" s="10" t="s">
        <v>55</v>
      </c>
      <c r="I588" s="10" t="s">
        <v>57</v>
      </c>
      <c r="J588" s="13" t="n">
        <v>70.98</v>
      </c>
      <c r="K588" s="10" t="n">
        <v>1</v>
      </c>
      <c r="L588" s="14" t="n">
        <v>0</v>
      </c>
      <c r="M588" s="15" t="n">
        <v>4.9686</v>
      </c>
      <c r="N588" s="10" t="str">
        <f aca="false">IF(M588&lt;0,"Loss",IF(M588&lt;50,"Low Profit",IF(M588&lt;200,"Medium Profit","High Profit")))</f>
        <v>Low Profit</v>
      </c>
      <c r="O588" s="10" t="str">
        <f aca="false">IF(J588&gt;=500,"High Value","Standard")</f>
        <v>Standard</v>
      </c>
      <c r="P588" s="10" t="str">
        <f aca="false">H588&amp;" &gt; "&amp;I588&amp;" ("&amp;K588&amp;" units)"</f>
        <v>Furniture &gt; Chairs (1 units)</v>
      </c>
      <c r="Q588" s="10" t="str">
        <f aca="false">VLOOKUP(G588,Region_Manager_Table,2,FALSE())</f>
        <v>Karthik Iyer</v>
      </c>
      <c r="R588" s="10" t="n">
        <f aca="false">INDEX(SLA_Days_Col,MATCH(A588,ShipMode_Col,0))</f>
        <v>6</v>
      </c>
    </row>
    <row r="589" customFormat="false" ht="15" hidden="false" customHeight="false" outlineLevel="0" collapsed="false">
      <c r="A589" s="16" t="s">
        <v>64</v>
      </c>
      <c r="B589" s="16" t="s">
        <v>50</v>
      </c>
      <c r="C589" s="16" t="s">
        <v>51</v>
      </c>
      <c r="D589" s="16" t="s">
        <v>218</v>
      </c>
      <c r="E589" s="16" t="s">
        <v>53</v>
      </c>
      <c r="F589" s="16" t="n">
        <v>40475</v>
      </c>
      <c r="G589" s="16" t="s">
        <v>54</v>
      </c>
      <c r="H589" s="16" t="s">
        <v>62</v>
      </c>
      <c r="I589" s="16" t="s">
        <v>63</v>
      </c>
      <c r="J589" s="17" t="n">
        <v>294.93</v>
      </c>
      <c r="K589" s="16" t="n">
        <v>3</v>
      </c>
      <c r="L589" s="18" t="n">
        <v>0</v>
      </c>
      <c r="M589" s="19" t="n">
        <v>144.5157</v>
      </c>
      <c r="N589" s="16" t="str">
        <f aca="false">IF(M589&lt;0,"Loss",IF(M589&lt;50,"Low Profit",IF(M589&lt;200,"Medium Profit","High Profit")))</f>
        <v>Medium Profit</v>
      </c>
      <c r="O589" s="16" t="str">
        <f aca="false">IF(J589&gt;=500,"High Value","Standard")</f>
        <v>Standard</v>
      </c>
      <c r="P589" s="16" t="str">
        <f aca="false">H589&amp;" &gt; "&amp;I589&amp;" ("&amp;K589&amp;" units)"</f>
        <v>Office Supplies &gt; Labels (3 units)</v>
      </c>
      <c r="Q589" s="16" t="str">
        <f aca="false">VLOOKUP(G589,Region_Manager_Table,2,FALSE())</f>
        <v>Karthik Iyer</v>
      </c>
      <c r="R589" s="16" t="n">
        <f aca="false">INDEX(SLA_Days_Col,MATCH(A589,ShipMode_Col,0))</f>
        <v>6</v>
      </c>
    </row>
    <row r="590" customFormat="false" ht="15" hidden="false" customHeight="false" outlineLevel="0" collapsed="false">
      <c r="A590" s="10" t="s">
        <v>64</v>
      </c>
      <c r="B590" s="10" t="s">
        <v>50</v>
      </c>
      <c r="C590" s="10" t="s">
        <v>51</v>
      </c>
      <c r="D590" s="10" t="s">
        <v>246</v>
      </c>
      <c r="E590" s="10" t="s">
        <v>131</v>
      </c>
      <c r="F590" s="10" t="n">
        <v>97301</v>
      </c>
      <c r="G590" s="10" t="s">
        <v>61</v>
      </c>
      <c r="H590" s="10" t="s">
        <v>71</v>
      </c>
      <c r="I590" s="10" t="s">
        <v>72</v>
      </c>
      <c r="J590" s="13" t="n">
        <v>84.784</v>
      </c>
      <c r="K590" s="10" t="n">
        <v>2</v>
      </c>
      <c r="L590" s="14" t="n">
        <v>0.2</v>
      </c>
      <c r="M590" s="15" t="n">
        <v>-20.1362</v>
      </c>
      <c r="N590" s="10" t="str">
        <f aca="false">IF(M590&lt;0,"Loss",IF(M590&lt;50,"Low Profit",IF(M590&lt;200,"Medium Profit","High Profit")))</f>
        <v>Loss</v>
      </c>
      <c r="O590" s="10" t="str">
        <f aca="false">IF(J590&gt;=500,"High Value","Standard")</f>
        <v>Standard</v>
      </c>
      <c r="P590" s="10" t="str">
        <f aca="false">H590&amp;" &gt; "&amp;I590&amp;" ("&amp;K590&amp;" units)"</f>
        <v>Technology &gt; Phones (2 units)</v>
      </c>
      <c r="Q590" s="10" t="str">
        <f aca="false">VLOOKUP(G590,Region_Manager_Table,2,FALSE())</f>
        <v>Sana Sheikh</v>
      </c>
      <c r="R590" s="10" t="n">
        <f aca="false">INDEX(SLA_Days_Col,MATCH(A590,ShipMode_Col,0))</f>
        <v>6</v>
      </c>
    </row>
    <row r="591" customFormat="false" ht="15" hidden="false" customHeight="false" outlineLevel="0" collapsed="false">
      <c r="A591" s="16" t="s">
        <v>64</v>
      </c>
      <c r="B591" s="16" t="s">
        <v>50</v>
      </c>
      <c r="C591" s="16" t="s">
        <v>51</v>
      </c>
      <c r="D591" s="16" t="s">
        <v>246</v>
      </c>
      <c r="E591" s="16" t="s">
        <v>131</v>
      </c>
      <c r="F591" s="16" t="n">
        <v>97301</v>
      </c>
      <c r="G591" s="16" t="s">
        <v>61</v>
      </c>
      <c r="H591" s="16" t="s">
        <v>62</v>
      </c>
      <c r="I591" s="16" t="s">
        <v>77</v>
      </c>
      <c r="J591" s="17" t="n">
        <v>20.736</v>
      </c>
      <c r="K591" s="16" t="n">
        <v>4</v>
      </c>
      <c r="L591" s="18" t="n">
        <v>0.2</v>
      </c>
      <c r="M591" s="19" t="n">
        <v>7.2576</v>
      </c>
      <c r="N591" s="16" t="str">
        <f aca="false">IF(M591&lt;0,"Loss",IF(M591&lt;50,"Low Profit",IF(M591&lt;200,"Medium Profit","High Profit")))</f>
        <v>Low Profit</v>
      </c>
      <c r="O591" s="16" t="str">
        <f aca="false">IF(J591&gt;=500,"High Value","Standard")</f>
        <v>Standard</v>
      </c>
      <c r="P591" s="16" t="str">
        <f aca="false">H591&amp;" &gt; "&amp;I591&amp;" ("&amp;K591&amp;" units)"</f>
        <v>Office Supplies &gt; Paper (4 units)</v>
      </c>
      <c r="Q591" s="16" t="str">
        <f aca="false">VLOOKUP(G591,Region_Manager_Table,2,FALSE())</f>
        <v>Sana Sheikh</v>
      </c>
      <c r="R591" s="16" t="n">
        <f aca="false">INDEX(SLA_Days_Col,MATCH(A591,ShipMode_Col,0))</f>
        <v>6</v>
      </c>
    </row>
    <row r="592" customFormat="false" ht="15" hidden="false" customHeight="false" outlineLevel="0" collapsed="false">
      <c r="A592" s="10" t="s">
        <v>64</v>
      </c>
      <c r="B592" s="10" t="s">
        <v>50</v>
      </c>
      <c r="C592" s="10" t="s">
        <v>51</v>
      </c>
      <c r="D592" s="10" t="s">
        <v>246</v>
      </c>
      <c r="E592" s="10" t="s">
        <v>131</v>
      </c>
      <c r="F592" s="10" t="n">
        <v>97301</v>
      </c>
      <c r="G592" s="10" t="s">
        <v>61</v>
      </c>
      <c r="H592" s="10" t="s">
        <v>62</v>
      </c>
      <c r="I592" s="10" t="s">
        <v>73</v>
      </c>
      <c r="J592" s="13" t="n">
        <v>16.821</v>
      </c>
      <c r="K592" s="10" t="n">
        <v>3</v>
      </c>
      <c r="L592" s="14" t="n">
        <v>0.7</v>
      </c>
      <c r="M592" s="15" t="n">
        <v>-12.8961</v>
      </c>
      <c r="N592" s="10" t="str">
        <f aca="false">IF(M592&lt;0,"Loss",IF(M592&lt;50,"Low Profit",IF(M592&lt;200,"Medium Profit","High Profit")))</f>
        <v>Loss</v>
      </c>
      <c r="O592" s="10" t="str">
        <f aca="false">IF(J592&gt;=500,"High Value","Standard")</f>
        <v>Standard</v>
      </c>
      <c r="P592" s="10" t="str">
        <f aca="false">H592&amp;" &gt; "&amp;I592&amp;" ("&amp;K592&amp;" units)"</f>
        <v>Office Supplies &gt; Binders (3 units)</v>
      </c>
      <c r="Q592" s="10" t="str">
        <f aca="false">VLOOKUP(G592,Region_Manager_Table,2,FALSE())</f>
        <v>Sana Sheikh</v>
      </c>
      <c r="R592" s="10" t="n">
        <f aca="false">INDEX(SLA_Days_Col,MATCH(A592,ShipMode_Col,0))</f>
        <v>6</v>
      </c>
    </row>
    <row r="593" customFormat="false" ht="15" hidden="false" customHeight="false" outlineLevel="0" collapsed="false">
      <c r="A593" s="16" t="s">
        <v>64</v>
      </c>
      <c r="B593" s="16" t="s">
        <v>50</v>
      </c>
      <c r="C593" s="16" t="s">
        <v>51</v>
      </c>
      <c r="D593" s="16" t="s">
        <v>246</v>
      </c>
      <c r="E593" s="16" t="s">
        <v>131</v>
      </c>
      <c r="F593" s="16" t="n">
        <v>97301</v>
      </c>
      <c r="G593" s="16" t="s">
        <v>61</v>
      </c>
      <c r="H593" s="16" t="s">
        <v>62</v>
      </c>
      <c r="I593" s="16" t="s">
        <v>77</v>
      </c>
      <c r="J593" s="17" t="n">
        <v>10.368</v>
      </c>
      <c r="K593" s="16" t="n">
        <v>2</v>
      </c>
      <c r="L593" s="18" t="n">
        <v>0.2</v>
      </c>
      <c r="M593" s="19" t="n">
        <v>3.6288</v>
      </c>
      <c r="N593" s="16" t="str">
        <f aca="false">IF(M593&lt;0,"Loss",IF(M593&lt;50,"Low Profit",IF(M593&lt;200,"Medium Profit","High Profit")))</f>
        <v>Low Profit</v>
      </c>
      <c r="O593" s="16" t="str">
        <f aca="false">IF(J593&gt;=500,"High Value","Standard")</f>
        <v>Standard</v>
      </c>
      <c r="P593" s="16" t="str">
        <f aca="false">H593&amp;" &gt; "&amp;I593&amp;" ("&amp;K593&amp;" units)"</f>
        <v>Office Supplies &gt; Paper (2 units)</v>
      </c>
      <c r="Q593" s="16" t="str">
        <f aca="false">VLOOKUP(G593,Region_Manager_Table,2,FALSE())</f>
        <v>Sana Sheikh</v>
      </c>
      <c r="R593" s="16" t="n">
        <f aca="false">INDEX(SLA_Days_Col,MATCH(A593,ShipMode_Col,0))</f>
        <v>6</v>
      </c>
    </row>
    <row r="594" customFormat="false" ht="15" hidden="false" customHeight="false" outlineLevel="0" collapsed="false">
      <c r="A594" s="10" t="s">
        <v>64</v>
      </c>
      <c r="B594" s="10" t="s">
        <v>50</v>
      </c>
      <c r="C594" s="10" t="s">
        <v>51</v>
      </c>
      <c r="D594" s="10" t="s">
        <v>247</v>
      </c>
      <c r="E594" s="10" t="s">
        <v>82</v>
      </c>
      <c r="F594" s="10" t="n">
        <v>78041</v>
      </c>
      <c r="G594" s="10" t="s">
        <v>83</v>
      </c>
      <c r="H594" s="10" t="s">
        <v>62</v>
      </c>
      <c r="I594" s="10" t="s">
        <v>70</v>
      </c>
      <c r="J594" s="13" t="n">
        <v>9.344</v>
      </c>
      <c r="K594" s="10" t="n">
        <v>2</v>
      </c>
      <c r="L594" s="14" t="n">
        <v>0.2</v>
      </c>
      <c r="M594" s="15" t="n">
        <v>1.168</v>
      </c>
      <c r="N594" s="10" t="str">
        <f aca="false">IF(M594&lt;0,"Loss",IF(M594&lt;50,"Low Profit",IF(M594&lt;200,"Medium Profit","High Profit")))</f>
        <v>Low Profit</v>
      </c>
      <c r="O594" s="10" t="str">
        <f aca="false">IF(J594&gt;=500,"High Value","Standard")</f>
        <v>Standard</v>
      </c>
      <c r="P594" s="10" t="str">
        <f aca="false">H594&amp;" &gt; "&amp;I594&amp;" ("&amp;K594&amp;" units)"</f>
        <v>Office Supplies &gt; Art (2 units)</v>
      </c>
      <c r="Q594" s="10" t="str">
        <f aca="false">VLOOKUP(G594,Region_Manager_Table,2,FALSE())</f>
        <v>Aditya Rao</v>
      </c>
      <c r="R594" s="10" t="n">
        <f aca="false">INDEX(SLA_Days_Col,MATCH(A594,ShipMode_Col,0))</f>
        <v>6</v>
      </c>
    </row>
    <row r="595" customFormat="false" ht="15" hidden="false" customHeight="false" outlineLevel="0" collapsed="false">
      <c r="A595" s="16" t="s">
        <v>64</v>
      </c>
      <c r="B595" s="16" t="s">
        <v>50</v>
      </c>
      <c r="C595" s="16" t="s">
        <v>51</v>
      </c>
      <c r="D595" s="16" t="s">
        <v>247</v>
      </c>
      <c r="E595" s="16" t="s">
        <v>82</v>
      </c>
      <c r="F595" s="16" t="n">
        <v>78041</v>
      </c>
      <c r="G595" s="16" t="s">
        <v>83</v>
      </c>
      <c r="H595" s="16" t="s">
        <v>71</v>
      </c>
      <c r="I595" s="16" t="s">
        <v>95</v>
      </c>
      <c r="J595" s="17" t="n">
        <v>31.2</v>
      </c>
      <c r="K595" s="16" t="n">
        <v>3</v>
      </c>
      <c r="L595" s="18" t="n">
        <v>0.2</v>
      </c>
      <c r="M595" s="19" t="n">
        <v>9.75</v>
      </c>
      <c r="N595" s="16" t="str">
        <f aca="false">IF(M595&lt;0,"Loss",IF(M595&lt;50,"Low Profit",IF(M595&lt;200,"Medium Profit","High Profit")))</f>
        <v>Low Profit</v>
      </c>
      <c r="O595" s="16" t="str">
        <f aca="false">IF(J595&gt;=500,"High Value","Standard")</f>
        <v>Standard</v>
      </c>
      <c r="P595" s="16" t="str">
        <f aca="false">H595&amp;" &gt; "&amp;I595&amp;" ("&amp;K595&amp;" units)"</f>
        <v>Technology &gt; Accessories (3 units)</v>
      </c>
      <c r="Q595" s="16" t="str">
        <f aca="false">VLOOKUP(G595,Region_Manager_Table,2,FALSE())</f>
        <v>Aditya Rao</v>
      </c>
      <c r="R595" s="16" t="n">
        <f aca="false">INDEX(SLA_Days_Col,MATCH(A595,ShipMode_Col,0))</f>
        <v>6</v>
      </c>
    </row>
    <row r="596" customFormat="false" ht="15" hidden="false" customHeight="false" outlineLevel="0" collapsed="false">
      <c r="A596" s="10" t="s">
        <v>64</v>
      </c>
      <c r="B596" s="10" t="s">
        <v>50</v>
      </c>
      <c r="C596" s="10" t="s">
        <v>51</v>
      </c>
      <c r="D596" s="10" t="s">
        <v>180</v>
      </c>
      <c r="E596" s="10" t="s">
        <v>60</v>
      </c>
      <c r="F596" s="10" t="n">
        <v>92024</v>
      </c>
      <c r="G596" s="10" t="s">
        <v>61</v>
      </c>
      <c r="H596" s="10" t="s">
        <v>62</v>
      </c>
      <c r="I596" s="10" t="s">
        <v>74</v>
      </c>
      <c r="J596" s="13" t="n">
        <v>76.12</v>
      </c>
      <c r="K596" s="10" t="n">
        <v>2</v>
      </c>
      <c r="L596" s="14" t="n">
        <v>0</v>
      </c>
      <c r="M596" s="15" t="n">
        <v>22.0748</v>
      </c>
      <c r="N596" s="10" t="str">
        <f aca="false">IF(M596&lt;0,"Loss",IF(M596&lt;50,"Low Profit",IF(M596&lt;200,"Medium Profit","High Profit")))</f>
        <v>Low Profit</v>
      </c>
      <c r="O596" s="10" t="str">
        <f aca="false">IF(J596&gt;=500,"High Value","Standard")</f>
        <v>Standard</v>
      </c>
      <c r="P596" s="10" t="str">
        <f aca="false">H596&amp;" &gt; "&amp;I596&amp;" ("&amp;K596&amp;" units)"</f>
        <v>Office Supplies &gt; Appliances (2 units)</v>
      </c>
      <c r="Q596" s="10" t="str">
        <f aca="false">VLOOKUP(G596,Region_Manager_Table,2,FALSE())</f>
        <v>Sana Sheikh</v>
      </c>
      <c r="R596" s="10" t="n">
        <f aca="false">INDEX(SLA_Days_Col,MATCH(A596,ShipMode_Col,0))</f>
        <v>6</v>
      </c>
    </row>
    <row r="597" customFormat="false" ht="15" hidden="false" customHeight="false" outlineLevel="0" collapsed="false">
      <c r="A597" s="16" t="s">
        <v>64</v>
      </c>
      <c r="B597" s="16" t="s">
        <v>50</v>
      </c>
      <c r="C597" s="16" t="s">
        <v>51</v>
      </c>
      <c r="D597" s="16" t="s">
        <v>180</v>
      </c>
      <c r="E597" s="16" t="s">
        <v>60</v>
      </c>
      <c r="F597" s="16" t="n">
        <v>92024</v>
      </c>
      <c r="G597" s="16" t="s">
        <v>61</v>
      </c>
      <c r="H597" s="16" t="s">
        <v>71</v>
      </c>
      <c r="I597" s="16" t="s">
        <v>198</v>
      </c>
      <c r="J597" s="17" t="n">
        <v>1199.976</v>
      </c>
      <c r="K597" s="16" t="n">
        <v>3</v>
      </c>
      <c r="L597" s="18" t="n">
        <v>0.2</v>
      </c>
      <c r="M597" s="19" t="n">
        <v>434.9913</v>
      </c>
      <c r="N597" s="16" t="str">
        <f aca="false">IF(M597&lt;0,"Loss",IF(M597&lt;50,"Low Profit",IF(M597&lt;200,"Medium Profit","High Profit")))</f>
        <v>High Profit</v>
      </c>
      <c r="O597" s="16" t="str">
        <f aca="false">IF(J597&gt;=500,"High Value","Standard")</f>
        <v>High Value</v>
      </c>
      <c r="P597" s="16" t="str">
        <f aca="false">H597&amp;" &gt; "&amp;I597&amp;" ("&amp;K597&amp;" units)"</f>
        <v>Technology &gt; Copiers (3 units)</v>
      </c>
      <c r="Q597" s="16" t="str">
        <f aca="false">VLOOKUP(G597,Region_Manager_Table,2,FALSE())</f>
        <v>Sana Sheikh</v>
      </c>
      <c r="R597" s="16" t="n">
        <f aca="false">INDEX(SLA_Days_Col,MATCH(A597,ShipMode_Col,0))</f>
        <v>6</v>
      </c>
    </row>
    <row r="598" customFormat="false" ht="15" hidden="false" customHeight="false" outlineLevel="0" collapsed="false">
      <c r="A598" s="10" t="s">
        <v>64</v>
      </c>
      <c r="B598" s="10" t="s">
        <v>50</v>
      </c>
      <c r="C598" s="10" t="s">
        <v>51</v>
      </c>
      <c r="D598" s="10" t="s">
        <v>180</v>
      </c>
      <c r="E598" s="10" t="s">
        <v>60</v>
      </c>
      <c r="F598" s="10" t="n">
        <v>92024</v>
      </c>
      <c r="G598" s="10" t="s">
        <v>61</v>
      </c>
      <c r="H598" s="10" t="s">
        <v>71</v>
      </c>
      <c r="I598" s="10" t="s">
        <v>72</v>
      </c>
      <c r="J598" s="13" t="n">
        <v>445.96</v>
      </c>
      <c r="K598" s="10" t="n">
        <v>5</v>
      </c>
      <c r="L598" s="14" t="n">
        <v>0.2</v>
      </c>
      <c r="M598" s="15" t="n">
        <v>55.745</v>
      </c>
      <c r="N598" s="10" t="str">
        <f aca="false">IF(M598&lt;0,"Loss",IF(M598&lt;50,"Low Profit",IF(M598&lt;200,"Medium Profit","High Profit")))</f>
        <v>Medium Profit</v>
      </c>
      <c r="O598" s="10" t="str">
        <f aca="false">IF(J598&gt;=500,"High Value","Standard")</f>
        <v>Standard</v>
      </c>
      <c r="P598" s="10" t="str">
        <f aca="false">H598&amp;" &gt; "&amp;I598&amp;" ("&amp;K598&amp;" units)"</f>
        <v>Technology &gt; Phones (5 units)</v>
      </c>
      <c r="Q598" s="10" t="str">
        <f aca="false">VLOOKUP(G598,Region_Manager_Table,2,FALSE())</f>
        <v>Sana Sheikh</v>
      </c>
      <c r="R598" s="10" t="n">
        <f aca="false">INDEX(SLA_Days_Col,MATCH(A598,ShipMode_Col,0))</f>
        <v>6</v>
      </c>
    </row>
    <row r="599" customFormat="false" ht="15" hidden="false" customHeight="false" outlineLevel="0" collapsed="false">
      <c r="A599" s="16" t="s">
        <v>64</v>
      </c>
      <c r="B599" s="16" t="s">
        <v>50</v>
      </c>
      <c r="C599" s="16" t="s">
        <v>51</v>
      </c>
      <c r="D599" s="16" t="s">
        <v>180</v>
      </c>
      <c r="E599" s="16" t="s">
        <v>60</v>
      </c>
      <c r="F599" s="16" t="n">
        <v>92024</v>
      </c>
      <c r="G599" s="16" t="s">
        <v>61</v>
      </c>
      <c r="H599" s="16" t="s">
        <v>55</v>
      </c>
      <c r="I599" s="16" t="s">
        <v>69</v>
      </c>
      <c r="J599" s="17" t="n">
        <v>327.76</v>
      </c>
      <c r="K599" s="16" t="n">
        <v>8</v>
      </c>
      <c r="L599" s="18" t="n">
        <v>0</v>
      </c>
      <c r="M599" s="19" t="n">
        <v>91.7728</v>
      </c>
      <c r="N599" s="16" t="str">
        <f aca="false">IF(M599&lt;0,"Loss",IF(M599&lt;50,"Low Profit",IF(M599&lt;200,"Medium Profit","High Profit")))</f>
        <v>Medium Profit</v>
      </c>
      <c r="O599" s="16" t="str">
        <f aca="false">IF(J599&gt;=500,"High Value","Standard")</f>
        <v>Standard</v>
      </c>
      <c r="P599" s="16" t="str">
        <f aca="false">H599&amp;" &gt; "&amp;I599&amp;" ("&amp;K599&amp;" units)"</f>
        <v>Furniture &gt; Furnishings (8 units)</v>
      </c>
      <c r="Q599" s="16" t="str">
        <f aca="false">VLOOKUP(G599,Region_Manager_Table,2,FALSE())</f>
        <v>Sana Sheikh</v>
      </c>
      <c r="R599" s="16" t="n">
        <f aca="false">INDEX(SLA_Days_Col,MATCH(A599,ShipMode_Col,0))</f>
        <v>6</v>
      </c>
    </row>
    <row r="600" customFormat="false" ht="15" hidden="false" customHeight="false" outlineLevel="0" collapsed="false">
      <c r="A600" s="10" t="s">
        <v>98</v>
      </c>
      <c r="B600" s="10" t="s">
        <v>50</v>
      </c>
      <c r="C600" s="10" t="s">
        <v>51</v>
      </c>
      <c r="D600" s="10" t="s">
        <v>91</v>
      </c>
      <c r="E600" s="10" t="s">
        <v>92</v>
      </c>
      <c r="F600" s="10" t="n">
        <v>19134</v>
      </c>
      <c r="G600" s="10" t="s">
        <v>93</v>
      </c>
      <c r="H600" s="10" t="s">
        <v>62</v>
      </c>
      <c r="I600" s="10" t="s">
        <v>146</v>
      </c>
      <c r="J600" s="13" t="n">
        <v>11.632</v>
      </c>
      <c r="K600" s="10" t="n">
        <v>2</v>
      </c>
      <c r="L600" s="14" t="n">
        <v>0.2</v>
      </c>
      <c r="M600" s="15" t="n">
        <v>1.0178</v>
      </c>
      <c r="N600" s="10" t="str">
        <f aca="false">IF(M600&lt;0,"Loss",IF(M600&lt;50,"Low Profit",IF(M600&lt;200,"Medium Profit","High Profit")))</f>
        <v>Low Profit</v>
      </c>
      <c r="O600" s="10" t="str">
        <f aca="false">IF(J600&gt;=500,"High Value","Standard")</f>
        <v>Standard</v>
      </c>
      <c r="P600" s="10" t="str">
        <f aca="false">H600&amp;" &gt; "&amp;I600&amp;" ("&amp;K600&amp;" units)"</f>
        <v>Office Supplies &gt; Supplies (2 units)</v>
      </c>
      <c r="Q600" s="10" t="str">
        <f aca="false">VLOOKUP(G600,Region_Manager_Table,2,FALSE())</f>
        <v>Priya Menon</v>
      </c>
      <c r="R600" s="10" t="n">
        <f aca="false">INDEX(SLA_Days_Col,MATCH(A600,ShipMode_Col,0))</f>
        <v>2</v>
      </c>
    </row>
    <row r="601" customFormat="false" ht="15" hidden="false" customHeight="false" outlineLevel="0" collapsed="false">
      <c r="A601" s="16" t="s">
        <v>64</v>
      </c>
      <c r="B601" s="16" t="s">
        <v>50</v>
      </c>
      <c r="C601" s="16" t="s">
        <v>51</v>
      </c>
      <c r="D601" s="16" t="s">
        <v>91</v>
      </c>
      <c r="E601" s="16" t="s">
        <v>92</v>
      </c>
      <c r="F601" s="16" t="n">
        <v>19120</v>
      </c>
      <c r="G601" s="16" t="s">
        <v>93</v>
      </c>
      <c r="H601" s="16" t="s">
        <v>71</v>
      </c>
      <c r="I601" s="16" t="s">
        <v>72</v>
      </c>
      <c r="J601" s="17" t="n">
        <v>143.982</v>
      </c>
      <c r="K601" s="16" t="n">
        <v>3</v>
      </c>
      <c r="L601" s="18" t="n">
        <v>0.4</v>
      </c>
      <c r="M601" s="19" t="n">
        <v>-28.7964</v>
      </c>
      <c r="N601" s="16" t="str">
        <f aca="false">IF(M601&lt;0,"Loss",IF(M601&lt;50,"Low Profit",IF(M601&lt;200,"Medium Profit","High Profit")))</f>
        <v>Loss</v>
      </c>
      <c r="O601" s="16" t="str">
        <f aca="false">IF(J601&gt;=500,"High Value","Standard")</f>
        <v>Standard</v>
      </c>
      <c r="P601" s="16" t="str">
        <f aca="false">H601&amp;" &gt; "&amp;I601&amp;" ("&amp;K601&amp;" units)"</f>
        <v>Technology &gt; Phones (3 units)</v>
      </c>
      <c r="Q601" s="16" t="str">
        <f aca="false">VLOOKUP(G601,Region_Manager_Table,2,FALSE())</f>
        <v>Priya Menon</v>
      </c>
      <c r="R601" s="16" t="n">
        <f aca="false">INDEX(SLA_Days_Col,MATCH(A601,ShipMode_Col,0))</f>
        <v>6</v>
      </c>
    </row>
    <row r="602" customFormat="false" ht="15" hidden="false" customHeight="false" outlineLevel="0" collapsed="false">
      <c r="A602" s="10" t="s">
        <v>64</v>
      </c>
      <c r="B602" s="10" t="s">
        <v>50</v>
      </c>
      <c r="C602" s="10" t="s">
        <v>51</v>
      </c>
      <c r="D602" s="10" t="s">
        <v>91</v>
      </c>
      <c r="E602" s="10" t="s">
        <v>92</v>
      </c>
      <c r="F602" s="10" t="n">
        <v>19120</v>
      </c>
      <c r="G602" s="10" t="s">
        <v>93</v>
      </c>
      <c r="H602" s="10" t="s">
        <v>71</v>
      </c>
      <c r="I602" s="10" t="s">
        <v>72</v>
      </c>
      <c r="J602" s="13" t="n">
        <v>494.376</v>
      </c>
      <c r="K602" s="10" t="n">
        <v>4</v>
      </c>
      <c r="L602" s="14" t="n">
        <v>0.4</v>
      </c>
      <c r="M602" s="15" t="n">
        <v>-115.3544</v>
      </c>
      <c r="N602" s="10" t="str">
        <f aca="false">IF(M602&lt;0,"Loss",IF(M602&lt;50,"Low Profit",IF(M602&lt;200,"Medium Profit","High Profit")))</f>
        <v>Loss</v>
      </c>
      <c r="O602" s="10" t="str">
        <f aca="false">IF(J602&gt;=500,"High Value","Standard")</f>
        <v>Standard</v>
      </c>
      <c r="P602" s="10" t="str">
        <f aca="false">H602&amp;" &gt; "&amp;I602&amp;" ("&amp;K602&amp;" units)"</f>
        <v>Technology &gt; Phones (4 units)</v>
      </c>
      <c r="Q602" s="10" t="str">
        <f aca="false">VLOOKUP(G602,Region_Manager_Table,2,FALSE())</f>
        <v>Priya Menon</v>
      </c>
      <c r="R602" s="10" t="n">
        <f aca="false">INDEX(SLA_Days_Col,MATCH(A602,ShipMode_Col,0))</f>
        <v>6</v>
      </c>
    </row>
    <row r="603" customFormat="false" ht="15" hidden="false" customHeight="false" outlineLevel="0" collapsed="false">
      <c r="A603" s="16" t="s">
        <v>64</v>
      </c>
      <c r="B603" s="16" t="s">
        <v>50</v>
      </c>
      <c r="C603" s="16" t="s">
        <v>51</v>
      </c>
      <c r="D603" s="16" t="s">
        <v>91</v>
      </c>
      <c r="E603" s="16" t="s">
        <v>92</v>
      </c>
      <c r="F603" s="16" t="n">
        <v>19120</v>
      </c>
      <c r="G603" s="16" t="s">
        <v>93</v>
      </c>
      <c r="H603" s="16" t="s">
        <v>62</v>
      </c>
      <c r="I603" s="16" t="s">
        <v>146</v>
      </c>
      <c r="J603" s="17" t="n">
        <v>5.84</v>
      </c>
      <c r="K603" s="16" t="n">
        <v>2</v>
      </c>
      <c r="L603" s="18" t="n">
        <v>0.2</v>
      </c>
      <c r="M603" s="19" t="n">
        <v>0.73</v>
      </c>
      <c r="N603" s="16" t="str">
        <f aca="false">IF(M603&lt;0,"Loss",IF(M603&lt;50,"Low Profit",IF(M603&lt;200,"Medium Profit","High Profit")))</f>
        <v>Low Profit</v>
      </c>
      <c r="O603" s="16" t="str">
        <f aca="false">IF(J603&gt;=500,"High Value","Standard")</f>
        <v>Standard</v>
      </c>
      <c r="P603" s="16" t="str">
        <f aca="false">H603&amp;" &gt; "&amp;I603&amp;" ("&amp;K603&amp;" units)"</f>
        <v>Office Supplies &gt; Supplies (2 units)</v>
      </c>
      <c r="Q603" s="16" t="str">
        <f aca="false">VLOOKUP(G603,Region_Manager_Table,2,FALSE())</f>
        <v>Priya Menon</v>
      </c>
      <c r="R603" s="16" t="n">
        <f aca="false">INDEX(SLA_Days_Col,MATCH(A603,ShipMode_Col,0))</f>
        <v>6</v>
      </c>
    </row>
    <row r="604" customFormat="false" ht="15" hidden="false" customHeight="false" outlineLevel="0" collapsed="false">
      <c r="A604" s="10" t="s">
        <v>64</v>
      </c>
      <c r="B604" s="10" t="s">
        <v>50</v>
      </c>
      <c r="C604" s="10" t="s">
        <v>51</v>
      </c>
      <c r="D604" s="10" t="s">
        <v>177</v>
      </c>
      <c r="E604" s="10" t="s">
        <v>66</v>
      </c>
      <c r="F604" s="10" t="n">
        <v>33614</v>
      </c>
      <c r="G604" s="10" t="s">
        <v>54</v>
      </c>
      <c r="H604" s="10" t="s">
        <v>62</v>
      </c>
      <c r="I604" s="10" t="s">
        <v>68</v>
      </c>
      <c r="J604" s="13" t="n">
        <v>142.776</v>
      </c>
      <c r="K604" s="10" t="n">
        <v>1</v>
      </c>
      <c r="L604" s="14" t="n">
        <v>0.2</v>
      </c>
      <c r="M604" s="15" t="n">
        <v>17.847</v>
      </c>
      <c r="N604" s="10" t="str">
        <f aca="false">IF(M604&lt;0,"Loss",IF(M604&lt;50,"Low Profit",IF(M604&lt;200,"Medium Profit","High Profit")))</f>
        <v>Low Profit</v>
      </c>
      <c r="O604" s="10" t="str">
        <f aca="false">IF(J604&gt;=500,"High Value","Standard")</f>
        <v>Standard</v>
      </c>
      <c r="P604" s="10" t="str">
        <f aca="false">H604&amp;" &gt; "&amp;I604&amp;" ("&amp;K604&amp;" units)"</f>
        <v>Office Supplies &gt; Storage (1 units)</v>
      </c>
      <c r="Q604" s="10" t="str">
        <f aca="false">VLOOKUP(G604,Region_Manager_Table,2,FALSE())</f>
        <v>Karthik Iyer</v>
      </c>
      <c r="R604" s="10" t="n">
        <f aca="false">INDEX(SLA_Days_Col,MATCH(A604,ShipMode_Col,0))</f>
        <v>6</v>
      </c>
    </row>
    <row r="605" customFormat="false" ht="15" hidden="false" customHeight="false" outlineLevel="0" collapsed="false">
      <c r="A605" s="16" t="s">
        <v>64</v>
      </c>
      <c r="B605" s="16" t="s">
        <v>50</v>
      </c>
      <c r="C605" s="16" t="s">
        <v>51</v>
      </c>
      <c r="D605" s="16" t="s">
        <v>177</v>
      </c>
      <c r="E605" s="16" t="s">
        <v>66</v>
      </c>
      <c r="F605" s="16" t="n">
        <v>33614</v>
      </c>
      <c r="G605" s="16" t="s">
        <v>54</v>
      </c>
      <c r="H605" s="16" t="s">
        <v>55</v>
      </c>
      <c r="I605" s="16" t="s">
        <v>69</v>
      </c>
      <c r="J605" s="17" t="n">
        <v>45.696</v>
      </c>
      <c r="K605" s="16" t="n">
        <v>3</v>
      </c>
      <c r="L605" s="18" t="n">
        <v>0.2</v>
      </c>
      <c r="M605" s="19" t="n">
        <v>5.1408</v>
      </c>
      <c r="N605" s="16" t="str">
        <f aca="false">IF(M605&lt;0,"Loss",IF(M605&lt;50,"Low Profit",IF(M605&lt;200,"Medium Profit","High Profit")))</f>
        <v>Low Profit</v>
      </c>
      <c r="O605" s="16" t="str">
        <f aca="false">IF(J605&gt;=500,"High Value","Standard")</f>
        <v>Standard</v>
      </c>
      <c r="P605" s="16" t="str">
        <f aca="false">H605&amp;" &gt; "&amp;I605&amp;" ("&amp;K605&amp;" units)"</f>
        <v>Furniture &gt; Furnishings (3 units)</v>
      </c>
      <c r="Q605" s="16" t="str">
        <f aca="false">VLOOKUP(G605,Region_Manager_Table,2,FALSE())</f>
        <v>Karthik Iyer</v>
      </c>
      <c r="R605" s="16" t="n">
        <f aca="false">INDEX(SLA_Days_Col,MATCH(A605,ShipMode_Col,0))</f>
        <v>6</v>
      </c>
    </row>
    <row r="606" customFormat="false" ht="15" hidden="false" customHeight="false" outlineLevel="0" collapsed="false">
      <c r="A606" s="10" t="s">
        <v>64</v>
      </c>
      <c r="B606" s="10" t="s">
        <v>50</v>
      </c>
      <c r="C606" s="10" t="s">
        <v>51</v>
      </c>
      <c r="D606" s="10" t="s">
        <v>177</v>
      </c>
      <c r="E606" s="10" t="s">
        <v>66</v>
      </c>
      <c r="F606" s="10" t="n">
        <v>33614</v>
      </c>
      <c r="G606" s="10" t="s">
        <v>54</v>
      </c>
      <c r="H606" s="10" t="s">
        <v>62</v>
      </c>
      <c r="I606" s="10" t="s">
        <v>73</v>
      </c>
      <c r="J606" s="13" t="n">
        <v>7.218</v>
      </c>
      <c r="K606" s="10" t="n">
        <v>3</v>
      </c>
      <c r="L606" s="14" t="n">
        <v>0.7</v>
      </c>
      <c r="M606" s="15" t="n">
        <v>-5.5338</v>
      </c>
      <c r="N606" s="10" t="str">
        <f aca="false">IF(M606&lt;0,"Loss",IF(M606&lt;50,"Low Profit",IF(M606&lt;200,"Medium Profit","High Profit")))</f>
        <v>Loss</v>
      </c>
      <c r="O606" s="10" t="str">
        <f aca="false">IF(J606&gt;=500,"High Value","Standard")</f>
        <v>Standard</v>
      </c>
      <c r="P606" s="10" t="str">
        <f aca="false">H606&amp;" &gt; "&amp;I606&amp;" ("&amp;K606&amp;" units)"</f>
        <v>Office Supplies &gt; Binders (3 units)</v>
      </c>
      <c r="Q606" s="10" t="str">
        <f aca="false">VLOOKUP(G606,Region_Manager_Table,2,FALSE())</f>
        <v>Karthik Iyer</v>
      </c>
      <c r="R606" s="10" t="n">
        <f aca="false">INDEX(SLA_Days_Col,MATCH(A606,ShipMode_Col,0))</f>
        <v>6</v>
      </c>
    </row>
    <row r="607" customFormat="false" ht="15" hidden="false" customHeight="false" outlineLevel="0" collapsed="false">
      <c r="A607" s="16" t="s">
        <v>64</v>
      </c>
      <c r="B607" s="16" t="s">
        <v>50</v>
      </c>
      <c r="C607" s="16" t="s">
        <v>51</v>
      </c>
      <c r="D607" s="16" t="s">
        <v>177</v>
      </c>
      <c r="E607" s="16" t="s">
        <v>66</v>
      </c>
      <c r="F607" s="16" t="n">
        <v>33614</v>
      </c>
      <c r="G607" s="16" t="s">
        <v>54</v>
      </c>
      <c r="H607" s="16" t="s">
        <v>62</v>
      </c>
      <c r="I607" s="16" t="s">
        <v>73</v>
      </c>
      <c r="J607" s="17" t="n">
        <v>43.188</v>
      </c>
      <c r="K607" s="16" t="n">
        <v>4</v>
      </c>
      <c r="L607" s="18" t="n">
        <v>0.7</v>
      </c>
      <c r="M607" s="19" t="n">
        <v>-31.6712</v>
      </c>
      <c r="N607" s="16" t="str">
        <f aca="false">IF(M607&lt;0,"Loss",IF(M607&lt;50,"Low Profit",IF(M607&lt;200,"Medium Profit","High Profit")))</f>
        <v>Loss</v>
      </c>
      <c r="O607" s="16" t="str">
        <f aca="false">IF(J607&gt;=500,"High Value","Standard")</f>
        <v>Standard</v>
      </c>
      <c r="P607" s="16" t="str">
        <f aca="false">H607&amp;" &gt; "&amp;I607&amp;" ("&amp;K607&amp;" units)"</f>
        <v>Office Supplies &gt; Binders (4 units)</v>
      </c>
      <c r="Q607" s="16" t="str">
        <f aca="false">VLOOKUP(G607,Region_Manager_Table,2,FALSE())</f>
        <v>Karthik Iyer</v>
      </c>
      <c r="R607" s="16" t="n">
        <f aca="false">INDEX(SLA_Days_Col,MATCH(A607,ShipMode_Col,0))</f>
        <v>6</v>
      </c>
    </row>
    <row r="608" customFormat="false" ht="15" hidden="false" customHeight="false" outlineLevel="0" collapsed="false">
      <c r="A608" s="10" t="s">
        <v>64</v>
      </c>
      <c r="B608" s="10" t="s">
        <v>50</v>
      </c>
      <c r="C608" s="10" t="s">
        <v>51</v>
      </c>
      <c r="D608" s="10" t="s">
        <v>177</v>
      </c>
      <c r="E608" s="10" t="s">
        <v>66</v>
      </c>
      <c r="F608" s="10" t="n">
        <v>33614</v>
      </c>
      <c r="G608" s="10" t="s">
        <v>54</v>
      </c>
      <c r="H608" s="10" t="s">
        <v>62</v>
      </c>
      <c r="I608" s="10" t="s">
        <v>77</v>
      </c>
      <c r="J608" s="13" t="n">
        <v>131.904</v>
      </c>
      <c r="K608" s="10" t="n">
        <v>3</v>
      </c>
      <c r="L608" s="14" t="n">
        <v>0.2</v>
      </c>
      <c r="M608" s="15" t="n">
        <v>47.8152</v>
      </c>
      <c r="N608" s="10" t="str">
        <f aca="false">IF(M608&lt;0,"Loss",IF(M608&lt;50,"Low Profit",IF(M608&lt;200,"Medium Profit","High Profit")))</f>
        <v>Low Profit</v>
      </c>
      <c r="O608" s="10" t="str">
        <f aca="false">IF(J608&gt;=500,"High Value","Standard")</f>
        <v>Standard</v>
      </c>
      <c r="P608" s="10" t="str">
        <f aca="false">H608&amp;" &gt; "&amp;I608&amp;" ("&amp;K608&amp;" units)"</f>
        <v>Office Supplies &gt; Paper (3 units)</v>
      </c>
      <c r="Q608" s="10" t="str">
        <f aca="false">VLOOKUP(G608,Region_Manager_Table,2,FALSE())</f>
        <v>Karthik Iyer</v>
      </c>
      <c r="R608" s="10" t="n">
        <f aca="false">INDEX(SLA_Days_Col,MATCH(A608,ShipMode_Col,0))</f>
        <v>6</v>
      </c>
    </row>
    <row r="609" customFormat="false" ht="15" hidden="false" customHeight="false" outlineLevel="0" collapsed="false">
      <c r="A609" s="16" t="s">
        <v>64</v>
      </c>
      <c r="B609" s="16" t="s">
        <v>50</v>
      </c>
      <c r="C609" s="16" t="s">
        <v>51</v>
      </c>
      <c r="D609" s="16" t="s">
        <v>91</v>
      </c>
      <c r="E609" s="16" t="s">
        <v>92</v>
      </c>
      <c r="F609" s="16" t="n">
        <v>19134</v>
      </c>
      <c r="G609" s="16" t="s">
        <v>93</v>
      </c>
      <c r="H609" s="16" t="s">
        <v>62</v>
      </c>
      <c r="I609" s="16" t="s">
        <v>73</v>
      </c>
      <c r="J609" s="17" t="n">
        <v>3.282</v>
      </c>
      <c r="K609" s="16" t="n">
        <v>2</v>
      </c>
      <c r="L609" s="18" t="n">
        <v>0.7</v>
      </c>
      <c r="M609" s="19" t="n">
        <v>-2.6256</v>
      </c>
      <c r="N609" s="16" t="str">
        <f aca="false">IF(M609&lt;0,"Loss",IF(M609&lt;50,"Low Profit",IF(M609&lt;200,"Medium Profit","High Profit")))</f>
        <v>Loss</v>
      </c>
      <c r="O609" s="16" t="str">
        <f aca="false">IF(J609&gt;=500,"High Value","Standard")</f>
        <v>Standard</v>
      </c>
      <c r="P609" s="16" t="str">
        <f aca="false">H609&amp;" &gt; "&amp;I609&amp;" ("&amp;K609&amp;" units)"</f>
        <v>Office Supplies &gt; Binders (2 units)</v>
      </c>
      <c r="Q609" s="16" t="str">
        <f aca="false">VLOOKUP(G609,Region_Manager_Table,2,FALSE())</f>
        <v>Priya Menon</v>
      </c>
      <c r="R609" s="16" t="n">
        <f aca="false">INDEX(SLA_Days_Col,MATCH(A609,ShipMode_Col,0))</f>
        <v>6</v>
      </c>
    </row>
    <row r="610" customFormat="false" ht="15" hidden="false" customHeight="false" outlineLevel="0" collapsed="false">
      <c r="A610" s="10" t="s">
        <v>64</v>
      </c>
      <c r="B610" s="10" t="s">
        <v>50</v>
      </c>
      <c r="C610" s="10" t="s">
        <v>51</v>
      </c>
      <c r="D610" s="10" t="s">
        <v>91</v>
      </c>
      <c r="E610" s="10" t="s">
        <v>92</v>
      </c>
      <c r="F610" s="10" t="n">
        <v>19134</v>
      </c>
      <c r="G610" s="10" t="s">
        <v>93</v>
      </c>
      <c r="H610" s="10" t="s">
        <v>62</v>
      </c>
      <c r="I610" s="10" t="s">
        <v>70</v>
      </c>
      <c r="J610" s="13" t="n">
        <v>21.168</v>
      </c>
      <c r="K610" s="10" t="n">
        <v>9</v>
      </c>
      <c r="L610" s="14" t="n">
        <v>0.2</v>
      </c>
      <c r="M610" s="15" t="n">
        <v>2.3814</v>
      </c>
      <c r="N610" s="10" t="str">
        <f aca="false">IF(M610&lt;0,"Loss",IF(M610&lt;50,"Low Profit",IF(M610&lt;200,"Medium Profit","High Profit")))</f>
        <v>Low Profit</v>
      </c>
      <c r="O610" s="10" t="str">
        <f aca="false">IF(J610&gt;=500,"High Value","Standard")</f>
        <v>Standard</v>
      </c>
      <c r="P610" s="10" t="str">
        <f aca="false">H610&amp;" &gt; "&amp;I610&amp;" ("&amp;K610&amp;" units)"</f>
        <v>Office Supplies &gt; Art (9 units)</v>
      </c>
      <c r="Q610" s="10" t="str">
        <f aca="false">VLOOKUP(G610,Region_Manager_Table,2,FALSE())</f>
        <v>Priya Menon</v>
      </c>
      <c r="R610" s="10" t="n">
        <f aca="false">INDEX(SLA_Days_Col,MATCH(A610,ShipMode_Col,0))</f>
        <v>6</v>
      </c>
    </row>
    <row r="611" customFormat="false" ht="15" hidden="false" customHeight="false" outlineLevel="0" collapsed="false">
      <c r="A611" s="16" t="s">
        <v>64</v>
      </c>
      <c r="B611" s="16" t="s">
        <v>50</v>
      </c>
      <c r="C611" s="16" t="s">
        <v>51</v>
      </c>
      <c r="D611" s="16" t="s">
        <v>91</v>
      </c>
      <c r="E611" s="16" t="s">
        <v>92</v>
      </c>
      <c r="F611" s="16" t="n">
        <v>19134</v>
      </c>
      <c r="G611" s="16" t="s">
        <v>93</v>
      </c>
      <c r="H611" s="16" t="s">
        <v>71</v>
      </c>
      <c r="I611" s="16" t="s">
        <v>72</v>
      </c>
      <c r="J611" s="17" t="n">
        <v>55.188</v>
      </c>
      <c r="K611" s="16" t="n">
        <v>2</v>
      </c>
      <c r="L611" s="18" t="n">
        <v>0.4</v>
      </c>
      <c r="M611" s="19" t="n">
        <v>-10.1178</v>
      </c>
      <c r="N611" s="16" t="str">
        <f aca="false">IF(M611&lt;0,"Loss",IF(M611&lt;50,"Low Profit",IF(M611&lt;200,"Medium Profit","High Profit")))</f>
        <v>Loss</v>
      </c>
      <c r="O611" s="16" t="str">
        <f aca="false">IF(J611&gt;=500,"High Value","Standard")</f>
        <v>Standard</v>
      </c>
      <c r="P611" s="16" t="str">
        <f aca="false">H611&amp;" &gt; "&amp;I611&amp;" ("&amp;K611&amp;" units)"</f>
        <v>Technology &gt; Phones (2 units)</v>
      </c>
      <c r="Q611" s="16" t="str">
        <f aca="false">VLOOKUP(G611,Region_Manager_Table,2,FALSE())</f>
        <v>Priya Menon</v>
      </c>
      <c r="R611" s="16" t="n">
        <f aca="false">INDEX(SLA_Days_Col,MATCH(A611,ShipMode_Col,0))</f>
        <v>6</v>
      </c>
    </row>
    <row r="612" customFormat="false" ht="15" hidden="false" customHeight="false" outlineLevel="0" collapsed="false">
      <c r="A612" s="10" t="s">
        <v>98</v>
      </c>
      <c r="B612" s="10" t="s">
        <v>58</v>
      </c>
      <c r="C612" s="10" t="s">
        <v>51</v>
      </c>
      <c r="D612" s="10" t="s">
        <v>171</v>
      </c>
      <c r="E612" s="10" t="s">
        <v>82</v>
      </c>
      <c r="F612" s="10" t="n">
        <v>75217</v>
      </c>
      <c r="G612" s="10" t="s">
        <v>83</v>
      </c>
      <c r="H612" s="10" t="s">
        <v>71</v>
      </c>
      <c r="I612" s="10" t="s">
        <v>72</v>
      </c>
      <c r="J612" s="13" t="n">
        <v>369.576</v>
      </c>
      <c r="K612" s="10" t="n">
        <v>3</v>
      </c>
      <c r="L612" s="14" t="n">
        <v>0.2</v>
      </c>
      <c r="M612" s="15" t="n">
        <v>41.5773</v>
      </c>
      <c r="N612" s="10" t="str">
        <f aca="false">IF(M612&lt;0,"Loss",IF(M612&lt;50,"Low Profit",IF(M612&lt;200,"Medium Profit","High Profit")))</f>
        <v>Low Profit</v>
      </c>
      <c r="O612" s="10" t="str">
        <f aca="false">IF(J612&gt;=500,"High Value","Standard")</f>
        <v>Standard</v>
      </c>
      <c r="P612" s="10" t="str">
        <f aca="false">H612&amp;" &gt; "&amp;I612&amp;" ("&amp;K612&amp;" units)"</f>
        <v>Technology &gt; Phones (3 units)</v>
      </c>
      <c r="Q612" s="10" t="str">
        <f aca="false">VLOOKUP(G612,Region_Manager_Table,2,FALSE())</f>
        <v>Aditya Rao</v>
      </c>
      <c r="R612" s="10" t="n">
        <f aca="false">INDEX(SLA_Days_Col,MATCH(A612,ShipMode_Col,0))</f>
        <v>2</v>
      </c>
    </row>
    <row r="613" customFormat="false" ht="15" hidden="false" customHeight="false" outlineLevel="0" collapsed="false">
      <c r="A613" s="16" t="s">
        <v>98</v>
      </c>
      <c r="B613" s="16" t="s">
        <v>58</v>
      </c>
      <c r="C613" s="16" t="s">
        <v>51</v>
      </c>
      <c r="D613" s="16" t="s">
        <v>171</v>
      </c>
      <c r="E613" s="16" t="s">
        <v>82</v>
      </c>
      <c r="F613" s="16" t="n">
        <v>75217</v>
      </c>
      <c r="G613" s="16" t="s">
        <v>83</v>
      </c>
      <c r="H613" s="16" t="s">
        <v>62</v>
      </c>
      <c r="I613" s="16" t="s">
        <v>63</v>
      </c>
      <c r="J613" s="17" t="n">
        <v>15.712</v>
      </c>
      <c r="K613" s="16" t="n">
        <v>4</v>
      </c>
      <c r="L613" s="18" t="n">
        <v>0.2</v>
      </c>
      <c r="M613" s="19" t="n">
        <v>5.6956</v>
      </c>
      <c r="N613" s="16" t="str">
        <f aca="false">IF(M613&lt;0,"Loss",IF(M613&lt;50,"Low Profit",IF(M613&lt;200,"Medium Profit","High Profit")))</f>
        <v>Low Profit</v>
      </c>
      <c r="O613" s="16" t="str">
        <f aca="false">IF(J613&gt;=500,"High Value","Standard")</f>
        <v>Standard</v>
      </c>
      <c r="P613" s="16" t="str">
        <f aca="false">H613&amp;" &gt; "&amp;I613&amp;" ("&amp;K613&amp;" units)"</f>
        <v>Office Supplies &gt; Labels (4 units)</v>
      </c>
      <c r="Q613" s="16" t="str">
        <f aca="false">VLOOKUP(G613,Region_Manager_Table,2,FALSE())</f>
        <v>Aditya Rao</v>
      </c>
      <c r="R613" s="16" t="n">
        <f aca="false">INDEX(SLA_Days_Col,MATCH(A613,ShipMode_Col,0))</f>
        <v>2</v>
      </c>
    </row>
    <row r="614" customFormat="false" ht="15" hidden="false" customHeight="false" outlineLevel="0" collapsed="false">
      <c r="A614" s="10" t="s">
        <v>49</v>
      </c>
      <c r="B614" s="10" t="s">
        <v>58</v>
      </c>
      <c r="C614" s="10" t="s">
        <v>51</v>
      </c>
      <c r="D614" s="10" t="s">
        <v>91</v>
      </c>
      <c r="E614" s="10" t="s">
        <v>92</v>
      </c>
      <c r="F614" s="10" t="n">
        <v>19143</v>
      </c>
      <c r="G614" s="10" t="s">
        <v>93</v>
      </c>
      <c r="H614" s="10" t="s">
        <v>62</v>
      </c>
      <c r="I614" s="10" t="s">
        <v>77</v>
      </c>
      <c r="J614" s="13" t="n">
        <v>8.448</v>
      </c>
      <c r="K614" s="10" t="n">
        <v>2</v>
      </c>
      <c r="L614" s="14" t="n">
        <v>0.2</v>
      </c>
      <c r="M614" s="15" t="n">
        <v>2.64</v>
      </c>
      <c r="N614" s="10" t="str">
        <f aca="false">IF(M614&lt;0,"Loss",IF(M614&lt;50,"Low Profit",IF(M614&lt;200,"Medium Profit","High Profit")))</f>
        <v>Low Profit</v>
      </c>
      <c r="O614" s="10" t="str">
        <f aca="false">IF(J614&gt;=500,"High Value","Standard")</f>
        <v>Standard</v>
      </c>
      <c r="P614" s="10" t="str">
        <f aca="false">H614&amp;" &gt; "&amp;I614&amp;" ("&amp;K614&amp;" units)"</f>
        <v>Office Supplies &gt; Paper (2 units)</v>
      </c>
      <c r="Q614" s="10" t="str">
        <f aca="false">VLOOKUP(G614,Region_Manager_Table,2,FALSE())</f>
        <v>Priya Menon</v>
      </c>
      <c r="R614" s="10" t="n">
        <f aca="false">INDEX(SLA_Days_Col,MATCH(A614,ShipMode_Col,0))</f>
        <v>4</v>
      </c>
    </row>
    <row r="615" customFormat="false" ht="15" hidden="false" customHeight="false" outlineLevel="0" collapsed="false">
      <c r="A615" s="16" t="s">
        <v>49</v>
      </c>
      <c r="B615" s="16" t="s">
        <v>58</v>
      </c>
      <c r="C615" s="16" t="s">
        <v>51</v>
      </c>
      <c r="D615" s="16" t="s">
        <v>91</v>
      </c>
      <c r="E615" s="16" t="s">
        <v>92</v>
      </c>
      <c r="F615" s="16" t="n">
        <v>19143</v>
      </c>
      <c r="G615" s="16" t="s">
        <v>93</v>
      </c>
      <c r="H615" s="16" t="s">
        <v>71</v>
      </c>
      <c r="I615" s="16" t="s">
        <v>72</v>
      </c>
      <c r="J615" s="17" t="n">
        <v>728.946</v>
      </c>
      <c r="K615" s="16" t="n">
        <v>9</v>
      </c>
      <c r="L615" s="18" t="n">
        <v>0.4</v>
      </c>
      <c r="M615" s="19" t="n">
        <v>-157.9383</v>
      </c>
      <c r="N615" s="16" t="str">
        <f aca="false">IF(M615&lt;0,"Loss",IF(M615&lt;50,"Low Profit",IF(M615&lt;200,"Medium Profit","High Profit")))</f>
        <v>Loss</v>
      </c>
      <c r="O615" s="16" t="str">
        <f aca="false">IF(J615&gt;=500,"High Value","Standard")</f>
        <v>High Value</v>
      </c>
      <c r="P615" s="16" t="str">
        <f aca="false">H615&amp;" &gt; "&amp;I615&amp;" ("&amp;K615&amp;" units)"</f>
        <v>Technology &gt; Phones (9 units)</v>
      </c>
      <c r="Q615" s="16" t="str">
        <f aca="false">VLOOKUP(G615,Region_Manager_Table,2,FALSE())</f>
        <v>Priya Menon</v>
      </c>
      <c r="R615" s="16" t="n">
        <f aca="false">INDEX(SLA_Days_Col,MATCH(A615,ShipMode_Col,0))</f>
        <v>4</v>
      </c>
    </row>
    <row r="616" customFormat="false" ht="15" hidden="false" customHeight="false" outlineLevel="0" collapsed="false">
      <c r="A616" s="10" t="s">
        <v>49</v>
      </c>
      <c r="B616" s="10" t="s">
        <v>50</v>
      </c>
      <c r="C616" s="10" t="s">
        <v>51</v>
      </c>
      <c r="D616" s="10" t="s">
        <v>248</v>
      </c>
      <c r="E616" s="10" t="s">
        <v>140</v>
      </c>
      <c r="F616" s="10" t="n">
        <v>43123</v>
      </c>
      <c r="G616" s="10" t="s">
        <v>93</v>
      </c>
      <c r="H616" s="10" t="s">
        <v>71</v>
      </c>
      <c r="I616" s="10" t="s">
        <v>72</v>
      </c>
      <c r="J616" s="13" t="n">
        <v>119.94</v>
      </c>
      <c r="K616" s="10" t="n">
        <v>10</v>
      </c>
      <c r="L616" s="14" t="n">
        <v>0.4</v>
      </c>
      <c r="M616" s="15" t="n">
        <v>15.992</v>
      </c>
      <c r="N616" s="10" t="str">
        <f aca="false">IF(M616&lt;0,"Loss",IF(M616&lt;50,"Low Profit",IF(M616&lt;200,"Medium Profit","High Profit")))</f>
        <v>Low Profit</v>
      </c>
      <c r="O616" s="10" t="str">
        <f aca="false">IF(J616&gt;=500,"High Value","Standard")</f>
        <v>Standard</v>
      </c>
      <c r="P616" s="10" t="str">
        <f aca="false">H616&amp;" &gt; "&amp;I616&amp;" ("&amp;K616&amp;" units)"</f>
        <v>Technology &gt; Phones (10 units)</v>
      </c>
      <c r="Q616" s="10" t="str">
        <f aca="false">VLOOKUP(G616,Region_Manager_Table,2,FALSE())</f>
        <v>Priya Menon</v>
      </c>
      <c r="R616" s="10" t="n">
        <f aca="false">INDEX(SLA_Days_Col,MATCH(A616,ShipMode_Col,0))</f>
        <v>4</v>
      </c>
    </row>
    <row r="617" customFormat="false" ht="15" hidden="false" customHeight="false" outlineLevel="0" collapsed="false">
      <c r="A617" s="16" t="s">
        <v>49</v>
      </c>
      <c r="B617" s="16" t="s">
        <v>50</v>
      </c>
      <c r="C617" s="16" t="s">
        <v>51</v>
      </c>
      <c r="D617" s="16" t="s">
        <v>248</v>
      </c>
      <c r="E617" s="16" t="s">
        <v>140</v>
      </c>
      <c r="F617" s="16" t="n">
        <v>43123</v>
      </c>
      <c r="G617" s="16" t="s">
        <v>93</v>
      </c>
      <c r="H617" s="16" t="s">
        <v>62</v>
      </c>
      <c r="I617" s="16" t="s">
        <v>73</v>
      </c>
      <c r="J617" s="17" t="n">
        <v>3.648</v>
      </c>
      <c r="K617" s="16" t="n">
        <v>2</v>
      </c>
      <c r="L617" s="18" t="n">
        <v>0.7</v>
      </c>
      <c r="M617" s="19" t="n">
        <v>-2.7968</v>
      </c>
      <c r="N617" s="16" t="str">
        <f aca="false">IF(M617&lt;0,"Loss",IF(M617&lt;50,"Low Profit",IF(M617&lt;200,"Medium Profit","High Profit")))</f>
        <v>Loss</v>
      </c>
      <c r="O617" s="16" t="str">
        <f aca="false">IF(J617&gt;=500,"High Value","Standard")</f>
        <v>Standard</v>
      </c>
      <c r="P617" s="16" t="str">
        <f aca="false">H617&amp;" &gt; "&amp;I617&amp;" ("&amp;K617&amp;" units)"</f>
        <v>Office Supplies &gt; Binders (2 units)</v>
      </c>
      <c r="Q617" s="16" t="str">
        <f aca="false">VLOOKUP(G617,Region_Manager_Table,2,FALSE())</f>
        <v>Priya Menon</v>
      </c>
      <c r="R617" s="16" t="n">
        <f aca="false">INDEX(SLA_Days_Col,MATCH(A617,ShipMode_Col,0))</f>
        <v>4</v>
      </c>
    </row>
    <row r="618" customFormat="false" ht="15" hidden="false" customHeight="false" outlineLevel="0" collapsed="false">
      <c r="A618" s="10" t="s">
        <v>49</v>
      </c>
      <c r="B618" s="10" t="s">
        <v>58</v>
      </c>
      <c r="C618" s="10" t="s">
        <v>51</v>
      </c>
      <c r="D618" s="10" t="s">
        <v>111</v>
      </c>
      <c r="E618" s="10" t="s">
        <v>112</v>
      </c>
      <c r="F618" s="10" t="n">
        <v>10011</v>
      </c>
      <c r="G618" s="10" t="s">
        <v>93</v>
      </c>
      <c r="H618" s="10" t="s">
        <v>55</v>
      </c>
      <c r="I618" s="10" t="s">
        <v>69</v>
      </c>
      <c r="J618" s="13" t="n">
        <v>40.48</v>
      </c>
      <c r="K618" s="10" t="n">
        <v>2</v>
      </c>
      <c r="L618" s="14" t="n">
        <v>0</v>
      </c>
      <c r="M618" s="15" t="n">
        <v>15.7872</v>
      </c>
      <c r="N618" s="10" t="str">
        <f aca="false">IF(M618&lt;0,"Loss",IF(M618&lt;50,"Low Profit",IF(M618&lt;200,"Medium Profit","High Profit")))</f>
        <v>Low Profit</v>
      </c>
      <c r="O618" s="10" t="str">
        <f aca="false">IF(J618&gt;=500,"High Value","Standard")</f>
        <v>Standard</v>
      </c>
      <c r="P618" s="10" t="str">
        <f aca="false">H618&amp;" &gt; "&amp;I618&amp;" ("&amp;K618&amp;" units)"</f>
        <v>Furniture &gt; Furnishings (2 units)</v>
      </c>
      <c r="Q618" s="10" t="str">
        <f aca="false">VLOOKUP(G618,Region_Manager_Table,2,FALSE())</f>
        <v>Priya Menon</v>
      </c>
      <c r="R618" s="10" t="n">
        <f aca="false">INDEX(SLA_Days_Col,MATCH(A618,ShipMode_Col,0))</f>
        <v>4</v>
      </c>
    </row>
    <row r="619" customFormat="false" ht="15" hidden="false" customHeight="false" outlineLevel="0" collapsed="false">
      <c r="A619" s="16" t="s">
        <v>49</v>
      </c>
      <c r="B619" s="16" t="s">
        <v>58</v>
      </c>
      <c r="C619" s="16" t="s">
        <v>51</v>
      </c>
      <c r="D619" s="16" t="s">
        <v>111</v>
      </c>
      <c r="E619" s="16" t="s">
        <v>112</v>
      </c>
      <c r="F619" s="16" t="n">
        <v>10011</v>
      </c>
      <c r="G619" s="16" t="s">
        <v>93</v>
      </c>
      <c r="H619" s="16" t="s">
        <v>55</v>
      </c>
      <c r="I619" s="16" t="s">
        <v>69</v>
      </c>
      <c r="J619" s="17" t="n">
        <v>9.94</v>
      </c>
      <c r="K619" s="16" t="n">
        <v>2</v>
      </c>
      <c r="L619" s="18" t="n">
        <v>0</v>
      </c>
      <c r="M619" s="19" t="n">
        <v>3.0814</v>
      </c>
      <c r="N619" s="16" t="str">
        <f aca="false">IF(M619&lt;0,"Loss",IF(M619&lt;50,"Low Profit",IF(M619&lt;200,"Medium Profit","High Profit")))</f>
        <v>Low Profit</v>
      </c>
      <c r="O619" s="16" t="str">
        <f aca="false">IF(J619&gt;=500,"High Value","Standard")</f>
        <v>Standard</v>
      </c>
      <c r="P619" s="16" t="str">
        <f aca="false">H619&amp;" &gt; "&amp;I619&amp;" ("&amp;K619&amp;" units)"</f>
        <v>Furniture &gt; Furnishings (2 units)</v>
      </c>
      <c r="Q619" s="16" t="str">
        <f aca="false">VLOOKUP(G619,Region_Manager_Table,2,FALSE())</f>
        <v>Priya Menon</v>
      </c>
      <c r="R619" s="16" t="n">
        <f aca="false">INDEX(SLA_Days_Col,MATCH(A619,ShipMode_Col,0))</f>
        <v>4</v>
      </c>
    </row>
    <row r="620" customFormat="false" ht="15" hidden="false" customHeight="false" outlineLevel="0" collapsed="false">
      <c r="A620" s="10" t="s">
        <v>49</v>
      </c>
      <c r="B620" s="10" t="s">
        <v>58</v>
      </c>
      <c r="C620" s="10" t="s">
        <v>51</v>
      </c>
      <c r="D620" s="10" t="s">
        <v>111</v>
      </c>
      <c r="E620" s="10" t="s">
        <v>112</v>
      </c>
      <c r="F620" s="10" t="n">
        <v>10011</v>
      </c>
      <c r="G620" s="10" t="s">
        <v>93</v>
      </c>
      <c r="H620" s="10" t="s">
        <v>62</v>
      </c>
      <c r="I620" s="10" t="s">
        <v>73</v>
      </c>
      <c r="J620" s="13" t="n">
        <v>107.424</v>
      </c>
      <c r="K620" s="10" t="n">
        <v>9</v>
      </c>
      <c r="L620" s="14" t="n">
        <v>0.2</v>
      </c>
      <c r="M620" s="15" t="n">
        <v>33.57</v>
      </c>
      <c r="N620" s="10" t="str">
        <f aca="false">IF(M620&lt;0,"Loss",IF(M620&lt;50,"Low Profit",IF(M620&lt;200,"Medium Profit","High Profit")))</f>
        <v>Low Profit</v>
      </c>
      <c r="O620" s="10" t="str">
        <f aca="false">IF(J620&gt;=500,"High Value","Standard")</f>
        <v>Standard</v>
      </c>
      <c r="P620" s="10" t="str">
        <f aca="false">H620&amp;" &gt; "&amp;I620&amp;" ("&amp;K620&amp;" units)"</f>
        <v>Office Supplies &gt; Binders (9 units)</v>
      </c>
      <c r="Q620" s="10" t="str">
        <f aca="false">VLOOKUP(G620,Region_Manager_Table,2,FALSE())</f>
        <v>Priya Menon</v>
      </c>
      <c r="R620" s="10" t="n">
        <f aca="false">INDEX(SLA_Days_Col,MATCH(A620,ShipMode_Col,0))</f>
        <v>4</v>
      </c>
    </row>
    <row r="621" customFormat="false" ht="15" hidden="false" customHeight="false" outlineLevel="0" collapsed="false">
      <c r="A621" s="16" t="s">
        <v>49</v>
      </c>
      <c r="B621" s="16" t="s">
        <v>58</v>
      </c>
      <c r="C621" s="16" t="s">
        <v>51</v>
      </c>
      <c r="D621" s="16" t="s">
        <v>111</v>
      </c>
      <c r="E621" s="16" t="s">
        <v>112</v>
      </c>
      <c r="F621" s="16" t="n">
        <v>10011</v>
      </c>
      <c r="G621" s="16" t="s">
        <v>93</v>
      </c>
      <c r="H621" s="16" t="s">
        <v>71</v>
      </c>
      <c r="I621" s="16" t="s">
        <v>72</v>
      </c>
      <c r="J621" s="17" t="n">
        <v>37.91</v>
      </c>
      <c r="K621" s="16" t="n">
        <v>1</v>
      </c>
      <c r="L621" s="18" t="n">
        <v>0</v>
      </c>
      <c r="M621" s="19" t="n">
        <v>10.9939</v>
      </c>
      <c r="N621" s="16" t="str">
        <f aca="false">IF(M621&lt;0,"Loss",IF(M621&lt;50,"Low Profit",IF(M621&lt;200,"Medium Profit","High Profit")))</f>
        <v>Low Profit</v>
      </c>
      <c r="O621" s="16" t="str">
        <f aca="false">IF(J621&gt;=500,"High Value","Standard")</f>
        <v>Standard</v>
      </c>
      <c r="P621" s="16" t="str">
        <f aca="false">H621&amp;" &gt; "&amp;I621&amp;" ("&amp;K621&amp;" units)"</f>
        <v>Technology &gt; Phones (1 units)</v>
      </c>
      <c r="Q621" s="16" t="str">
        <f aca="false">VLOOKUP(G621,Region_Manager_Table,2,FALSE())</f>
        <v>Priya Menon</v>
      </c>
      <c r="R621" s="16" t="n">
        <f aca="false">INDEX(SLA_Days_Col,MATCH(A621,ShipMode_Col,0))</f>
        <v>4</v>
      </c>
    </row>
    <row r="622" customFormat="false" ht="15" hidden="false" customHeight="false" outlineLevel="0" collapsed="false">
      <c r="A622" s="10" t="s">
        <v>49</v>
      </c>
      <c r="B622" s="10" t="s">
        <v>58</v>
      </c>
      <c r="C622" s="10" t="s">
        <v>51</v>
      </c>
      <c r="D622" s="10" t="s">
        <v>111</v>
      </c>
      <c r="E622" s="10" t="s">
        <v>112</v>
      </c>
      <c r="F622" s="10" t="n">
        <v>10011</v>
      </c>
      <c r="G622" s="10" t="s">
        <v>93</v>
      </c>
      <c r="H622" s="10" t="s">
        <v>55</v>
      </c>
      <c r="I622" s="10" t="s">
        <v>69</v>
      </c>
      <c r="J622" s="13" t="n">
        <v>88.02</v>
      </c>
      <c r="K622" s="10" t="n">
        <v>3</v>
      </c>
      <c r="L622" s="14" t="n">
        <v>0</v>
      </c>
      <c r="M622" s="15" t="n">
        <v>27.2862</v>
      </c>
      <c r="N622" s="10" t="str">
        <f aca="false">IF(M622&lt;0,"Loss",IF(M622&lt;50,"Low Profit",IF(M622&lt;200,"Medium Profit","High Profit")))</f>
        <v>Low Profit</v>
      </c>
      <c r="O622" s="10" t="str">
        <f aca="false">IF(J622&gt;=500,"High Value","Standard")</f>
        <v>Standard</v>
      </c>
      <c r="P622" s="10" t="str">
        <f aca="false">H622&amp;" &gt; "&amp;I622&amp;" ("&amp;K622&amp;" units)"</f>
        <v>Furniture &gt; Furnishings (3 units)</v>
      </c>
      <c r="Q622" s="10" t="str">
        <f aca="false">VLOOKUP(G622,Region_Manager_Table,2,FALSE())</f>
        <v>Priya Menon</v>
      </c>
      <c r="R622" s="10" t="n">
        <f aca="false">INDEX(SLA_Days_Col,MATCH(A622,ShipMode_Col,0))</f>
        <v>4</v>
      </c>
    </row>
    <row r="623" customFormat="false" ht="15" hidden="false" customHeight="false" outlineLevel="0" collapsed="false">
      <c r="A623" s="16" t="s">
        <v>64</v>
      </c>
      <c r="B623" s="16" t="s">
        <v>50</v>
      </c>
      <c r="C623" s="16" t="s">
        <v>51</v>
      </c>
      <c r="D623" s="16" t="s">
        <v>115</v>
      </c>
      <c r="E623" s="16" t="s">
        <v>101</v>
      </c>
      <c r="F623" s="16" t="n">
        <v>60610</v>
      </c>
      <c r="G623" s="16" t="s">
        <v>83</v>
      </c>
      <c r="H623" s="16" t="s">
        <v>62</v>
      </c>
      <c r="I623" s="16" t="s">
        <v>73</v>
      </c>
      <c r="J623" s="17" t="n">
        <v>8.69</v>
      </c>
      <c r="K623" s="16" t="n">
        <v>5</v>
      </c>
      <c r="L623" s="18" t="n">
        <v>0.8</v>
      </c>
      <c r="M623" s="19" t="n">
        <v>-14.773</v>
      </c>
      <c r="N623" s="16" t="str">
        <f aca="false">IF(M623&lt;0,"Loss",IF(M623&lt;50,"Low Profit",IF(M623&lt;200,"Medium Profit","High Profit")))</f>
        <v>Loss</v>
      </c>
      <c r="O623" s="16" t="str">
        <f aca="false">IF(J623&gt;=500,"High Value","Standard")</f>
        <v>Standard</v>
      </c>
      <c r="P623" s="16" t="str">
        <f aca="false">H623&amp;" &gt; "&amp;I623&amp;" ("&amp;K623&amp;" units)"</f>
        <v>Office Supplies &gt; Binders (5 units)</v>
      </c>
      <c r="Q623" s="16" t="str">
        <f aca="false">VLOOKUP(G623,Region_Manager_Table,2,FALSE())</f>
        <v>Aditya Rao</v>
      </c>
      <c r="R623" s="16" t="n">
        <f aca="false">INDEX(SLA_Days_Col,MATCH(A623,ShipMode_Col,0))</f>
        <v>6</v>
      </c>
    </row>
    <row r="624" customFormat="false" ht="15" hidden="false" customHeight="false" outlineLevel="0" collapsed="false">
      <c r="A624" s="10" t="s">
        <v>64</v>
      </c>
      <c r="B624" s="10" t="s">
        <v>58</v>
      </c>
      <c r="C624" s="10" t="s">
        <v>51</v>
      </c>
      <c r="D624" s="10" t="s">
        <v>249</v>
      </c>
      <c r="E624" s="10" t="s">
        <v>106</v>
      </c>
      <c r="F624" s="10" t="n">
        <v>48126</v>
      </c>
      <c r="G624" s="10" t="s">
        <v>83</v>
      </c>
      <c r="H624" s="10" t="s">
        <v>55</v>
      </c>
      <c r="I624" s="10" t="s">
        <v>57</v>
      </c>
      <c r="J624" s="13" t="n">
        <v>301.96</v>
      </c>
      <c r="K624" s="10" t="n">
        <v>2</v>
      </c>
      <c r="L624" s="14" t="n">
        <v>0</v>
      </c>
      <c r="M624" s="15" t="n">
        <v>87.5684</v>
      </c>
      <c r="N624" s="10" t="str">
        <f aca="false">IF(M624&lt;0,"Loss",IF(M624&lt;50,"Low Profit",IF(M624&lt;200,"Medium Profit","High Profit")))</f>
        <v>Medium Profit</v>
      </c>
      <c r="O624" s="10" t="str">
        <f aca="false">IF(J624&gt;=500,"High Value","Standard")</f>
        <v>Standard</v>
      </c>
      <c r="P624" s="10" t="str">
        <f aca="false">H624&amp;" &gt; "&amp;I624&amp;" ("&amp;K624&amp;" units)"</f>
        <v>Furniture &gt; Chairs (2 units)</v>
      </c>
      <c r="Q624" s="10" t="str">
        <f aca="false">VLOOKUP(G624,Region_Manager_Table,2,FALSE())</f>
        <v>Aditya Rao</v>
      </c>
      <c r="R624" s="10" t="n">
        <f aca="false">INDEX(SLA_Days_Col,MATCH(A624,ShipMode_Col,0))</f>
        <v>6</v>
      </c>
    </row>
    <row r="625" customFormat="false" ht="15" hidden="false" customHeight="false" outlineLevel="0" collapsed="false">
      <c r="A625" s="16" t="s">
        <v>64</v>
      </c>
      <c r="B625" s="16" t="s">
        <v>58</v>
      </c>
      <c r="C625" s="16" t="s">
        <v>51</v>
      </c>
      <c r="D625" s="16" t="s">
        <v>249</v>
      </c>
      <c r="E625" s="16" t="s">
        <v>106</v>
      </c>
      <c r="F625" s="16" t="n">
        <v>48126</v>
      </c>
      <c r="G625" s="16" t="s">
        <v>83</v>
      </c>
      <c r="H625" s="16" t="s">
        <v>62</v>
      </c>
      <c r="I625" s="16" t="s">
        <v>74</v>
      </c>
      <c r="J625" s="17" t="n">
        <v>555.21</v>
      </c>
      <c r="K625" s="16" t="n">
        <v>5</v>
      </c>
      <c r="L625" s="18" t="n">
        <v>0.1</v>
      </c>
      <c r="M625" s="19" t="n">
        <v>178.901</v>
      </c>
      <c r="N625" s="16" t="str">
        <f aca="false">IF(M625&lt;0,"Loss",IF(M625&lt;50,"Low Profit",IF(M625&lt;200,"Medium Profit","High Profit")))</f>
        <v>Medium Profit</v>
      </c>
      <c r="O625" s="16" t="str">
        <f aca="false">IF(J625&gt;=500,"High Value","Standard")</f>
        <v>High Value</v>
      </c>
      <c r="P625" s="16" t="str">
        <f aca="false">H625&amp;" &gt; "&amp;I625&amp;" ("&amp;K625&amp;" units)"</f>
        <v>Office Supplies &gt; Appliances (5 units)</v>
      </c>
      <c r="Q625" s="16" t="str">
        <f aca="false">VLOOKUP(G625,Region_Manager_Table,2,FALSE())</f>
        <v>Aditya Rao</v>
      </c>
      <c r="R625" s="16" t="n">
        <f aca="false">INDEX(SLA_Days_Col,MATCH(A625,ShipMode_Col,0))</f>
        <v>6</v>
      </c>
    </row>
    <row r="626" customFormat="false" ht="15" hidden="false" customHeight="false" outlineLevel="0" collapsed="false">
      <c r="A626" s="10" t="s">
        <v>64</v>
      </c>
      <c r="B626" s="10" t="s">
        <v>58</v>
      </c>
      <c r="C626" s="10" t="s">
        <v>51</v>
      </c>
      <c r="D626" s="10" t="s">
        <v>249</v>
      </c>
      <c r="E626" s="10" t="s">
        <v>106</v>
      </c>
      <c r="F626" s="10" t="n">
        <v>48126</v>
      </c>
      <c r="G626" s="10" t="s">
        <v>83</v>
      </c>
      <c r="H626" s="10" t="s">
        <v>62</v>
      </c>
      <c r="I626" s="10" t="s">
        <v>68</v>
      </c>
      <c r="J626" s="13" t="n">
        <v>523.48</v>
      </c>
      <c r="K626" s="10" t="n">
        <v>4</v>
      </c>
      <c r="L626" s="14" t="n">
        <v>0</v>
      </c>
      <c r="M626" s="15" t="n">
        <v>130.87</v>
      </c>
      <c r="N626" s="10" t="str">
        <f aca="false">IF(M626&lt;0,"Loss",IF(M626&lt;50,"Low Profit",IF(M626&lt;200,"Medium Profit","High Profit")))</f>
        <v>Medium Profit</v>
      </c>
      <c r="O626" s="10" t="str">
        <f aca="false">IF(J626&gt;=500,"High Value","Standard")</f>
        <v>High Value</v>
      </c>
      <c r="P626" s="10" t="str">
        <f aca="false">H626&amp;" &gt; "&amp;I626&amp;" ("&amp;K626&amp;" units)"</f>
        <v>Office Supplies &gt; Storage (4 units)</v>
      </c>
      <c r="Q626" s="10" t="str">
        <f aca="false">VLOOKUP(G626,Region_Manager_Table,2,FALSE())</f>
        <v>Aditya Rao</v>
      </c>
      <c r="R626" s="10" t="n">
        <f aca="false">INDEX(SLA_Days_Col,MATCH(A626,ShipMode_Col,0))</f>
        <v>6</v>
      </c>
    </row>
    <row r="627" customFormat="false" ht="15" hidden="false" customHeight="false" outlineLevel="0" collapsed="false">
      <c r="A627" s="16" t="s">
        <v>64</v>
      </c>
      <c r="B627" s="16" t="s">
        <v>58</v>
      </c>
      <c r="C627" s="16" t="s">
        <v>51</v>
      </c>
      <c r="D627" s="16" t="s">
        <v>249</v>
      </c>
      <c r="E627" s="16" t="s">
        <v>106</v>
      </c>
      <c r="F627" s="16" t="n">
        <v>48126</v>
      </c>
      <c r="G627" s="16" t="s">
        <v>83</v>
      </c>
      <c r="H627" s="16" t="s">
        <v>62</v>
      </c>
      <c r="I627" s="16" t="s">
        <v>70</v>
      </c>
      <c r="J627" s="17" t="n">
        <v>161.82</v>
      </c>
      <c r="K627" s="16" t="n">
        <v>9</v>
      </c>
      <c r="L627" s="18" t="n">
        <v>0</v>
      </c>
      <c r="M627" s="19" t="n">
        <v>46.9278</v>
      </c>
      <c r="N627" s="16" t="str">
        <f aca="false">IF(M627&lt;0,"Loss",IF(M627&lt;50,"Low Profit",IF(M627&lt;200,"Medium Profit","High Profit")))</f>
        <v>Low Profit</v>
      </c>
      <c r="O627" s="16" t="str">
        <f aca="false">IF(J627&gt;=500,"High Value","Standard")</f>
        <v>Standard</v>
      </c>
      <c r="P627" s="16" t="str">
        <f aca="false">H627&amp;" &gt; "&amp;I627&amp;" ("&amp;K627&amp;" units)"</f>
        <v>Office Supplies &gt; Art (9 units)</v>
      </c>
      <c r="Q627" s="16" t="str">
        <f aca="false">VLOOKUP(G627,Region_Manager_Table,2,FALSE())</f>
        <v>Aditya Rao</v>
      </c>
      <c r="R627" s="16" t="n">
        <f aca="false">INDEX(SLA_Days_Col,MATCH(A627,ShipMode_Col,0))</f>
        <v>6</v>
      </c>
    </row>
    <row r="628" customFormat="false" ht="15" hidden="false" customHeight="false" outlineLevel="0" collapsed="false">
      <c r="A628" s="10" t="s">
        <v>64</v>
      </c>
      <c r="B628" s="10" t="s">
        <v>80</v>
      </c>
      <c r="C628" s="10" t="s">
        <v>51</v>
      </c>
      <c r="D628" s="10" t="s">
        <v>111</v>
      </c>
      <c r="E628" s="10" t="s">
        <v>112</v>
      </c>
      <c r="F628" s="10" t="n">
        <v>10009</v>
      </c>
      <c r="G628" s="10" t="s">
        <v>93</v>
      </c>
      <c r="H628" s="10" t="s">
        <v>55</v>
      </c>
      <c r="I628" s="10" t="s">
        <v>69</v>
      </c>
      <c r="J628" s="13" t="n">
        <v>35.56</v>
      </c>
      <c r="K628" s="10" t="n">
        <v>7</v>
      </c>
      <c r="L628" s="14" t="n">
        <v>0</v>
      </c>
      <c r="M628" s="15" t="n">
        <v>12.0904</v>
      </c>
      <c r="N628" s="10" t="str">
        <f aca="false">IF(M628&lt;0,"Loss",IF(M628&lt;50,"Low Profit",IF(M628&lt;200,"Medium Profit","High Profit")))</f>
        <v>Low Profit</v>
      </c>
      <c r="O628" s="10" t="str">
        <f aca="false">IF(J628&gt;=500,"High Value","Standard")</f>
        <v>Standard</v>
      </c>
      <c r="P628" s="10" t="str">
        <f aca="false">H628&amp;" &gt; "&amp;I628&amp;" ("&amp;K628&amp;" units)"</f>
        <v>Furniture &gt; Furnishings (7 units)</v>
      </c>
      <c r="Q628" s="10" t="str">
        <f aca="false">VLOOKUP(G628,Region_Manager_Table,2,FALSE())</f>
        <v>Priya Menon</v>
      </c>
      <c r="R628" s="10" t="n">
        <f aca="false">INDEX(SLA_Days_Col,MATCH(A628,ShipMode_Col,0))</f>
        <v>6</v>
      </c>
    </row>
    <row r="629" customFormat="false" ht="15" hidden="false" customHeight="false" outlineLevel="0" collapsed="false">
      <c r="A629" s="16" t="s">
        <v>64</v>
      </c>
      <c r="B629" s="16" t="s">
        <v>50</v>
      </c>
      <c r="C629" s="16" t="s">
        <v>51</v>
      </c>
      <c r="D629" s="16" t="s">
        <v>78</v>
      </c>
      <c r="E629" s="16" t="s">
        <v>79</v>
      </c>
      <c r="F629" s="16" t="n">
        <v>98115</v>
      </c>
      <c r="G629" s="16" t="s">
        <v>61</v>
      </c>
      <c r="H629" s="16" t="s">
        <v>62</v>
      </c>
      <c r="I629" s="16" t="s">
        <v>74</v>
      </c>
      <c r="J629" s="17" t="n">
        <v>97.16</v>
      </c>
      <c r="K629" s="16" t="n">
        <v>2</v>
      </c>
      <c r="L629" s="18" t="n">
        <v>0</v>
      </c>
      <c r="M629" s="19" t="n">
        <v>28.1764</v>
      </c>
      <c r="N629" s="16" t="str">
        <f aca="false">IF(M629&lt;0,"Loss",IF(M629&lt;50,"Low Profit",IF(M629&lt;200,"Medium Profit","High Profit")))</f>
        <v>Low Profit</v>
      </c>
      <c r="O629" s="16" t="str">
        <f aca="false">IF(J629&gt;=500,"High Value","Standard")</f>
        <v>Standard</v>
      </c>
      <c r="P629" s="16" t="str">
        <f aca="false">H629&amp;" &gt; "&amp;I629&amp;" ("&amp;K629&amp;" units)"</f>
        <v>Office Supplies &gt; Appliances (2 units)</v>
      </c>
      <c r="Q629" s="16" t="str">
        <f aca="false">VLOOKUP(G629,Region_Manager_Table,2,FALSE())</f>
        <v>Sana Sheikh</v>
      </c>
      <c r="R629" s="16" t="n">
        <f aca="false">INDEX(SLA_Days_Col,MATCH(A629,ShipMode_Col,0))</f>
        <v>6</v>
      </c>
    </row>
    <row r="630" customFormat="false" ht="15" hidden="false" customHeight="false" outlineLevel="0" collapsed="false">
      <c r="A630" s="10" t="s">
        <v>64</v>
      </c>
      <c r="B630" s="10" t="s">
        <v>50</v>
      </c>
      <c r="C630" s="10" t="s">
        <v>51</v>
      </c>
      <c r="D630" s="10" t="s">
        <v>88</v>
      </c>
      <c r="E630" s="10" t="s">
        <v>60</v>
      </c>
      <c r="F630" s="10" t="n">
        <v>94122</v>
      </c>
      <c r="G630" s="10" t="s">
        <v>61</v>
      </c>
      <c r="H630" s="10" t="s">
        <v>62</v>
      </c>
      <c r="I630" s="10" t="s">
        <v>73</v>
      </c>
      <c r="J630" s="13" t="n">
        <v>15.24</v>
      </c>
      <c r="K630" s="10" t="n">
        <v>5</v>
      </c>
      <c r="L630" s="14" t="n">
        <v>0.2</v>
      </c>
      <c r="M630" s="15" t="n">
        <v>5.1435</v>
      </c>
      <c r="N630" s="10" t="str">
        <f aca="false">IF(M630&lt;0,"Loss",IF(M630&lt;50,"Low Profit",IF(M630&lt;200,"Medium Profit","High Profit")))</f>
        <v>Low Profit</v>
      </c>
      <c r="O630" s="10" t="str">
        <f aca="false">IF(J630&gt;=500,"High Value","Standard")</f>
        <v>Standard</v>
      </c>
      <c r="P630" s="10" t="str">
        <f aca="false">H630&amp;" &gt; "&amp;I630&amp;" ("&amp;K630&amp;" units)"</f>
        <v>Office Supplies &gt; Binders (5 units)</v>
      </c>
      <c r="Q630" s="10" t="str">
        <f aca="false">VLOOKUP(G630,Region_Manager_Table,2,FALSE())</f>
        <v>Sana Sheikh</v>
      </c>
      <c r="R630" s="10" t="n">
        <f aca="false">INDEX(SLA_Days_Col,MATCH(A630,ShipMode_Col,0))</f>
        <v>6</v>
      </c>
    </row>
    <row r="631" customFormat="false" ht="15" hidden="false" customHeight="false" outlineLevel="0" collapsed="false">
      <c r="A631" s="16" t="s">
        <v>64</v>
      </c>
      <c r="B631" s="16" t="s">
        <v>50</v>
      </c>
      <c r="C631" s="16" t="s">
        <v>51</v>
      </c>
      <c r="D631" s="16" t="s">
        <v>88</v>
      </c>
      <c r="E631" s="16" t="s">
        <v>60</v>
      </c>
      <c r="F631" s="16" t="n">
        <v>94122</v>
      </c>
      <c r="G631" s="16" t="s">
        <v>61</v>
      </c>
      <c r="H631" s="16" t="s">
        <v>62</v>
      </c>
      <c r="I631" s="16" t="s">
        <v>77</v>
      </c>
      <c r="J631" s="17" t="n">
        <v>13.23</v>
      </c>
      <c r="K631" s="16" t="n">
        <v>3</v>
      </c>
      <c r="L631" s="18" t="n">
        <v>0</v>
      </c>
      <c r="M631" s="19" t="n">
        <v>6.0858</v>
      </c>
      <c r="N631" s="16" t="str">
        <f aca="false">IF(M631&lt;0,"Loss",IF(M631&lt;50,"Low Profit",IF(M631&lt;200,"Medium Profit","High Profit")))</f>
        <v>Low Profit</v>
      </c>
      <c r="O631" s="16" t="str">
        <f aca="false">IF(J631&gt;=500,"High Value","Standard")</f>
        <v>Standard</v>
      </c>
      <c r="P631" s="16" t="str">
        <f aca="false">H631&amp;" &gt; "&amp;I631&amp;" ("&amp;K631&amp;" units)"</f>
        <v>Office Supplies &gt; Paper (3 units)</v>
      </c>
      <c r="Q631" s="16" t="str">
        <f aca="false">VLOOKUP(G631,Region_Manager_Table,2,FALSE())</f>
        <v>Sana Sheikh</v>
      </c>
      <c r="R631" s="16" t="n">
        <f aca="false">INDEX(SLA_Days_Col,MATCH(A631,ShipMode_Col,0))</f>
        <v>6</v>
      </c>
    </row>
    <row r="632" customFormat="false" ht="15" hidden="false" customHeight="false" outlineLevel="0" collapsed="false">
      <c r="A632" s="10" t="s">
        <v>49</v>
      </c>
      <c r="B632" s="10" t="s">
        <v>50</v>
      </c>
      <c r="C632" s="10" t="s">
        <v>51</v>
      </c>
      <c r="D632" s="10" t="s">
        <v>133</v>
      </c>
      <c r="E632" s="10" t="s">
        <v>134</v>
      </c>
      <c r="F632" s="10" t="n">
        <v>80013</v>
      </c>
      <c r="G632" s="10" t="s">
        <v>61</v>
      </c>
      <c r="H632" s="10" t="s">
        <v>62</v>
      </c>
      <c r="I632" s="10" t="s">
        <v>68</v>
      </c>
      <c r="J632" s="13" t="n">
        <v>243.384</v>
      </c>
      <c r="K632" s="10" t="n">
        <v>3</v>
      </c>
      <c r="L632" s="14" t="n">
        <v>0.2</v>
      </c>
      <c r="M632" s="15" t="n">
        <v>-51.7191</v>
      </c>
      <c r="N632" s="10" t="str">
        <f aca="false">IF(M632&lt;0,"Loss",IF(M632&lt;50,"Low Profit",IF(M632&lt;200,"Medium Profit","High Profit")))</f>
        <v>Loss</v>
      </c>
      <c r="O632" s="10" t="str">
        <f aca="false">IF(J632&gt;=500,"High Value","Standard")</f>
        <v>Standard</v>
      </c>
      <c r="P632" s="10" t="str">
        <f aca="false">H632&amp;" &gt; "&amp;I632&amp;" ("&amp;K632&amp;" units)"</f>
        <v>Office Supplies &gt; Storage (3 units)</v>
      </c>
      <c r="Q632" s="10" t="str">
        <f aca="false">VLOOKUP(G632,Region_Manager_Table,2,FALSE())</f>
        <v>Sana Sheikh</v>
      </c>
      <c r="R632" s="10" t="n">
        <f aca="false">INDEX(SLA_Days_Col,MATCH(A632,ShipMode_Col,0))</f>
        <v>4</v>
      </c>
    </row>
    <row r="633" customFormat="false" ht="15" hidden="false" customHeight="false" outlineLevel="0" collapsed="false">
      <c r="A633" s="16" t="s">
        <v>49</v>
      </c>
      <c r="B633" s="16" t="s">
        <v>50</v>
      </c>
      <c r="C633" s="16" t="s">
        <v>51</v>
      </c>
      <c r="D633" s="16" t="s">
        <v>133</v>
      </c>
      <c r="E633" s="16" t="s">
        <v>134</v>
      </c>
      <c r="F633" s="16" t="n">
        <v>80013</v>
      </c>
      <c r="G633" s="16" t="s">
        <v>61</v>
      </c>
      <c r="H633" s="16" t="s">
        <v>71</v>
      </c>
      <c r="I633" s="16" t="s">
        <v>95</v>
      </c>
      <c r="J633" s="17" t="n">
        <v>119.8</v>
      </c>
      <c r="K633" s="16" t="n">
        <v>5</v>
      </c>
      <c r="L633" s="18" t="n">
        <v>0.2</v>
      </c>
      <c r="M633" s="19" t="n">
        <v>29.95</v>
      </c>
      <c r="N633" s="16" t="str">
        <f aca="false">IF(M633&lt;0,"Loss",IF(M633&lt;50,"Low Profit",IF(M633&lt;200,"Medium Profit","High Profit")))</f>
        <v>Low Profit</v>
      </c>
      <c r="O633" s="16" t="str">
        <f aca="false">IF(J633&gt;=500,"High Value","Standard")</f>
        <v>Standard</v>
      </c>
      <c r="P633" s="16" t="str">
        <f aca="false">H633&amp;" &gt; "&amp;I633&amp;" ("&amp;K633&amp;" units)"</f>
        <v>Technology &gt; Accessories (5 units)</v>
      </c>
      <c r="Q633" s="16" t="str">
        <f aca="false">VLOOKUP(G633,Region_Manager_Table,2,FALSE())</f>
        <v>Sana Sheikh</v>
      </c>
      <c r="R633" s="16" t="n">
        <f aca="false">INDEX(SLA_Days_Col,MATCH(A633,ShipMode_Col,0))</f>
        <v>4</v>
      </c>
    </row>
    <row r="634" customFormat="false" ht="15" hidden="false" customHeight="false" outlineLevel="0" collapsed="false">
      <c r="A634" s="10" t="s">
        <v>49</v>
      </c>
      <c r="B634" s="10" t="s">
        <v>50</v>
      </c>
      <c r="C634" s="10" t="s">
        <v>51</v>
      </c>
      <c r="D634" s="10" t="s">
        <v>133</v>
      </c>
      <c r="E634" s="10" t="s">
        <v>134</v>
      </c>
      <c r="F634" s="10" t="n">
        <v>80013</v>
      </c>
      <c r="G634" s="10" t="s">
        <v>61</v>
      </c>
      <c r="H634" s="10" t="s">
        <v>71</v>
      </c>
      <c r="I634" s="10" t="s">
        <v>72</v>
      </c>
      <c r="J634" s="13" t="n">
        <v>300.768</v>
      </c>
      <c r="K634" s="10" t="n">
        <v>4</v>
      </c>
      <c r="L634" s="14" t="n">
        <v>0.2</v>
      </c>
      <c r="M634" s="15" t="n">
        <v>30.0768</v>
      </c>
      <c r="N634" s="10" t="str">
        <f aca="false">IF(M634&lt;0,"Loss",IF(M634&lt;50,"Low Profit",IF(M634&lt;200,"Medium Profit","High Profit")))</f>
        <v>Low Profit</v>
      </c>
      <c r="O634" s="10" t="str">
        <f aca="false">IF(J634&gt;=500,"High Value","Standard")</f>
        <v>Standard</v>
      </c>
      <c r="P634" s="10" t="str">
        <f aca="false">H634&amp;" &gt; "&amp;I634&amp;" ("&amp;K634&amp;" units)"</f>
        <v>Technology &gt; Phones (4 units)</v>
      </c>
      <c r="Q634" s="10" t="str">
        <f aca="false">VLOOKUP(G634,Region_Manager_Table,2,FALSE())</f>
        <v>Sana Sheikh</v>
      </c>
      <c r="R634" s="10" t="n">
        <f aca="false">INDEX(SLA_Days_Col,MATCH(A634,ShipMode_Col,0))</f>
        <v>4</v>
      </c>
    </row>
    <row r="635" customFormat="false" ht="15" hidden="false" customHeight="false" outlineLevel="0" collapsed="false">
      <c r="A635" s="16" t="s">
        <v>49</v>
      </c>
      <c r="B635" s="16" t="s">
        <v>50</v>
      </c>
      <c r="C635" s="16" t="s">
        <v>51</v>
      </c>
      <c r="D635" s="16" t="s">
        <v>216</v>
      </c>
      <c r="E635" s="16" t="s">
        <v>66</v>
      </c>
      <c r="F635" s="16" t="n">
        <v>33180</v>
      </c>
      <c r="G635" s="16" t="s">
        <v>54</v>
      </c>
      <c r="H635" s="16" t="s">
        <v>71</v>
      </c>
      <c r="I635" s="16" t="s">
        <v>95</v>
      </c>
      <c r="J635" s="17" t="n">
        <v>17.88</v>
      </c>
      <c r="K635" s="16" t="n">
        <v>3</v>
      </c>
      <c r="L635" s="18" t="n">
        <v>0.2</v>
      </c>
      <c r="M635" s="19" t="n">
        <v>2.4585</v>
      </c>
      <c r="N635" s="16" t="str">
        <f aca="false">IF(M635&lt;0,"Loss",IF(M635&lt;50,"Low Profit",IF(M635&lt;200,"Medium Profit","High Profit")))</f>
        <v>Low Profit</v>
      </c>
      <c r="O635" s="16" t="str">
        <f aca="false">IF(J635&gt;=500,"High Value","Standard")</f>
        <v>Standard</v>
      </c>
      <c r="P635" s="16" t="str">
        <f aca="false">H635&amp;" &gt; "&amp;I635&amp;" ("&amp;K635&amp;" units)"</f>
        <v>Technology &gt; Accessories (3 units)</v>
      </c>
      <c r="Q635" s="16" t="str">
        <f aca="false">VLOOKUP(G635,Region_Manager_Table,2,FALSE())</f>
        <v>Karthik Iyer</v>
      </c>
      <c r="R635" s="16" t="n">
        <f aca="false">INDEX(SLA_Days_Col,MATCH(A635,ShipMode_Col,0))</f>
        <v>4</v>
      </c>
    </row>
    <row r="636" customFormat="false" ht="15" hidden="false" customHeight="false" outlineLevel="0" collapsed="false">
      <c r="A636" s="10" t="s">
        <v>49</v>
      </c>
      <c r="B636" s="10" t="s">
        <v>50</v>
      </c>
      <c r="C636" s="10" t="s">
        <v>51</v>
      </c>
      <c r="D636" s="10" t="s">
        <v>216</v>
      </c>
      <c r="E636" s="10" t="s">
        <v>66</v>
      </c>
      <c r="F636" s="10" t="n">
        <v>33180</v>
      </c>
      <c r="G636" s="10" t="s">
        <v>54</v>
      </c>
      <c r="H636" s="10" t="s">
        <v>62</v>
      </c>
      <c r="I636" s="10" t="s">
        <v>63</v>
      </c>
      <c r="J636" s="13" t="n">
        <v>235.944</v>
      </c>
      <c r="K636" s="10" t="n">
        <v>3</v>
      </c>
      <c r="L636" s="14" t="n">
        <v>0.2</v>
      </c>
      <c r="M636" s="15" t="n">
        <v>85.5297</v>
      </c>
      <c r="N636" s="10" t="str">
        <f aca="false">IF(M636&lt;0,"Loss",IF(M636&lt;50,"Low Profit",IF(M636&lt;200,"Medium Profit","High Profit")))</f>
        <v>Medium Profit</v>
      </c>
      <c r="O636" s="10" t="str">
        <f aca="false">IF(J636&gt;=500,"High Value","Standard")</f>
        <v>Standard</v>
      </c>
      <c r="P636" s="10" t="str">
        <f aca="false">H636&amp;" &gt; "&amp;I636&amp;" ("&amp;K636&amp;" units)"</f>
        <v>Office Supplies &gt; Labels (3 units)</v>
      </c>
      <c r="Q636" s="10" t="str">
        <f aca="false">VLOOKUP(G636,Region_Manager_Table,2,FALSE())</f>
        <v>Karthik Iyer</v>
      </c>
      <c r="R636" s="10" t="n">
        <f aca="false">INDEX(SLA_Days_Col,MATCH(A636,ShipMode_Col,0))</f>
        <v>4</v>
      </c>
    </row>
    <row r="637" customFormat="false" ht="15" hidden="false" customHeight="false" outlineLevel="0" collapsed="false">
      <c r="A637" s="16" t="s">
        <v>49</v>
      </c>
      <c r="B637" s="16" t="s">
        <v>58</v>
      </c>
      <c r="C637" s="16" t="s">
        <v>51</v>
      </c>
      <c r="D637" s="16" t="s">
        <v>250</v>
      </c>
      <c r="E637" s="16" t="s">
        <v>203</v>
      </c>
      <c r="F637" s="16" t="n">
        <v>31088</v>
      </c>
      <c r="G637" s="16" t="s">
        <v>54</v>
      </c>
      <c r="H637" s="16" t="s">
        <v>55</v>
      </c>
      <c r="I637" s="16" t="s">
        <v>57</v>
      </c>
      <c r="J637" s="17" t="n">
        <v>392.94</v>
      </c>
      <c r="K637" s="16" t="n">
        <v>3</v>
      </c>
      <c r="L637" s="18" t="n">
        <v>0</v>
      </c>
      <c r="M637" s="19" t="n">
        <v>43.2234</v>
      </c>
      <c r="N637" s="16" t="str">
        <f aca="false">IF(M637&lt;0,"Loss",IF(M637&lt;50,"Low Profit",IF(M637&lt;200,"Medium Profit","High Profit")))</f>
        <v>Low Profit</v>
      </c>
      <c r="O637" s="16" t="str">
        <f aca="false">IF(J637&gt;=500,"High Value","Standard")</f>
        <v>Standard</v>
      </c>
      <c r="P637" s="16" t="str">
        <f aca="false">H637&amp;" &gt; "&amp;I637&amp;" ("&amp;K637&amp;" units)"</f>
        <v>Furniture &gt; Chairs (3 units)</v>
      </c>
      <c r="Q637" s="16" t="str">
        <f aca="false">VLOOKUP(G637,Region_Manager_Table,2,FALSE())</f>
        <v>Karthik Iyer</v>
      </c>
      <c r="R637" s="16" t="n">
        <f aca="false">INDEX(SLA_Days_Col,MATCH(A637,ShipMode_Col,0))</f>
        <v>4</v>
      </c>
    </row>
    <row r="638" customFormat="false" ht="15" hidden="false" customHeight="false" outlineLevel="0" collapsed="false">
      <c r="A638" s="10" t="s">
        <v>64</v>
      </c>
      <c r="B638" s="10" t="s">
        <v>50</v>
      </c>
      <c r="C638" s="10" t="s">
        <v>51</v>
      </c>
      <c r="D638" s="10" t="s">
        <v>133</v>
      </c>
      <c r="E638" s="10" t="s">
        <v>134</v>
      </c>
      <c r="F638" s="10" t="n">
        <v>80013</v>
      </c>
      <c r="G638" s="10" t="s">
        <v>61</v>
      </c>
      <c r="H638" s="10" t="s">
        <v>62</v>
      </c>
      <c r="I638" s="10" t="s">
        <v>73</v>
      </c>
      <c r="J638" s="13" t="n">
        <v>18.882</v>
      </c>
      <c r="K638" s="10" t="n">
        <v>3</v>
      </c>
      <c r="L638" s="14" t="n">
        <v>0.7</v>
      </c>
      <c r="M638" s="15" t="n">
        <v>-13.8468</v>
      </c>
      <c r="N638" s="10" t="str">
        <f aca="false">IF(M638&lt;0,"Loss",IF(M638&lt;50,"Low Profit",IF(M638&lt;200,"Medium Profit","High Profit")))</f>
        <v>Loss</v>
      </c>
      <c r="O638" s="10" t="str">
        <f aca="false">IF(J638&gt;=500,"High Value","Standard")</f>
        <v>Standard</v>
      </c>
      <c r="P638" s="10" t="str">
        <f aca="false">H638&amp;" &gt; "&amp;I638&amp;" ("&amp;K638&amp;" units)"</f>
        <v>Office Supplies &gt; Binders (3 units)</v>
      </c>
      <c r="Q638" s="10" t="str">
        <f aca="false">VLOOKUP(G638,Region_Manager_Table,2,FALSE())</f>
        <v>Sana Sheikh</v>
      </c>
      <c r="R638" s="10" t="n">
        <f aca="false">INDEX(SLA_Days_Col,MATCH(A638,ShipMode_Col,0))</f>
        <v>6</v>
      </c>
    </row>
    <row r="639" customFormat="false" ht="15" hidden="false" customHeight="false" outlineLevel="0" collapsed="false">
      <c r="A639" s="16" t="s">
        <v>64</v>
      </c>
      <c r="B639" s="16" t="s">
        <v>50</v>
      </c>
      <c r="C639" s="16" t="s">
        <v>51</v>
      </c>
      <c r="D639" s="16" t="s">
        <v>133</v>
      </c>
      <c r="E639" s="16" t="s">
        <v>134</v>
      </c>
      <c r="F639" s="16" t="n">
        <v>80013</v>
      </c>
      <c r="G639" s="16" t="s">
        <v>61</v>
      </c>
      <c r="H639" s="16" t="s">
        <v>62</v>
      </c>
      <c r="I639" s="16" t="s">
        <v>74</v>
      </c>
      <c r="J639" s="17" t="n">
        <v>122.328</v>
      </c>
      <c r="K639" s="16" t="n">
        <v>3</v>
      </c>
      <c r="L639" s="18" t="n">
        <v>0.2</v>
      </c>
      <c r="M639" s="19" t="n">
        <v>12.2328</v>
      </c>
      <c r="N639" s="16" t="str">
        <f aca="false">IF(M639&lt;0,"Loss",IF(M639&lt;50,"Low Profit",IF(M639&lt;200,"Medium Profit","High Profit")))</f>
        <v>Low Profit</v>
      </c>
      <c r="O639" s="16" t="str">
        <f aca="false">IF(J639&gt;=500,"High Value","Standard")</f>
        <v>Standard</v>
      </c>
      <c r="P639" s="16" t="str">
        <f aca="false">H639&amp;" &gt; "&amp;I639&amp;" ("&amp;K639&amp;" units)"</f>
        <v>Office Supplies &gt; Appliances (3 units)</v>
      </c>
      <c r="Q639" s="16" t="str">
        <f aca="false">VLOOKUP(G639,Region_Manager_Table,2,FALSE())</f>
        <v>Sana Sheikh</v>
      </c>
      <c r="R639" s="16" t="n">
        <f aca="false">INDEX(SLA_Days_Col,MATCH(A639,ShipMode_Col,0))</f>
        <v>6</v>
      </c>
    </row>
    <row r="640" customFormat="false" ht="15" hidden="false" customHeight="false" outlineLevel="0" collapsed="false">
      <c r="A640" s="10" t="s">
        <v>64</v>
      </c>
      <c r="B640" s="10" t="s">
        <v>80</v>
      </c>
      <c r="C640" s="10" t="s">
        <v>51</v>
      </c>
      <c r="D640" s="10" t="s">
        <v>251</v>
      </c>
      <c r="E640" s="10" t="s">
        <v>60</v>
      </c>
      <c r="F640" s="10" t="n">
        <v>94591</v>
      </c>
      <c r="G640" s="10" t="s">
        <v>61</v>
      </c>
      <c r="H640" s="10" t="s">
        <v>55</v>
      </c>
      <c r="I640" s="10" t="s">
        <v>69</v>
      </c>
      <c r="J640" s="13" t="n">
        <v>1049.2</v>
      </c>
      <c r="K640" s="10" t="n">
        <v>5</v>
      </c>
      <c r="L640" s="14" t="n">
        <v>0</v>
      </c>
      <c r="M640" s="15" t="n">
        <v>272.792</v>
      </c>
      <c r="N640" s="10" t="str">
        <f aca="false">IF(M640&lt;0,"Loss",IF(M640&lt;50,"Low Profit",IF(M640&lt;200,"Medium Profit","High Profit")))</f>
        <v>High Profit</v>
      </c>
      <c r="O640" s="10" t="str">
        <f aca="false">IF(J640&gt;=500,"High Value","Standard")</f>
        <v>High Value</v>
      </c>
      <c r="P640" s="10" t="str">
        <f aca="false">H640&amp;" &gt; "&amp;I640&amp;" ("&amp;K640&amp;" units)"</f>
        <v>Furniture &gt; Furnishings (5 units)</v>
      </c>
      <c r="Q640" s="10" t="str">
        <f aca="false">VLOOKUP(G640,Region_Manager_Table,2,FALSE())</f>
        <v>Sana Sheikh</v>
      </c>
      <c r="R640" s="10" t="n">
        <f aca="false">INDEX(SLA_Days_Col,MATCH(A640,ShipMode_Col,0))</f>
        <v>6</v>
      </c>
    </row>
    <row r="641" customFormat="false" ht="15" hidden="false" customHeight="false" outlineLevel="0" collapsed="false">
      <c r="A641" s="16" t="s">
        <v>64</v>
      </c>
      <c r="B641" s="16" t="s">
        <v>80</v>
      </c>
      <c r="C641" s="16" t="s">
        <v>51</v>
      </c>
      <c r="D641" s="16" t="s">
        <v>251</v>
      </c>
      <c r="E641" s="16" t="s">
        <v>60</v>
      </c>
      <c r="F641" s="16" t="n">
        <v>94591</v>
      </c>
      <c r="G641" s="16" t="s">
        <v>61</v>
      </c>
      <c r="H641" s="16" t="s">
        <v>62</v>
      </c>
      <c r="I641" s="16" t="s">
        <v>73</v>
      </c>
      <c r="J641" s="17" t="n">
        <v>15.424</v>
      </c>
      <c r="K641" s="16" t="n">
        <v>4</v>
      </c>
      <c r="L641" s="18" t="n">
        <v>0.2</v>
      </c>
      <c r="M641" s="19" t="n">
        <v>5.0128</v>
      </c>
      <c r="N641" s="16" t="str">
        <f aca="false">IF(M641&lt;0,"Loss",IF(M641&lt;50,"Low Profit",IF(M641&lt;200,"Medium Profit","High Profit")))</f>
        <v>Low Profit</v>
      </c>
      <c r="O641" s="16" t="str">
        <f aca="false">IF(J641&gt;=500,"High Value","Standard")</f>
        <v>Standard</v>
      </c>
      <c r="P641" s="16" t="str">
        <f aca="false">H641&amp;" &gt; "&amp;I641&amp;" ("&amp;K641&amp;" units)"</f>
        <v>Office Supplies &gt; Binders (4 units)</v>
      </c>
      <c r="Q641" s="16" t="str">
        <f aca="false">VLOOKUP(G641,Region_Manager_Table,2,FALSE())</f>
        <v>Sana Sheikh</v>
      </c>
      <c r="R641" s="16" t="n">
        <f aca="false">INDEX(SLA_Days_Col,MATCH(A641,ShipMode_Col,0))</f>
        <v>6</v>
      </c>
    </row>
    <row r="642" customFormat="false" ht="15" hidden="false" customHeight="false" outlineLevel="0" collapsed="false">
      <c r="A642" s="10" t="s">
        <v>64</v>
      </c>
      <c r="B642" s="10" t="s">
        <v>58</v>
      </c>
      <c r="C642" s="10" t="s">
        <v>51</v>
      </c>
      <c r="D642" s="10" t="s">
        <v>129</v>
      </c>
      <c r="E642" s="10" t="s">
        <v>104</v>
      </c>
      <c r="F642" s="10" t="n">
        <v>55407</v>
      </c>
      <c r="G642" s="10" t="s">
        <v>83</v>
      </c>
      <c r="H642" s="10" t="s">
        <v>55</v>
      </c>
      <c r="I642" s="10" t="s">
        <v>69</v>
      </c>
      <c r="J642" s="13" t="n">
        <v>18.84</v>
      </c>
      <c r="K642" s="10" t="n">
        <v>3</v>
      </c>
      <c r="L642" s="14" t="n">
        <v>0</v>
      </c>
      <c r="M642" s="15" t="n">
        <v>6.0288</v>
      </c>
      <c r="N642" s="10" t="str">
        <f aca="false">IF(M642&lt;0,"Loss",IF(M642&lt;50,"Low Profit",IF(M642&lt;200,"Medium Profit","High Profit")))</f>
        <v>Low Profit</v>
      </c>
      <c r="O642" s="10" t="str">
        <f aca="false">IF(J642&gt;=500,"High Value","Standard")</f>
        <v>Standard</v>
      </c>
      <c r="P642" s="10" t="str">
        <f aca="false">H642&amp;" &gt; "&amp;I642&amp;" ("&amp;K642&amp;" units)"</f>
        <v>Furniture &gt; Furnishings (3 units)</v>
      </c>
      <c r="Q642" s="10" t="str">
        <f aca="false">VLOOKUP(G642,Region_Manager_Table,2,FALSE())</f>
        <v>Aditya Rao</v>
      </c>
      <c r="R642" s="10" t="n">
        <f aca="false">INDEX(SLA_Days_Col,MATCH(A642,ShipMode_Col,0))</f>
        <v>6</v>
      </c>
    </row>
    <row r="643" customFormat="false" ht="15" hidden="false" customHeight="false" outlineLevel="0" collapsed="false">
      <c r="A643" s="16" t="s">
        <v>49</v>
      </c>
      <c r="B643" s="16" t="s">
        <v>50</v>
      </c>
      <c r="C643" s="16" t="s">
        <v>51</v>
      </c>
      <c r="D643" s="16" t="s">
        <v>252</v>
      </c>
      <c r="E643" s="16" t="s">
        <v>60</v>
      </c>
      <c r="F643" s="16" t="n">
        <v>92691</v>
      </c>
      <c r="G643" s="16" t="s">
        <v>61</v>
      </c>
      <c r="H643" s="16" t="s">
        <v>62</v>
      </c>
      <c r="I643" s="16" t="s">
        <v>68</v>
      </c>
      <c r="J643" s="17" t="n">
        <v>330.4</v>
      </c>
      <c r="K643" s="16" t="n">
        <v>2</v>
      </c>
      <c r="L643" s="18" t="n">
        <v>0</v>
      </c>
      <c r="M643" s="19" t="n">
        <v>85.904</v>
      </c>
      <c r="N643" s="16" t="str">
        <f aca="false">IF(M643&lt;0,"Loss",IF(M643&lt;50,"Low Profit",IF(M643&lt;200,"Medium Profit","High Profit")))</f>
        <v>Medium Profit</v>
      </c>
      <c r="O643" s="16" t="str">
        <f aca="false">IF(J643&gt;=500,"High Value","Standard")</f>
        <v>Standard</v>
      </c>
      <c r="P643" s="16" t="str">
        <f aca="false">H643&amp;" &gt; "&amp;I643&amp;" ("&amp;K643&amp;" units)"</f>
        <v>Office Supplies &gt; Storage (2 units)</v>
      </c>
      <c r="Q643" s="16" t="str">
        <f aca="false">VLOOKUP(G643,Region_Manager_Table,2,FALSE())</f>
        <v>Sana Sheikh</v>
      </c>
      <c r="R643" s="16" t="n">
        <f aca="false">INDEX(SLA_Days_Col,MATCH(A643,ShipMode_Col,0))</f>
        <v>4</v>
      </c>
    </row>
    <row r="644" customFormat="false" ht="15" hidden="false" customHeight="false" outlineLevel="0" collapsed="false">
      <c r="A644" s="10" t="s">
        <v>49</v>
      </c>
      <c r="B644" s="10" t="s">
        <v>50</v>
      </c>
      <c r="C644" s="10" t="s">
        <v>51</v>
      </c>
      <c r="D644" s="10" t="s">
        <v>252</v>
      </c>
      <c r="E644" s="10" t="s">
        <v>60</v>
      </c>
      <c r="F644" s="10" t="n">
        <v>92691</v>
      </c>
      <c r="G644" s="10" t="s">
        <v>61</v>
      </c>
      <c r="H644" s="10" t="s">
        <v>62</v>
      </c>
      <c r="I644" s="10" t="s">
        <v>63</v>
      </c>
      <c r="J644" s="13" t="n">
        <v>26.25</v>
      </c>
      <c r="K644" s="10" t="n">
        <v>7</v>
      </c>
      <c r="L644" s="14" t="n">
        <v>0</v>
      </c>
      <c r="M644" s="15" t="n">
        <v>12.6</v>
      </c>
      <c r="N644" s="10" t="str">
        <f aca="false">IF(M644&lt;0,"Loss",IF(M644&lt;50,"Low Profit",IF(M644&lt;200,"Medium Profit","High Profit")))</f>
        <v>Low Profit</v>
      </c>
      <c r="O644" s="10" t="str">
        <f aca="false">IF(J644&gt;=500,"High Value","Standard")</f>
        <v>Standard</v>
      </c>
      <c r="P644" s="10" t="str">
        <f aca="false">H644&amp;" &gt; "&amp;I644&amp;" ("&amp;K644&amp;" units)"</f>
        <v>Office Supplies &gt; Labels (7 units)</v>
      </c>
      <c r="Q644" s="10" t="str">
        <f aca="false">VLOOKUP(G644,Region_Manager_Table,2,FALSE())</f>
        <v>Sana Sheikh</v>
      </c>
      <c r="R644" s="10" t="n">
        <f aca="false">INDEX(SLA_Days_Col,MATCH(A644,ShipMode_Col,0))</f>
        <v>4</v>
      </c>
    </row>
    <row r="645" customFormat="false" ht="15" hidden="false" customHeight="false" outlineLevel="0" collapsed="false">
      <c r="A645" s="16" t="s">
        <v>64</v>
      </c>
      <c r="B645" s="16" t="s">
        <v>50</v>
      </c>
      <c r="C645" s="16" t="s">
        <v>51</v>
      </c>
      <c r="D645" s="16" t="s">
        <v>253</v>
      </c>
      <c r="E645" s="16" t="s">
        <v>106</v>
      </c>
      <c r="F645" s="16" t="n">
        <v>48307</v>
      </c>
      <c r="G645" s="16" t="s">
        <v>83</v>
      </c>
      <c r="H645" s="16" t="s">
        <v>71</v>
      </c>
      <c r="I645" s="16" t="s">
        <v>95</v>
      </c>
      <c r="J645" s="17" t="n">
        <v>132.52</v>
      </c>
      <c r="K645" s="16" t="n">
        <v>4</v>
      </c>
      <c r="L645" s="18" t="n">
        <v>0</v>
      </c>
      <c r="M645" s="19" t="n">
        <v>54.3332</v>
      </c>
      <c r="N645" s="16" t="str">
        <f aca="false">IF(M645&lt;0,"Loss",IF(M645&lt;50,"Low Profit",IF(M645&lt;200,"Medium Profit","High Profit")))</f>
        <v>Medium Profit</v>
      </c>
      <c r="O645" s="16" t="str">
        <f aca="false">IF(J645&gt;=500,"High Value","Standard")</f>
        <v>Standard</v>
      </c>
      <c r="P645" s="16" t="str">
        <f aca="false">H645&amp;" &gt; "&amp;I645&amp;" ("&amp;K645&amp;" units)"</f>
        <v>Technology &gt; Accessories (4 units)</v>
      </c>
      <c r="Q645" s="16" t="str">
        <f aca="false">VLOOKUP(G645,Region_Manager_Table,2,FALSE())</f>
        <v>Aditya Rao</v>
      </c>
      <c r="R645" s="16" t="n">
        <f aca="false">INDEX(SLA_Days_Col,MATCH(A645,ShipMode_Col,0))</f>
        <v>6</v>
      </c>
    </row>
    <row r="646" customFormat="false" ht="15" hidden="false" customHeight="false" outlineLevel="0" collapsed="false">
      <c r="A646" s="10" t="s">
        <v>64</v>
      </c>
      <c r="B646" s="10" t="s">
        <v>80</v>
      </c>
      <c r="C646" s="10" t="s">
        <v>51</v>
      </c>
      <c r="D646" s="10" t="s">
        <v>254</v>
      </c>
      <c r="E646" s="10" t="s">
        <v>168</v>
      </c>
      <c r="F646" s="10" t="n">
        <v>7060</v>
      </c>
      <c r="G646" s="10" t="s">
        <v>93</v>
      </c>
      <c r="H646" s="10" t="s">
        <v>62</v>
      </c>
      <c r="I646" s="10" t="s">
        <v>77</v>
      </c>
      <c r="J646" s="13" t="n">
        <v>6.48</v>
      </c>
      <c r="K646" s="10" t="n">
        <v>1</v>
      </c>
      <c r="L646" s="14" t="n">
        <v>0</v>
      </c>
      <c r="M646" s="15" t="n">
        <v>3.1752</v>
      </c>
      <c r="N646" s="10" t="str">
        <f aca="false">IF(M646&lt;0,"Loss",IF(M646&lt;50,"Low Profit",IF(M646&lt;200,"Medium Profit","High Profit")))</f>
        <v>Low Profit</v>
      </c>
      <c r="O646" s="10" t="str">
        <f aca="false">IF(J646&gt;=500,"High Value","Standard")</f>
        <v>Standard</v>
      </c>
      <c r="P646" s="10" t="str">
        <f aca="false">H646&amp;" &gt; "&amp;I646&amp;" ("&amp;K646&amp;" units)"</f>
        <v>Office Supplies &gt; Paper (1 units)</v>
      </c>
      <c r="Q646" s="10" t="str">
        <f aca="false">VLOOKUP(G646,Region_Manager_Table,2,FALSE())</f>
        <v>Priya Menon</v>
      </c>
      <c r="R646" s="10" t="n">
        <f aca="false">INDEX(SLA_Days_Col,MATCH(A646,ShipMode_Col,0))</f>
        <v>6</v>
      </c>
    </row>
    <row r="647" customFormat="false" ht="15" hidden="false" customHeight="false" outlineLevel="0" collapsed="false">
      <c r="A647" s="16" t="s">
        <v>64</v>
      </c>
      <c r="B647" s="16" t="s">
        <v>80</v>
      </c>
      <c r="C647" s="16" t="s">
        <v>51</v>
      </c>
      <c r="D647" s="16" t="s">
        <v>139</v>
      </c>
      <c r="E647" s="16" t="s">
        <v>110</v>
      </c>
      <c r="F647" s="16" t="n">
        <v>47201</v>
      </c>
      <c r="G647" s="16" t="s">
        <v>83</v>
      </c>
      <c r="H647" s="16" t="s">
        <v>62</v>
      </c>
      <c r="I647" s="16" t="s">
        <v>74</v>
      </c>
      <c r="J647" s="17" t="n">
        <v>209.3</v>
      </c>
      <c r="K647" s="16" t="n">
        <v>2</v>
      </c>
      <c r="L647" s="18" t="n">
        <v>0</v>
      </c>
      <c r="M647" s="19" t="n">
        <v>56.511</v>
      </c>
      <c r="N647" s="16" t="str">
        <f aca="false">IF(M647&lt;0,"Loss",IF(M647&lt;50,"Low Profit",IF(M647&lt;200,"Medium Profit","High Profit")))</f>
        <v>Medium Profit</v>
      </c>
      <c r="O647" s="16" t="str">
        <f aca="false">IF(J647&gt;=500,"High Value","Standard")</f>
        <v>Standard</v>
      </c>
      <c r="P647" s="16" t="str">
        <f aca="false">H647&amp;" &gt; "&amp;I647&amp;" ("&amp;K647&amp;" units)"</f>
        <v>Office Supplies &gt; Appliances (2 units)</v>
      </c>
      <c r="Q647" s="16" t="str">
        <f aca="false">VLOOKUP(G647,Region_Manager_Table,2,FALSE())</f>
        <v>Aditya Rao</v>
      </c>
      <c r="R647" s="16" t="n">
        <f aca="false">INDEX(SLA_Days_Col,MATCH(A647,ShipMode_Col,0))</f>
        <v>6</v>
      </c>
    </row>
    <row r="648" customFormat="false" ht="15" hidden="false" customHeight="false" outlineLevel="0" collapsed="false">
      <c r="A648" s="10" t="s">
        <v>64</v>
      </c>
      <c r="B648" s="10" t="s">
        <v>58</v>
      </c>
      <c r="C648" s="10" t="s">
        <v>51</v>
      </c>
      <c r="D648" s="10" t="s">
        <v>255</v>
      </c>
      <c r="E648" s="10" t="s">
        <v>117</v>
      </c>
      <c r="F648" s="10" t="n">
        <v>85635</v>
      </c>
      <c r="G648" s="10" t="s">
        <v>61</v>
      </c>
      <c r="H648" s="10" t="s">
        <v>62</v>
      </c>
      <c r="I648" s="10" t="s">
        <v>113</v>
      </c>
      <c r="J648" s="13" t="n">
        <v>31.56</v>
      </c>
      <c r="K648" s="10" t="n">
        <v>5</v>
      </c>
      <c r="L648" s="14" t="n">
        <v>0.2</v>
      </c>
      <c r="M648" s="15" t="n">
        <v>9.8625</v>
      </c>
      <c r="N648" s="10" t="str">
        <f aca="false">IF(M648&lt;0,"Loss",IF(M648&lt;50,"Low Profit",IF(M648&lt;200,"Medium Profit","High Profit")))</f>
        <v>Low Profit</v>
      </c>
      <c r="O648" s="10" t="str">
        <f aca="false">IF(J648&gt;=500,"High Value","Standard")</f>
        <v>Standard</v>
      </c>
      <c r="P648" s="10" t="str">
        <f aca="false">H648&amp;" &gt; "&amp;I648&amp;" ("&amp;K648&amp;" units)"</f>
        <v>Office Supplies &gt; Fasteners (5 units)</v>
      </c>
      <c r="Q648" s="10" t="str">
        <f aca="false">VLOOKUP(G648,Region_Manager_Table,2,FALSE())</f>
        <v>Sana Sheikh</v>
      </c>
      <c r="R648" s="10" t="n">
        <f aca="false">INDEX(SLA_Days_Col,MATCH(A648,ShipMode_Col,0))</f>
        <v>6</v>
      </c>
    </row>
    <row r="649" customFormat="false" ht="15" hidden="false" customHeight="false" outlineLevel="0" collapsed="false">
      <c r="A649" s="16" t="s">
        <v>64</v>
      </c>
      <c r="B649" s="16" t="s">
        <v>58</v>
      </c>
      <c r="C649" s="16" t="s">
        <v>51</v>
      </c>
      <c r="D649" s="16" t="s">
        <v>255</v>
      </c>
      <c r="E649" s="16" t="s">
        <v>117</v>
      </c>
      <c r="F649" s="16" t="n">
        <v>85635</v>
      </c>
      <c r="G649" s="16" t="s">
        <v>61</v>
      </c>
      <c r="H649" s="16" t="s">
        <v>62</v>
      </c>
      <c r="I649" s="16" t="s">
        <v>74</v>
      </c>
      <c r="J649" s="17" t="n">
        <v>30.144</v>
      </c>
      <c r="K649" s="16" t="n">
        <v>2</v>
      </c>
      <c r="L649" s="18" t="n">
        <v>0.2</v>
      </c>
      <c r="M649" s="19" t="n">
        <v>3.0144</v>
      </c>
      <c r="N649" s="16" t="str">
        <f aca="false">IF(M649&lt;0,"Loss",IF(M649&lt;50,"Low Profit",IF(M649&lt;200,"Medium Profit","High Profit")))</f>
        <v>Low Profit</v>
      </c>
      <c r="O649" s="16" t="str">
        <f aca="false">IF(J649&gt;=500,"High Value","Standard")</f>
        <v>Standard</v>
      </c>
      <c r="P649" s="16" t="str">
        <f aca="false">H649&amp;" &gt; "&amp;I649&amp;" ("&amp;K649&amp;" units)"</f>
        <v>Office Supplies &gt; Appliances (2 units)</v>
      </c>
      <c r="Q649" s="16" t="str">
        <f aca="false">VLOOKUP(G649,Region_Manager_Table,2,FALSE())</f>
        <v>Sana Sheikh</v>
      </c>
      <c r="R649" s="16" t="n">
        <f aca="false">INDEX(SLA_Days_Col,MATCH(A649,ShipMode_Col,0))</f>
        <v>6</v>
      </c>
    </row>
    <row r="650" customFormat="false" ht="15" hidden="false" customHeight="false" outlineLevel="0" collapsed="false">
      <c r="A650" s="10" t="s">
        <v>49</v>
      </c>
      <c r="B650" s="10" t="s">
        <v>58</v>
      </c>
      <c r="C650" s="10" t="s">
        <v>51</v>
      </c>
      <c r="D650" s="10" t="s">
        <v>256</v>
      </c>
      <c r="E650" s="10" t="s">
        <v>79</v>
      </c>
      <c r="F650" s="10" t="n">
        <v>98661</v>
      </c>
      <c r="G650" s="10" t="s">
        <v>61</v>
      </c>
      <c r="H650" s="10" t="s">
        <v>55</v>
      </c>
      <c r="I650" s="10" t="s">
        <v>69</v>
      </c>
      <c r="J650" s="13" t="n">
        <v>14.8</v>
      </c>
      <c r="K650" s="10" t="n">
        <v>4</v>
      </c>
      <c r="L650" s="14" t="n">
        <v>0</v>
      </c>
      <c r="M650" s="15" t="n">
        <v>6.068</v>
      </c>
      <c r="N650" s="10" t="str">
        <f aca="false">IF(M650&lt;0,"Loss",IF(M650&lt;50,"Low Profit",IF(M650&lt;200,"Medium Profit","High Profit")))</f>
        <v>Low Profit</v>
      </c>
      <c r="O650" s="10" t="str">
        <f aca="false">IF(J650&gt;=500,"High Value","Standard")</f>
        <v>Standard</v>
      </c>
      <c r="P650" s="10" t="str">
        <f aca="false">H650&amp;" &gt; "&amp;I650&amp;" ("&amp;K650&amp;" units)"</f>
        <v>Furniture &gt; Furnishings (4 units)</v>
      </c>
      <c r="Q650" s="10" t="str">
        <f aca="false">VLOOKUP(G650,Region_Manager_Table,2,FALSE())</f>
        <v>Sana Sheikh</v>
      </c>
      <c r="R650" s="10" t="n">
        <f aca="false">INDEX(SLA_Days_Col,MATCH(A650,ShipMode_Col,0))</f>
        <v>4</v>
      </c>
    </row>
    <row r="651" customFormat="false" ht="15" hidden="false" customHeight="false" outlineLevel="0" collapsed="false">
      <c r="A651" s="16" t="s">
        <v>49</v>
      </c>
      <c r="B651" s="16" t="s">
        <v>58</v>
      </c>
      <c r="C651" s="16" t="s">
        <v>51</v>
      </c>
      <c r="D651" s="16" t="s">
        <v>256</v>
      </c>
      <c r="E651" s="16" t="s">
        <v>79</v>
      </c>
      <c r="F651" s="16" t="n">
        <v>98661</v>
      </c>
      <c r="G651" s="16" t="s">
        <v>61</v>
      </c>
      <c r="H651" s="16" t="s">
        <v>71</v>
      </c>
      <c r="I651" s="16" t="s">
        <v>72</v>
      </c>
      <c r="J651" s="17" t="n">
        <v>302.376</v>
      </c>
      <c r="K651" s="16" t="n">
        <v>3</v>
      </c>
      <c r="L651" s="18" t="n">
        <v>0.2</v>
      </c>
      <c r="M651" s="19" t="n">
        <v>22.6782</v>
      </c>
      <c r="N651" s="16" t="str">
        <f aca="false">IF(M651&lt;0,"Loss",IF(M651&lt;50,"Low Profit",IF(M651&lt;200,"Medium Profit","High Profit")))</f>
        <v>Low Profit</v>
      </c>
      <c r="O651" s="16" t="str">
        <f aca="false">IF(J651&gt;=500,"High Value","Standard")</f>
        <v>Standard</v>
      </c>
      <c r="P651" s="16" t="str">
        <f aca="false">H651&amp;" &gt; "&amp;I651&amp;" ("&amp;K651&amp;" units)"</f>
        <v>Technology &gt; Phones (3 units)</v>
      </c>
      <c r="Q651" s="16" t="str">
        <f aca="false">VLOOKUP(G651,Region_Manager_Table,2,FALSE())</f>
        <v>Sana Sheikh</v>
      </c>
      <c r="R651" s="16" t="n">
        <f aca="false">INDEX(SLA_Days_Col,MATCH(A651,ShipMode_Col,0))</f>
        <v>4</v>
      </c>
    </row>
    <row r="652" customFormat="false" ht="15" hidden="false" customHeight="false" outlineLevel="0" collapsed="false">
      <c r="A652" s="10" t="s">
        <v>49</v>
      </c>
      <c r="B652" s="10" t="s">
        <v>58</v>
      </c>
      <c r="C652" s="10" t="s">
        <v>51</v>
      </c>
      <c r="D652" s="10" t="s">
        <v>256</v>
      </c>
      <c r="E652" s="10" t="s">
        <v>79</v>
      </c>
      <c r="F652" s="10" t="n">
        <v>98661</v>
      </c>
      <c r="G652" s="10" t="s">
        <v>61</v>
      </c>
      <c r="H652" s="10" t="s">
        <v>71</v>
      </c>
      <c r="I652" s="10" t="s">
        <v>95</v>
      </c>
      <c r="J652" s="13" t="n">
        <v>316</v>
      </c>
      <c r="K652" s="10" t="n">
        <v>4</v>
      </c>
      <c r="L652" s="14" t="n">
        <v>0</v>
      </c>
      <c r="M652" s="15" t="n">
        <v>31.6</v>
      </c>
      <c r="N652" s="10" t="str">
        <f aca="false">IF(M652&lt;0,"Loss",IF(M652&lt;50,"Low Profit",IF(M652&lt;200,"Medium Profit","High Profit")))</f>
        <v>Low Profit</v>
      </c>
      <c r="O652" s="10" t="str">
        <f aca="false">IF(J652&gt;=500,"High Value","Standard")</f>
        <v>Standard</v>
      </c>
      <c r="P652" s="10" t="str">
        <f aca="false">H652&amp;" &gt; "&amp;I652&amp;" ("&amp;K652&amp;" units)"</f>
        <v>Technology &gt; Accessories (4 units)</v>
      </c>
      <c r="Q652" s="10" t="str">
        <f aca="false">VLOOKUP(G652,Region_Manager_Table,2,FALSE())</f>
        <v>Sana Sheikh</v>
      </c>
      <c r="R652" s="10" t="n">
        <f aca="false">INDEX(SLA_Days_Col,MATCH(A652,ShipMode_Col,0))</f>
        <v>4</v>
      </c>
    </row>
    <row r="653" customFormat="false" ht="15" hidden="false" customHeight="false" outlineLevel="0" collapsed="false">
      <c r="A653" s="16" t="s">
        <v>64</v>
      </c>
      <c r="B653" s="16" t="s">
        <v>80</v>
      </c>
      <c r="C653" s="16" t="s">
        <v>51</v>
      </c>
      <c r="D653" s="16" t="s">
        <v>111</v>
      </c>
      <c r="E653" s="16" t="s">
        <v>112</v>
      </c>
      <c r="F653" s="16" t="n">
        <v>10024</v>
      </c>
      <c r="G653" s="16" t="s">
        <v>93</v>
      </c>
      <c r="H653" s="16" t="s">
        <v>62</v>
      </c>
      <c r="I653" s="16" t="s">
        <v>77</v>
      </c>
      <c r="J653" s="17" t="n">
        <v>379.4</v>
      </c>
      <c r="K653" s="16" t="n">
        <v>10</v>
      </c>
      <c r="L653" s="18" t="n">
        <v>0</v>
      </c>
      <c r="M653" s="19" t="n">
        <v>178.318</v>
      </c>
      <c r="N653" s="16" t="str">
        <f aca="false">IF(M653&lt;0,"Loss",IF(M653&lt;50,"Low Profit",IF(M653&lt;200,"Medium Profit","High Profit")))</f>
        <v>Medium Profit</v>
      </c>
      <c r="O653" s="16" t="str">
        <f aca="false">IF(J653&gt;=500,"High Value","Standard")</f>
        <v>Standard</v>
      </c>
      <c r="P653" s="16" t="str">
        <f aca="false">H653&amp;" &gt; "&amp;I653&amp;" ("&amp;K653&amp;" units)"</f>
        <v>Office Supplies &gt; Paper (10 units)</v>
      </c>
      <c r="Q653" s="16" t="str">
        <f aca="false">VLOOKUP(G653,Region_Manager_Table,2,FALSE())</f>
        <v>Priya Menon</v>
      </c>
      <c r="R653" s="16" t="n">
        <f aca="false">INDEX(SLA_Days_Col,MATCH(A653,ShipMode_Col,0))</f>
        <v>6</v>
      </c>
    </row>
    <row r="654" customFormat="false" ht="15" hidden="false" customHeight="false" outlineLevel="0" collapsed="false">
      <c r="A654" s="10" t="s">
        <v>64</v>
      </c>
      <c r="B654" s="10" t="s">
        <v>58</v>
      </c>
      <c r="C654" s="10" t="s">
        <v>51</v>
      </c>
      <c r="D654" s="10" t="s">
        <v>111</v>
      </c>
      <c r="E654" s="10" t="s">
        <v>112</v>
      </c>
      <c r="F654" s="10" t="n">
        <v>10035</v>
      </c>
      <c r="G654" s="10" t="s">
        <v>93</v>
      </c>
      <c r="H654" s="10" t="s">
        <v>62</v>
      </c>
      <c r="I654" s="10" t="s">
        <v>77</v>
      </c>
      <c r="J654" s="13" t="n">
        <v>97.82</v>
      </c>
      <c r="K654" s="10" t="n">
        <v>2</v>
      </c>
      <c r="L654" s="14" t="n">
        <v>0</v>
      </c>
      <c r="M654" s="15" t="n">
        <v>45.9754</v>
      </c>
      <c r="N654" s="10" t="str">
        <f aca="false">IF(M654&lt;0,"Loss",IF(M654&lt;50,"Low Profit",IF(M654&lt;200,"Medium Profit","High Profit")))</f>
        <v>Low Profit</v>
      </c>
      <c r="O654" s="10" t="str">
        <f aca="false">IF(J654&gt;=500,"High Value","Standard")</f>
        <v>Standard</v>
      </c>
      <c r="P654" s="10" t="str">
        <f aca="false">H654&amp;" &gt; "&amp;I654&amp;" ("&amp;K654&amp;" units)"</f>
        <v>Office Supplies &gt; Paper (2 units)</v>
      </c>
      <c r="Q654" s="10" t="str">
        <f aca="false">VLOOKUP(G654,Region_Manager_Table,2,FALSE())</f>
        <v>Priya Menon</v>
      </c>
      <c r="R654" s="10" t="n">
        <f aca="false">INDEX(SLA_Days_Col,MATCH(A654,ShipMode_Col,0))</f>
        <v>6</v>
      </c>
    </row>
    <row r="655" customFormat="false" ht="15" hidden="false" customHeight="false" outlineLevel="0" collapsed="false">
      <c r="A655" s="16" t="s">
        <v>64</v>
      </c>
      <c r="B655" s="16" t="s">
        <v>58</v>
      </c>
      <c r="C655" s="16" t="s">
        <v>51</v>
      </c>
      <c r="D655" s="16" t="s">
        <v>111</v>
      </c>
      <c r="E655" s="16" t="s">
        <v>112</v>
      </c>
      <c r="F655" s="16" t="n">
        <v>10035</v>
      </c>
      <c r="G655" s="16" t="s">
        <v>93</v>
      </c>
      <c r="H655" s="16" t="s">
        <v>71</v>
      </c>
      <c r="I655" s="16" t="s">
        <v>95</v>
      </c>
      <c r="J655" s="17" t="n">
        <v>103.12</v>
      </c>
      <c r="K655" s="16" t="n">
        <v>8</v>
      </c>
      <c r="L655" s="18" t="n">
        <v>0</v>
      </c>
      <c r="M655" s="19" t="n">
        <v>10.312</v>
      </c>
      <c r="N655" s="16" t="str">
        <f aca="false">IF(M655&lt;0,"Loss",IF(M655&lt;50,"Low Profit",IF(M655&lt;200,"Medium Profit","High Profit")))</f>
        <v>Low Profit</v>
      </c>
      <c r="O655" s="16" t="str">
        <f aca="false">IF(J655&gt;=500,"High Value","Standard")</f>
        <v>Standard</v>
      </c>
      <c r="P655" s="16" t="str">
        <f aca="false">H655&amp;" &gt; "&amp;I655&amp;" ("&amp;K655&amp;" units)"</f>
        <v>Technology &gt; Accessories (8 units)</v>
      </c>
      <c r="Q655" s="16" t="str">
        <f aca="false">VLOOKUP(G655,Region_Manager_Table,2,FALSE())</f>
        <v>Priya Menon</v>
      </c>
      <c r="R655" s="16" t="n">
        <f aca="false">INDEX(SLA_Days_Col,MATCH(A655,ShipMode_Col,0))</f>
        <v>6</v>
      </c>
    </row>
    <row r="656" customFormat="false" ht="15" hidden="false" customHeight="false" outlineLevel="0" collapsed="false">
      <c r="A656" s="10" t="s">
        <v>64</v>
      </c>
      <c r="B656" s="10" t="s">
        <v>50</v>
      </c>
      <c r="C656" s="10" t="s">
        <v>51</v>
      </c>
      <c r="D656" s="10" t="s">
        <v>139</v>
      </c>
      <c r="E656" s="10" t="s">
        <v>140</v>
      </c>
      <c r="F656" s="10" t="n">
        <v>43229</v>
      </c>
      <c r="G656" s="10" t="s">
        <v>93</v>
      </c>
      <c r="H656" s="10" t="s">
        <v>62</v>
      </c>
      <c r="I656" s="10" t="s">
        <v>74</v>
      </c>
      <c r="J656" s="13" t="n">
        <v>113.552</v>
      </c>
      <c r="K656" s="10" t="n">
        <v>2</v>
      </c>
      <c r="L656" s="14" t="n">
        <v>0.2</v>
      </c>
      <c r="M656" s="15" t="n">
        <v>8.5164</v>
      </c>
      <c r="N656" s="10" t="str">
        <f aca="false">IF(M656&lt;0,"Loss",IF(M656&lt;50,"Low Profit",IF(M656&lt;200,"Medium Profit","High Profit")))</f>
        <v>Low Profit</v>
      </c>
      <c r="O656" s="10" t="str">
        <f aca="false">IF(J656&gt;=500,"High Value","Standard")</f>
        <v>Standard</v>
      </c>
      <c r="P656" s="10" t="str">
        <f aca="false">H656&amp;" &gt; "&amp;I656&amp;" ("&amp;K656&amp;" units)"</f>
        <v>Office Supplies &gt; Appliances (2 units)</v>
      </c>
      <c r="Q656" s="10" t="str">
        <f aca="false">VLOOKUP(G656,Region_Manager_Table,2,FALSE())</f>
        <v>Priya Menon</v>
      </c>
      <c r="R656" s="10" t="n">
        <f aca="false">INDEX(SLA_Days_Col,MATCH(A656,ShipMode_Col,0))</f>
        <v>6</v>
      </c>
    </row>
    <row r="657" customFormat="false" ht="15" hidden="false" customHeight="false" outlineLevel="0" collapsed="false">
      <c r="A657" s="16" t="s">
        <v>64</v>
      </c>
      <c r="B657" s="16" t="s">
        <v>50</v>
      </c>
      <c r="C657" s="16" t="s">
        <v>51</v>
      </c>
      <c r="D657" s="16" t="s">
        <v>139</v>
      </c>
      <c r="E657" s="16" t="s">
        <v>140</v>
      </c>
      <c r="F657" s="16" t="n">
        <v>43229</v>
      </c>
      <c r="G657" s="16" t="s">
        <v>93</v>
      </c>
      <c r="H657" s="16" t="s">
        <v>62</v>
      </c>
      <c r="I657" s="16" t="s">
        <v>73</v>
      </c>
      <c r="J657" s="17" t="n">
        <v>3.318</v>
      </c>
      <c r="K657" s="16" t="n">
        <v>2</v>
      </c>
      <c r="L657" s="18" t="n">
        <v>0.7</v>
      </c>
      <c r="M657" s="19" t="n">
        <v>-2.6544</v>
      </c>
      <c r="N657" s="16" t="str">
        <f aca="false">IF(M657&lt;0,"Loss",IF(M657&lt;50,"Low Profit",IF(M657&lt;200,"Medium Profit","High Profit")))</f>
        <v>Loss</v>
      </c>
      <c r="O657" s="16" t="str">
        <f aca="false">IF(J657&gt;=500,"High Value","Standard")</f>
        <v>Standard</v>
      </c>
      <c r="P657" s="16" t="str">
        <f aca="false">H657&amp;" &gt; "&amp;I657&amp;" ("&amp;K657&amp;" units)"</f>
        <v>Office Supplies &gt; Binders (2 units)</v>
      </c>
      <c r="Q657" s="16" t="str">
        <f aca="false">VLOOKUP(G657,Region_Manager_Table,2,FALSE())</f>
        <v>Priya Menon</v>
      </c>
      <c r="R657" s="16" t="n">
        <f aca="false">INDEX(SLA_Days_Col,MATCH(A657,ShipMode_Col,0))</f>
        <v>6</v>
      </c>
    </row>
    <row r="658" customFormat="false" ht="15" hidden="false" customHeight="false" outlineLevel="0" collapsed="false">
      <c r="A658" s="10" t="s">
        <v>64</v>
      </c>
      <c r="B658" s="10" t="s">
        <v>50</v>
      </c>
      <c r="C658" s="10" t="s">
        <v>51</v>
      </c>
      <c r="D658" s="10" t="s">
        <v>139</v>
      </c>
      <c r="E658" s="10" t="s">
        <v>140</v>
      </c>
      <c r="F658" s="10" t="n">
        <v>43229</v>
      </c>
      <c r="G658" s="10" t="s">
        <v>93</v>
      </c>
      <c r="H658" s="10" t="s">
        <v>62</v>
      </c>
      <c r="I658" s="10" t="s">
        <v>96</v>
      </c>
      <c r="J658" s="13" t="n">
        <v>134.288</v>
      </c>
      <c r="K658" s="10" t="n">
        <v>2</v>
      </c>
      <c r="L658" s="14" t="n">
        <v>0.2</v>
      </c>
      <c r="M658" s="15" t="n">
        <v>45.3222</v>
      </c>
      <c r="N658" s="10" t="str">
        <f aca="false">IF(M658&lt;0,"Loss",IF(M658&lt;50,"Low Profit",IF(M658&lt;200,"Medium Profit","High Profit")))</f>
        <v>Low Profit</v>
      </c>
      <c r="O658" s="10" t="str">
        <f aca="false">IF(J658&gt;=500,"High Value","Standard")</f>
        <v>Standard</v>
      </c>
      <c r="P658" s="10" t="str">
        <f aca="false">H658&amp;" &gt; "&amp;I658&amp;" ("&amp;K658&amp;" units)"</f>
        <v>Office Supplies &gt; Envelopes (2 units)</v>
      </c>
      <c r="Q658" s="10" t="str">
        <f aca="false">VLOOKUP(G658,Region_Manager_Table,2,FALSE())</f>
        <v>Priya Menon</v>
      </c>
      <c r="R658" s="10" t="n">
        <f aca="false">INDEX(SLA_Days_Col,MATCH(A658,ShipMode_Col,0))</f>
        <v>6</v>
      </c>
    </row>
    <row r="659" customFormat="false" ht="15" hidden="false" customHeight="false" outlineLevel="0" collapsed="false">
      <c r="A659" s="16" t="s">
        <v>204</v>
      </c>
      <c r="B659" s="16" t="s">
        <v>80</v>
      </c>
      <c r="C659" s="16" t="s">
        <v>51</v>
      </c>
      <c r="D659" s="16" t="s">
        <v>133</v>
      </c>
      <c r="E659" s="16" t="s">
        <v>101</v>
      </c>
      <c r="F659" s="16" t="n">
        <v>60505</v>
      </c>
      <c r="G659" s="16" t="s">
        <v>83</v>
      </c>
      <c r="H659" s="16" t="s">
        <v>55</v>
      </c>
      <c r="I659" s="16" t="s">
        <v>57</v>
      </c>
      <c r="J659" s="17" t="n">
        <v>701.372</v>
      </c>
      <c r="K659" s="16" t="n">
        <v>2</v>
      </c>
      <c r="L659" s="18" t="n">
        <v>0.3</v>
      </c>
      <c r="M659" s="19" t="n">
        <v>-50.098</v>
      </c>
      <c r="N659" s="16" t="str">
        <f aca="false">IF(M659&lt;0,"Loss",IF(M659&lt;50,"Low Profit",IF(M659&lt;200,"Medium Profit","High Profit")))</f>
        <v>Loss</v>
      </c>
      <c r="O659" s="16" t="str">
        <f aca="false">IF(J659&gt;=500,"High Value","Standard")</f>
        <v>High Value</v>
      </c>
      <c r="P659" s="16" t="str">
        <f aca="false">H659&amp;" &gt; "&amp;I659&amp;" ("&amp;K659&amp;" units)"</f>
        <v>Furniture &gt; Chairs (2 units)</v>
      </c>
      <c r="Q659" s="16" t="str">
        <f aca="false">VLOOKUP(G659,Region_Manager_Table,2,FALSE())</f>
        <v>Aditya Rao</v>
      </c>
      <c r="R659" s="16" t="n">
        <f aca="false">INDEX(SLA_Days_Col,MATCH(A659,ShipMode_Col,0))</f>
        <v>1</v>
      </c>
    </row>
    <row r="660" customFormat="false" ht="15" hidden="false" customHeight="false" outlineLevel="0" collapsed="false">
      <c r="A660" s="10" t="s">
        <v>204</v>
      </c>
      <c r="B660" s="10" t="s">
        <v>80</v>
      </c>
      <c r="C660" s="10" t="s">
        <v>51</v>
      </c>
      <c r="D660" s="10" t="s">
        <v>133</v>
      </c>
      <c r="E660" s="10" t="s">
        <v>101</v>
      </c>
      <c r="F660" s="10" t="n">
        <v>60505</v>
      </c>
      <c r="G660" s="10" t="s">
        <v>83</v>
      </c>
      <c r="H660" s="10" t="s">
        <v>62</v>
      </c>
      <c r="I660" s="10" t="s">
        <v>73</v>
      </c>
      <c r="J660" s="13" t="n">
        <v>2.308</v>
      </c>
      <c r="K660" s="10" t="n">
        <v>2</v>
      </c>
      <c r="L660" s="14" t="n">
        <v>0.8</v>
      </c>
      <c r="M660" s="15" t="n">
        <v>-3.462</v>
      </c>
      <c r="N660" s="10" t="str">
        <f aca="false">IF(M660&lt;0,"Loss",IF(M660&lt;50,"Low Profit",IF(M660&lt;200,"Medium Profit","High Profit")))</f>
        <v>Loss</v>
      </c>
      <c r="O660" s="10" t="str">
        <f aca="false">IF(J660&gt;=500,"High Value","Standard")</f>
        <v>Standard</v>
      </c>
      <c r="P660" s="10" t="str">
        <f aca="false">H660&amp;" &gt; "&amp;I660&amp;" ("&amp;K660&amp;" units)"</f>
        <v>Office Supplies &gt; Binders (2 units)</v>
      </c>
      <c r="Q660" s="10" t="str">
        <f aca="false">VLOOKUP(G660,Region_Manager_Table,2,FALSE())</f>
        <v>Aditya Rao</v>
      </c>
      <c r="R660" s="10" t="n">
        <f aca="false">INDEX(SLA_Days_Col,MATCH(A660,ShipMode_Col,0))</f>
        <v>1</v>
      </c>
    </row>
    <row r="661" customFormat="false" ht="15" hidden="false" customHeight="false" outlineLevel="0" collapsed="false">
      <c r="A661" s="16" t="s">
        <v>64</v>
      </c>
      <c r="B661" s="16" t="s">
        <v>50</v>
      </c>
      <c r="C661" s="16" t="s">
        <v>51</v>
      </c>
      <c r="D661" s="16" t="s">
        <v>191</v>
      </c>
      <c r="E661" s="16" t="s">
        <v>82</v>
      </c>
      <c r="F661" s="16" t="n">
        <v>76017</v>
      </c>
      <c r="G661" s="16" t="s">
        <v>83</v>
      </c>
      <c r="H661" s="16" t="s">
        <v>62</v>
      </c>
      <c r="I661" s="16" t="s">
        <v>68</v>
      </c>
      <c r="J661" s="17" t="n">
        <v>999.432</v>
      </c>
      <c r="K661" s="16" t="n">
        <v>7</v>
      </c>
      <c r="L661" s="18" t="n">
        <v>0.2</v>
      </c>
      <c r="M661" s="19" t="n">
        <v>124.929</v>
      </c>
      <c r="N661" s="16" t="str">
        <f aca="false">IF(M661&lt;0,"Loss",IF(M661&lt;50,"Low Profit",IF(M661&lt;200,"Medium Profit","High Profit")))</f>
        <v>Medium Profit</v>
      </c>
      <c r="O661" s="16" t="str">
        <f aca="false">IF(J661&gt;=500,"High Value","Standard")</f>
        <v>High Value</v>
      </c>
      <c r="P661" s="16" t="str">
        <f aca="false">H661&amp;" &gt; "&amp;I661&amp;" ("&amp;K661&amp;" units)"</f>
        <v>Office Supplies &gt; Storage (7 units)</v>
      </c>
      <c r="Q661" s="16" t="str">
        <f aca="false">VLOOKUP(G661,Region_Manager_Table,2,FALSE())</f>
        <v>Aditya Rao</v>
      </c>
      <c r="R661" s="16" t="n">
        <f aca="false">INDEX(SLA_Days_Col,MATCH(A661,ShipMode_Col,0))</f>
        <v>6</v>
      </c>
    </row>
    <row r="662" customFormat="false" ht="15" hidden="false" customHeight="false" outlineLevel="0" collapsed="false">
      <c r="A662" s="10" t="s">
        <v>64</v>
      </c>
      <c r="B662" s="10" t="s">
        <v>50</v>
      </c>
      <c r="C662" s="10" t="s">
        <v>51</v>
      </c>
      <c r="D662" s="10" t="s">
        <v>191</v>
      </c>
      <c r="E662" s="10" t="s">
        <v>82</v>
      </c>
      <c r="F662" s="10" t="n">
        <v>76017</v>
      </c>
      <c r="G662" s="10" t="s">
        <v>83</v>
      </c>
      <c r="H662" s="10" t="s">
        <v>62</v>
      </c>
      <c r="I662" s="10" t="s">
        <v>68</v>
      </c>
      <c r="J662" s="13" t="n">
        <v>724.08</v>
      </c>
      <c r="K662" s="10" t="n">
        <v>14</v>
      </c>
      <c r="L662" s="14" t="n">
        <v>0.2</v>
      </c>
      <c r="M662" s="15" t="n">
        <v>-135.765</v>
      </c>
      <c r="N662" s="10" t="str">
        <f aca="false">IF(M662&lt;0,"Loss",IF(M662&lt;50,"Low Profit",IF(M662&lt;200,"Medium Profit","High Profit")))</f>
        <v>Loss</v>
      </c>
      <c r="O662" s="10" t="str">
        <f aca="false">IF(J662&gt;=500,"High Value","Standard")</f>
        <v>High Value</v>
      </c>
      <c r="P662" s="10" t="str">
        <f aca="false">H662&amp;" &gt; "&amp;I662&amp;" ("&amp;K662&amp;" units)"</f>
        <v>Office Supplies &gt; Storage (14 units)</v>
      </c>
      <c r="Q662" s="10" t="str">
        <f aca="false">VLOOKUP(G662,Region_Manager_Table,2,FALSE())</f>
        <v>Aditya Rao</v>
      </c>
      <c r="R662" s="10" t="n">
        <f aca="false">INDEX(SLA_Days_Col,MATCH(A662,ShipMode_Col,0))</f>
        <v>6</v>
      </c>
    </row>
    <row r="663" customFormat="false" ht="15" hidden="false" customHeight="false" outlineLevel="0" collapsed="false">
      <c r="A663" s="16" t="s">
        <v>64</v>
      </c>
      <c r="B663" s="16" t="s">
        <v>50</v>
      </c>
      <c r="C663" s="16" t="s">
        <v>51</v>
      </c>
      <c r="D663" s="16" t="s">
        <v>191</v>
      </c>
      <c r="E663" s="16" t="s">
        <v>82</v>
      </c>
      <c r="F663" s="16" t="n">
        <v>76017</v>
      </c>
      <c r="G663" s="16" t="s">
        <v>83</v>
      </c>
      <c r="H663" s="16" t="s">
        <v>55</v>
      </c>
      <c r="I663" s="16" t="s">
        <v>67</v>
      </c>
      <c r="J663" s="17" t="n">
        <v>918.785</v>
      </c>
      <c r="K663" s="16" t="n">
        <v>5</v>
      </c>
      <c r="L663" s="18" t="n">
        <v>0.3</v>
      </c>
      <c r="M663" s="19" t="n">
        <v>-118.1295</v>
      </c>
      <c r="N663" s="16" t="str">
        <f aca="false">IF(M663&lt;0,"Loss",IF(M663&lt;50,"Low Profit",IF(M663&lt;200,"Medium Profit","High Profit")))</f>
        <v>Loss</v>
      </c>
      <c r="O663" s="16" t="str">
        <f aca="false">IF(J663&gt;=500,"High Value","Standard")</f>
        <v>High Value</v>
      </c>
      <c r="P663" s="16" t="str">
        <f aca="false">H663&amp;" &gt; "&amp;I663&amp;" ("&amp;K663&amp;" units)"</f>
        <v>Furniture &gt; Tables (5 units)</v>
      </c>
      <c r="Q663" s="16" t="str">
        <f aca="false">VLOOKUP(G663,Region_Manager_Table,2,FALSE())</f>
        <v>Aditya Rao</v>
      </c>
      <c r="R663" s="16" t="n">
        <f aca="false">INDEX(SLA_Days_Col,MATCH(A663,ShipMode_Col,0))</f>
        <v>6</v>
      </c>
    </row>
    <row r="664" customFormat="false" ht="15" hidden="false" customHeight="false" outlineLevel="0" collapsed="false">
      <c r="A664" s="10" t="s">
        <v>64</v>
      </c>
      <c r="B664" s="10" t="s">
        <v>50</v>
      </c>
      <c r="C664" s="10" t="s">
        <v>51</v>
      </c>
      <c r="D664" s="10" t="s">
        <v>191</v>
      </c>
      <c r="E664" s="10" t="s">
        <v>82</v>
      </c>
      <c r="F664" s="10" t="n">
        <v>76017</v>
      </c>
      <c r="G664" s="10" t="s">
        <v>83</v>
      </c>
      <c r="H664" s="10" t="s">
        <v>62</v>
      </c>
      <c r="I664" s="10" t="s">
        <v>73</v>
      </c>
      <c r="J664" s="13" t="n">
        <v>2.724</v>
      </c>
      <c r="K664" s="10" t="n">
        <v>3</v>
      </c>
      <c r="L664" s="14" t="n">
        <v>0.8</v>
      </c>
      <c r="M664" s="15" t="n">
        <v>-4.2222</v>
      </c>
      <c r="N664" s="10" t="str">
        <f aca="false">IF(M664&lt;0,"Loss",IF(M664&lt;50,"Low Profit",IF(M664&lt;200,"Medium Profit","High Profit")))</f>
        <v>Loss</v>
      </c>
      <c r="O664" s="10" t="str">
        <f aca="false">IF(J664&gt;=500,"High Value","Standard")</f>
        <v>Standard</v>
      </c>
      <c r="P664" s="10" t="str">
        <f aca="false">H664&amp;" &gt; "&amp;I664&amp;" ("&amp;K664&amp;" units)"</f>
        <v>Office Supplies &gt; Binders (3 units)</v>
      </c>
      <c r="Q664" s="10" t="str">
        <f aca="false">VLOOKUP(G664,Region_Manager_Table,2,FALSE())</f>
        <v>Aditya Rao</v>
      </c>
      <c r="R664" s="10" t="n">
        <f aca="false">INDEX(SLA_Days_Col,MATCH(A664,ShipMode_Col,0))</f>
        <v>6</v>
      </c>
    </row>
    <row r="665" customFormat="false" ht="15" hidden="false" customHeight="false" outlineLevel="0" collapsed="false">
      <c r="A665" s="16" t="s">
        <v>64</v>
      </c>
      <c r="B665" s="16" t="s">
        <v>58</v>
      </c>
      <c r="C665" s="16" t="s">
        <v>51</v>
      </c>
      <c r="D665" s="16" t="s">
        <v>111</v>
      </c>
      <c r="E665" s="16" t="s">
        <v>112</v>
      </c>
      <c r="F665" s="16" t="n">
        <v>10011</v>
      </c>
      <c r="G665" s="16" t="s">
        <v>93</v>
      </c>
      <c r="H665" s="16" t="s">
        <v>62</v>
      </c>
      <c r="I665" s="16" t="s">
        <v>68</v>
      </c>
      <c r="J665" s="17" t="n">
        <v>459.95</v>
      </c>
      <c r="K665" s="16" t="n">
        <v>5</v>
      </c>
      <c r="L665" s="18" t="n">
        <v>0</v>
      </c>
      <c r="M665" s="19" t="n">
        <v>18.398</v>
      </c>
      <c r="N665" s="16" t="str">
        <f aca="false">IF(M665&lt;0,"Loss",IF(M665&lt;50,"Low Profit",IF(M665&lt;200,"Medium Profit","High Profit")))</f>
        <v>Low Profit</v>
      </c>
      <c r="O665" s="16" t="str">
        <f aca="false">IF(J665&gt;=500,"High Value","Standard")</f>
        <v>Standard</v>
      </c>
      <c r="P665" s="16" t="str">
        <f aca="false">H665&amp;" &gt; "&amp;I665&amp;" ("&amp;K665&amp;" units)"</f>
        <v>Office Supplies &gt; Storage (5 units)</v>
      </c>
      <c r="Q665" s="16" t="str">
        <f aca="false">VLOOKUP(G665,Region_Manager_Table,2,FALSE())</f>
        <v>Priya Menon</v>
      </c>
      <c r="R665" s="16" t="n">
        <f aca="false">INDEX(SLA_Days_Col,MATCH(A665,ShipMode_Col,0))</f>
        <v>6</v>
      </c>
    </row>
    <row r="666" customFormat="false" ht="15" hidden="false" customHeight="false" outlineLevel="0" collapsed="false">
      <c r="A666" s="10" t="s">
        <v>204</v>
      </c>
      <c r="B666" s="10" t="s">
        <v>50</v>
      </c>
      <c r="C666" s="10" t="s">
        <v>51</v>
      </c>
      <c r="D666" s="10" t="s">
        <v>219</v>
      </c>
      <c r="E666" s="10" t="s">
        <v>53</v>
      </c>
      <c r="F666" s="10" t="n">
        <v>40214</v>
      </c>
      <c r="G666" s="10" t="s">
        <v>54</v>
      </c>
      <c r="H666" s="10" t="s">
        <v>62</v>
      </c>
      <c r="I666" s="10" t="s">
        <v>113</v>
      </c>
      <c r="J666" s="13" t="n">
        <v>10.74</v>
      </c>
      <c r="K666" s="10" t="n">
        <v>3</v>
      </c>
      <c r="L666" s="14" t="n">
        <v>0</v>
      </c>
      <c r="M666" s="15" t="n">
        <v>5.2626</v>
      </c>
      <c r="N666" s="10" t="str">
        <f aca="false">IF(M666&lt;0,"Loss",IF(M666&lt;50,"Low Profit",IF(M666&lt;200,"Medium Profit","High Profit")))</f>
        <v>Low Profit</v>
      </c>
      <c r="O666" s="10" t="str">
        <f aca="false">IF(J666&gt;=500,"High Value","Standard")</f>
        <v>Standard</v>
      </c>
      <c r="P666" s="10" t="str">
        <f aca="false">H666&amp;" &gt; "&amp;I666&amp;" ("&amp;K666&amp;" units)"</f>
        <v>Office Supplies &gt; Fasteners (3 units)</v>
      </c>
      <c r="Q666" s="10" t="str">
        <f aca="false">VLOOKUP(G666,Region_Manager_Table,2,FALSE())</f>
        <v>Karthik Iyer</v>
      </c>
      <c r="R666" s="10" t="n">
        <f aca="false">INDEX(SLA_Days_Col,MATCH(A666,ShipMode_Col,0))</f>
        <v>1</v>
      </c>
    </row>
    <row r="667" customFormat="false" ht="15" hidden="false" customHeight="false" outlineLevel="0" collapsed="false">
      <c r="A667" s="16" t="s">
        <v>49</v>
      </c>
      <c r="B667" s="16" t="s">
        <v>58</v>
      </c>
      <c r="C667" s="16" t="s">
        <v>51</v>
      </c>
      <c r="D667" s="16" t="s">
        <v>171</v>
      </c>
      <c r="E667" s="16" t="s">
        <v>82</v>
      </c>
      <c r="F667" s="16" t="n">
        <v>75081</v>
      </c>
      <c r="G667" s="16" t="s">
        <v>83</v>
      </c>
      <c r="H667" s="16" t="s">
        <v>62</v>
      </c>
      <c r="I667" s="16" t="s">
        <v>146</v>
      </c>
      <c r="J667" s="17" t="n">
        <v>23.76</v>
      </c>
      <c r="K667" s="16" t="n">
        <v>3</v>
      </c>
      <c r="L667" s="18" t="n">
        <v>0.2</v>
      </c>
      <c r="M667" s="19" t="n">
        <v>2.079</v>
      </c>
      <c r="N667" s="16" t="str">
        <f aca="false">IF(M667&lt;0,"Loss",IF(M667&lt;50,"Low Profit",IF(M667&lt;200,"Medium Profit","High Profit")))</f>
        <v>Low Profit</v>
      </c>
      <c r="O667" s="16" t="str">
        <f aca="false">IF(J667&gt;=500,"High Value","Standard")</f>
        <v>Standard</v>
      </c>
      <c r="P667" s="16" t="str">
        <f aca="false">H667&amp;" &gt; "&amp;I667&amp;" ("&amp;K667&amp;" units)"</f>
        <v>Office Supplies &gt; Supplies (3 units)</v>
      </c>
      <c r="Q667" s="16" t="str">
        <f aca="false">VLOOKUP(G667,Region_Manager_Table,2,FALSE())</f>
        <v>Aditya Rao</v>
      </c>
      <c r="R667" s="16" t="n">
        <f aca="false">INDEX(SLA_Days_Col,MATCH(A667,ShipMode_Col,0))</f>
        <v>4</v>
      </c>
    </row>
    <row r="668" customFormat="false" ht="15" hidden="false" customHeight="false" outlineLevel="0" collapsed="false">
      <c r="A668" s="10" t="s">
        <v>49</v>
      </c>
      <c r="B668" s="10" t="s">
        <v>58</v>
      </c>
      <c r="C668" s="10" t="s">
        <v>51</v>
      </c>
      <c r="D668" s="10" t="s">
        <v>171</v>
      </c>
      <c r="E668" s="10" t="s">
        <v>82</v>
      </c>
      <c r="F668" s="10" t="n">
        <v>75081</v>
      </c>
      <c r="G668" s="10" t="s">
        <v>83</v>
      </c>
      <c r="H668" s="10" t="s">
        <v>62</v>
      </c>
      <c r="I668" s="10" t="s">
        <v>77</v>
      </c>
      <c r="J668" s="13" t="n">
        <v>85.056</v>
      </c>
      <c r="K668" s="10" t="n">
        <v>3</v>
      </c>
      <c r="L668" s="14" t="n">
        <v>0.2</v>
      </c>
      <c r="M668" s="15" t="n">
        <v>28.7064</v>
      </c>
      <c r="N668" s="10" t="str">
        <f aca="false">IF(M668&lt;0,"Loss",IF(M668&lt;50,"Low Profit",IF(M668&lt;200,"Medium Profit","High Profit")))</f>
        <v>Low Profit</v>
      </c>
      <c r="O668" s="10" t="str">
        <f aca="false">IF(J668&gt;=500,"High Value","Standard")</f>
        <v>Standard</v>
      </c>
      <c r="P668" s="10" t="str">
        <f aca="false">H668&amp;" &gt; "&amp;I668&amp;" ("&amp;K668&amp;" units)"</f>
        <v>Office Supplies &gt; Paper (3 units)</v>
      </c>
      <c r="Q668" s="10" t="str">
        <f aca="false">VLOOKUP(G668,Region_Manager_Table,2,FALSE())</f>
        <v>Aditya Rao</v>
      </c>
      <c r="R668" s="10" t="n">
        <f aca="false">INDEX(SLA_Days_Col,MATCH(A668,ShipMode_Col,0))</f>
        <v>4</v>
      </c>
    </row>
    <row r="669" customFormat="false" ht="15" hidden="false" customHeight="false" outlineLevel="0" collapsed="false">
      <c r="A669" s="16" t="s">
        <v>49</v>
      </c>
      <c r="B669" s="16" t="s">
        <v>58</v>
      </c>
      <c r="C669" s="16" t="s">
        <v>51</v>
      </c>
      <c r="D669" s="16" t="s">
        <v>171</v>
      </c>
      <c r="E669" s="16" t="s">
        <v>82</v>
      </c>
      <c r="F669" s="16" t="n">
        <v>75081</v>
      </c>
      <c r="G669" s="16" t="s">
        <v>83</v>
      </c>
      <c r="H669" s="16" t="s">
        <v>71</v>
      </c>
      <c r="I669" s="16" t="s">
        <v>72</v>
      </c>
      <c r="J669" s="17" t="n">
        <v>381.576</v>
      </c>
      <c r="K669" s="16" t="n">
        <v>3</v>
      </c>
      <c r="L669" s="18" t="n">
        <v>0.2</v>
      </c>
      <c r="M669" s="19" t="n">
        <v>28.6182</v>
      </c>
      <c r="N669" s="16" t="str">
        <f aca="false">IF(M669&lt;0,"Loss",IF(M669&lt;50,"Low Profit",IF(M669&lt;200,"Medium Profit","High Profit")))</f>
        <v>Low Profit</v>
      </c>
      <c r="O669" s="16" t="str">
        <f aca="false">IF(J669&gt;=500,"High Value","Standard")</f>
        <v>Standard</v>
      </c>
      <c r="P669" s="16" t="str">
        <f aca="false">H669&amp;" &gt; "&amp;I669&amp;" ("&amp;K669&amp;" units)"</f>
        <v>Technology &gt; Phones (3 units)</v>
      </c>
      <c r="Q669" s="16" t="str">
        <f aca="false">VLOOKUP(G669,Region_Manager_Table,2,FALSE())</f>
        <v>Aditya Rao</v>
      </c>
      <c r="R669" s="16" t="n">
        <f aca="false">INDEX(SLA_Days_Col,MATCH(A669,ShipMode_Col,0))</f>
        <v>4</v>
      </c>
    </row>
    <row r="670" customFormat="false" ht="15" hidden="false" customHeight="false" outlineLevel="0" collapsed="false">
      <c r="A670" s="10" t="s">
        <v>98</v>
      </c>
      <c r="B670" s="10" t="s">
        <v>50</v>
      </c>
      <c r="C670" s="10" t="s">
        <v>51</v>
      </c>
      <c r="D670" s="10" t="s">
        <v>257</v>
      </c>
      <c r="E670" s="10" t="s">
        <v>140</v>
      </c>
      <c r="F670" s="10" t="n">
        <v>44105</v>
      </c>
      <c r="G670" s="10" t="s">
        <v>93</v>
      </c>
      <c r="H670" s="10" t="s">
        <v>55</v>
      </c>
      <c r="I670" s="10" t="s">
        <v>69</v>
      </c>
      <c r="J670" s="13" t="n">
        <v>30.36</v>
      </c>
      <c r="K670" s="10" t="n">
        <v>5</v>
      </c>
      <c r="L670" s="14" t="n">
        <v>0.2</v>
      </c>
      <c r="M670" s="15" t="n">
        <v>8.7285</v>
      </c>
      <c r="N670" s="10" t="str">
        <f aca="false">IF(M670&lt;0,"Loss",IF(M670&lt;50,"Low Profit",IF(M670&lt;200,"Medium Profit","High Profit")))</f>
        <v>Low Profit</v>
      </c>
      <c r="O670" s="10" t="str">
        <f aca="false">IF(J670&gt;=500,"High Value","Standard")</f>
        <v>Standard</v>
      </c>
      <c r="P670" s="10" t="str">
        <f aca="false">H670&amp;" &gt; "&amp;I670&amp;" ("&amp;K670&amp;" units)"</f>
        <v>Furniture &gt; Furnishings (5 units)</v>
      </c>
      <c r="Q670" s="10" t="str">
        <f aca="false">VLOOKUP(G670,Region_Manager_Table,2,FALSE())</f>
        <v>Priya Menon</v>
      </c>
      <c r="R670" s="10" t="n">
        <f aca="false">INDEX(SLA_Days_Col,MATCH(A670,ShipMode_Col,0))</f>
        <v>2</v>
      </c>
    </row>
    <row r="671" customFormat="false" ht="15" hidden="false" customHeight="false" outlineLevel="0" collapsed="false">
      <c r="A671" s="16" t="s">
        <v>64</v>
      </c>
      <c r="B671" s="16" t="s">
        <v>80</v>
      </c>
      <c r="C671" s="16" t="s">
        <v>51</v>
      </c>
      <c r="D671" s="16" t="s">
        <v>115</v>
      </c>
      <c r="E671" s="16" t="s">
        <v>101</v>
      </c>
      <c r="F671" s="16" t="n">
        <v>60653</v>
      </c>
      <c r="G671" s="16" t="s">
        <v>83</v>
      </c>
      <c r="H671" s="16" t="s">
        <v>55</v>
      </c>
      <c r="I671" s="16" t="s">
        <v>69</v>
      </c>
      <c r="J671" s="17" t="n">
        <v>23.976</v>
      </c>
      <c r="K671" s="16" t="n">
        <v>3</v>
      </c>
      <c r="L671" s="18" t="n">
        <v>0.6</v>
      </c>
      <c r="M671" s="19" t="n">
        <v>-14.3856</v>
      </c>
      <c r="N671" s="16" t="str">
        <f aca="false">IF(M671&lt;0,"Loss",IF(M671&lt;50,"Low Profit",IF(M671&lt;200,"Medium Profit","High Profit")))</f>
        <v>Loss</v>
      </c>
      <c r="O671" s="16" t="str">
        <f aca="false">IF(J671&gt;=500,"High Value","Standard")</f>
        <v>Standard</v>
      </c>
      <c r="P671" s="16" t="str">
        <f aca="false">H671&amp;" &gt; "&amp;I671&amp;" ("&amp;K671&amp;" units)"</f>
        <v>Furniture &gt; Furnishings (3 units)</v>
      </c>
      <c r="Q671" s="16" t="str">
        <f aca="false">VLOOKUP(G671,Region_Manager_Table,2,FALSE())</f>
        <v>Aditya Rao</v>
      </c>
      <c r="R671" s="16" t="n">
        <f aca="false">INDEX(SLA_Days_Col,MATCH(A671,ShipMode_Col,0))</f>
        <v>6</v>
      </c>
    </row>
    <row r="672" customFormat="false" ht="15" hidden="false" customHeight="false" outlineLevel="0" collapsed="false">
      <c r="A672" s="10" t="s">
        <v>64</v>
      </c>
      <c r="B672" s="10" t="s">
        <v>80</v>
      </c>
      <c r="C672" s="10" t="s">
        <v>51</v>
      </c>
      <c r="D672" s="10" t="s">
        <v>115</v>
      </c>
      <c r="E672" s="10" t="s">
        <v>101</v>
      </c>
      <c r="F672" s="10" t="n">
        <v>60653</v>
      </c>
      <c r="G672" s="10" t="s">
        <v>83</v>
      </c>
      <c r="H672" s="10" t="s">
        <v>55</v>
      </c>
      <c r="I672" s="10" t="s">
        <v>67</v>
      </c>
      <c r="J672" s="13" t="n">
        <v>108.925</v>
      </c>
      <c r="K672" s="10" t="n">
        <v>1</v>
      </c>
      <c r="L672" s="14" t="n">
        <v>0.5</v>
      </c>
      <c r="M672" s="15" t="n">
        <v>-71.8905</v>
      </c>
      <c r="N672" s="10" t="str">
        <f aca="false">IF(M672&lt;0,"Loss",IF(M672&lt;50,"Low Profit",IF(M672&lt;200,"Medium Profit","High Profit")))</f>
        <v>Loss</v>
      </c>
      <c r="O672" s="10" t="str">
        <f aca="false">IF(J672&gt;=500,"High Value","Standard")</f>
        <v>Standard</v>
      </c>
      <c r="P672" s="10" t="str">
        <f aca="false">H672&amp;" &gt; "&amp;I672&amp;" ("&amp;K672&amp;" units)"</f>
        <v>Furniture &gt; Tables (1 units)</v>
      </c>
      <c r="Q672" s="10" t="str">
        <f aca="false">VLOOKUP(G672,Region_Manager_Table,2,FALSE())</f>
        <v>Aditya Rao</v>
      </c>
      <c r="R672" s="10" t="n">
        <f aca="false">INDEX(SLA_Days_Col,MATCH(A672,ShipMode_Col,0))</f>
        <v>6</v>
      </c>
    </row>
    <row r="673" customFormat="false" ht="15" hidden="false" customHeight="false" outlineLevel="0" collapsed="false">
      <c r="A673" s="16" t="s">
        <v>64</v>
      </c>
      <c r="B673" s="16" t="s">
        <v>80</v>
      </c>
      <c r="C673" s="16" t="s">
        <v>51</v>
      </c>
      <c r="D673" s="16" t="s">
        <v>115</v>
      </c>
      <c r="E673" s="16" t="s">
        <v>101</v>
      </c>
      <c r="F673" s="16" t="n">
        <v>60653</v>
      </c>
      <c r="G673" s="16" t="s">
        <v>83</v>
      </c>
      <c r="H673" s="16" t="s">
        <v>62</v>
      </c>
      <c r="I673" s="16" t="s">
        <v>77</v>
      </c>
      <c r="J673" s="17" t="n">
        <v>36.352</v>
      </c>
      <c r="K673" s="16" t="n">
        <v>8</v>
      </c>
      <c r="L673" s="18" t="n">
        <v>0.2</v>
      </c>
      <c r="M673" s="19" t="n">
        <v>11.36</v>
      </c>
      <c r="N673" s="16" t="str">
        <f aca="false">IF(M673&lt;0,"Loss",IF(M673&lt;50,"Low Profit",IF(M673&lt;200,"Medium Profit","High Profit")))</f>
        <v>Low Profit</v>
      </c>
      <c r="O673" s="16" t="str">
        <f aca="false">IF(J673&gt;=500,"High Value","Standard")</f>
        <v>Standard</v>
      </c>
      <c r="P673" s="16" t="str">
        <f aca="false">H673&amp;" &gt; "&amp;I673&amp;" ("&amp;K673&amp;" units)"</f>
        <v>Office Supplies &gt; Paper (8 units)</v>
      </c>
      <c r="Q673" s="16" t="str">
        <f aca="false">VLOOKUP(G673,Region_Manager_Table,2,FALSE())</f>
        <v>Aditya Rao</v>
      </c>
      <c r="R673" s="16" t="n">
        <f aca="false">INDEX(SLA_Days_Col,MATCH(A673,ShipMode_Col,0))</f>
        <v>6</v>
      </c>
    </row>
    <row r="674" customFormat="false" ht="15" hidden="false" customHeight="false" outlineLevel="0" collapsed="false">
      <c r="A674" s="10" t="s">
        <v>64</v>
      </c>
      <c r="B674" s="10" t="s">
        <v>50</v>
      </c>
      <c r="C674" s="10" t="s">
        <v>51</v>
      </c>
      <c r="D674" s="10" t="s">
        <v>208</v>
      </c>
      <c r="E674" s="10" t="s">
        <v>101</v>
      </c>
      <c r="F674" s="10" t="n">
        <v>62301</v>
      </c>
      <c r="G674" s="10" t="s">
        <v>83</v>
      </c>
      <c r="H674" s="10" t="s">
        <v>62</v>
      </c>
      <c r="I674" s="10" t="s">
        <v>70</v>
      </c>
      <c r="J674" s="13" t="n">
        <v>19.56</v>
      </c>
      <c r="K674" s="10" t="n">
        <v>5</v>
      </c>
      <c r="L674" s="14" t="n">
        <v>0.2</v>
      </c>
      <c r="M674" s="15" t="n">
        <v>1.7115</v>
      </c>
      <c r="N674" s="10" t="str">
        <f aca="false">IF(M674&lt;0,"Loss",IF(M674&lt;50,"Low Profit",IF(M674&lt;200,"Medium Profit","High Profit")))</f>
        <v>Low Profit</v>
      </c>
      <c r="O674" s="10" t="str">
        <f aca="false">IF(J674&gt;=500,"High Value","Standard")</f>
        <v>Standard</v>
      </c>
      <c r="P674" s="10" t="str">
        <f aca="false">H674&amp;" &gt; "&amp;I674&amp;" ("&amp;K674&amp;" units)"</f>
        <v>Office Supplies &gt; Art (5 units)</v>
      </c>
      <c r="Q674" s="10" t="str">
        <f aca="false">VLOOKUP(G674,Region_Manager_Table,2,FALSE())</f>
        <v>Aditya Rao</v>
      </c>
      <c r="R674" s="10" t="n">
        <f aca="false">INDEX(SLA_Days_Col,MATCH(A674,ShipMode_Col,0))</f>
        <v>6</v>
      </c>
    </row>
    <row r="675" customFormat="false" ht="15" hidden="false" customHeight="false" outlineLevel="0" collapsed="false">
      <c r="A675" s="16" t="s">
        <v>98</v>
      </c>
      <c r="B675" s="16" t="s">
        <v>50</v>
      </c>
      <c r="C675" s="16" t="s">
        <v>51</v>
      </c>
      <c r="D675" s="16" t="s">
        <v>139</v>
      </c>
      <c r="E675" s="16" t="s">
        <v>110</v>
      </c>
      <c r="F675" s="16" t="n">
        <v>47201</v>
      </c>
      <c r="G675" s="16" t="s">
        <v>83</v>
      </c>
      <c r="H675" s="16" t="s">
        <v>62</v>
      </c>
      <c r="I675" s="16" t="s">
        <v>74</v>
      </c>
      <c r="J675" s="17" t="n">
        <v>61.44</v>
      </c>
      <c r="K675" s="16" t="n">
        <v>3</v>
      </c>
      <c r="L675" s="18" t="n">
        <v>0</v>
      </c>
      <c r="M675" s="19" t="n">
        <v>16.5888</v>
      </c>
      <c r="N675" s="16" t="str">
        <f aca="false">IF(M675&lt;0,"Loss",IF(M675&lt;50,"Low Profit",IF(M675&lt;200,"Medium Profit","High Profit")))</f>
        <v>Low Profit</v>
      </c>
      <c r="O675" s="16" t="str">
        <f aca="false">IF(J675&gt;=500,"High Value","Standard")</f>
        <v>Standard</v>
      </c>
      <c r="P675" s="16" t="str">
        <f aca="false">H675&amp;" &gt; "&amp;I675&amp;" ("&amp;K675&amp;" units)"</f>
        <v>Office Supplies &gt; Appliances (3 units)</v>
      </c>
      <c r="Q675" s="16" t="str">
        <f aca="false">VLOOKUP(G675,Region_Manager_Table,2,FALSE())</f>
        <v>Aditya Rao</v>
      </c>
      <c r="R675" s="16" t="n">
        <f aca="false">INDEX(SLA_Days_Col,MATCH(A675,ShipMode_Col,0))</f>
        <v>2</v>
      </c>
    </row>
    <row r="676" customFormat="false" ht="15" hidden="false" customHeight="false" outlineLevel="0" collapsed="false">
      <c r="A676" s="10" t="s">
        <v>98</v>
      </c>
      <c r="B676" s="10" t="s">
        <v>50</v>
      </c>
      <c r="C676" s="10" t="s">
        <v>51</v>
      </c>
      <c r="D676" s="10" t="s">
        <v>139</v>
      </c>
      <c r="E676" s="10" t="s">
        <v>110</v>
      </c>
      <c r="F676" s="10" t="n">
        <v>47201</v>
      </c>
      <c r="G676" s="10" t="s">
        <v>83</v>
      </c>
      <c r="H676" s="10" t="s">
        <v>62</v>
      </c>
      <c r="I676" s="10" t="s">
        <v>77</v>
      </c>
      <c r="J676" s="13" t="n">
        <v>38.9</v>
      </c>
      <c r="K676" s="10" t="n">
        <v>5</v>
      </c>
      <c r="L676" s="14" t="n">
        <v>0</v>
      </c>
      <c r="M676" s="15" t="n">
        <v>17.505</v>
      </c>
      <c r="N676" s="10" t="str">
        <f aca="false">IF(M676&lt;0,"Loss",IF(M676&lt;50,"Low Profit",IF(M676&lt;200,"Medium Profit","High Profit")))</f>
        <v>Low Profit</v>
      </c>
      <c r="O676" s="10" t="str">
        <f aca="false">IF(J676&gt;=500,"High Value","Standard")</f>
        <v>Standard</v>
      </c>
      <c r="P676" s="10" t="str">
        <f aca="false">H676&amp;" &gt; "&amp;I676&amp;" ("&amp;K676&amp;" units)"</f>
        <v>Office Supplies &gt; Paper (5 units)</v>
      </c>
      <c r="Q676" s="10" t="str">
        <f aca="false">VLOOKUP(G676,Region_Manager_Table,2,FALSE())</f>
        <v>Aditya Rao</v>
      </c>
      <c r="R676" s="10" t="n">
        <f aca="false">INDEX(SLA_Days_Col,MATCH(A676,ShipMode_Col,0))</f>
        <v>2</v>
      </c>
    </row>
    <row r="677" customFormat="false" ht="15" hidden="false" customHeight="false" outlineLevel="0" collapsed="false">
      <c r="A677" s="16" t="s">
        <v>98</v>
      </c>
      <c r="B677" s="16" t="s">
        <v>50</v>
      </c>
      <c r="C677" s="16" t="s">
        <v>51</v>
      </c>
      <c r="D677" s="16" t="s">
        <v>139</v>
      </c>
      <c r="E677" s="16" t="s">
        <v>110</v>
      </c>
      <c r="F677" s="16" t="n">
        <v>47201</v>
      </c>
      <c r="G677" s="16" t="s">
        <v>83</v>
      </c>
      <c r="H677" s="16" t="s">
        <v>71</v>
      </c>
      <c r="I677" s="16" t="s">
        <v>95</v>
      </c>
      <c r="J677" s="17" t="n">
        <v>99.39</v>
      </c>
      <c r="K677" s="16" t="n">
        <v>3</v>
      </c>
      <c r="L677" s="18" t="n">
        <v>0</v>
      </c>
      <c r="M677" s="19" t="n">
        <v>40.7499</v>
      </c>
      <c r="N677" s="16" t="str">
        <f aca="false">IF(M677&lt;0,"Loss",IF(M677&lt;50,"Low Profit",IF(M677&lt;200,"Medium Profit","High Profit")))</f>
        <v>Low Profit</v>
      </c>
      <c r="O677" s="16" t="str">
        <f aca="false">IF(J677&gt;=500,"High Value","Standard")</f>
        <v>Standard</v>
      </c>
      <c r="P677" s="16" t="str">
        <f aca="false">H677&amp;" &gt; "&amp;I677&amp;" ("&amp;K677&amp;" units)"</f>
        <v>Technology &gt; Accessories (3 units)</v>
      </c>
      <c r="Q677" s="16" t="str">
        <f aca="false">VLOOKUP(G677,Region_Manager_Table,2,FALSE())</f>
        <v>Aditya Rao</v>
      </c>
      <c r="R677" s="16" t="n">
        <f aca="false">INDEX(SLA_Days_Col,MATCH(A677,ShipMode_Col,0))</f>
        <v>2</v>
      </c>
    </row>
    <row r="678" customFormat="false" ht="15" hidden="false" customHeight="false" outlineLevel="0" collapsed="false">
      <c r="A678" s="10" t="s">
        <v>64</v>
      </c>
      <c r="B678" s="10" t="s">
        <v>50</v>
      </c>
      <c r="C678" s="10" t="s">
        <v>51</v>
      </c>
      <c r="D678" s="10" t="s">
        <v>258</v>
      </c>
      <c r="E678" s="10" t="s">
        <v>82</v>
      </c>
      <c r="F678" s="10" t="n">
        <v>75701</v>
      </c>
      <c r="G678" s="10" t="s">
        <v>83</v>
      </c>
      <c r="H678" s="10" t="s">
        <v>62</v>
      </c>
      <c r="I678" s="10" t="s">
        <v>74</v>
      </c>
      <c r="J678" s="13" t="n">
        <v>2.688</v>
      </c>
      <c r="K678" s="10" t="n">
        <v>3</v>
      </c>
      <c r="L678" s="14" t="n">
        <v>0.8</v>
      </c>
      <c r="M678" s="15" t="n">
        <v>-7.392</v>
      </c>
      <c r="N678" s="10" t="str">
        <f aca="false">IF(M678&lt;0,"Loss",IF(M678&lt;50,"Low Profit",IF(M678&lt;200,"Medium Profit","High Profit")))</f>
        <v>Loss</v>
      </c>
      <c r="O678" s="10" t="str">
        <f aca="false">IF(J678&gt;=500,"High Value","Standard")</f>
        <v>Standard</v>
      </c>
      <c r="P678" s="10" t="str">
        <f aca="false">H678&amp;" &gt; "&amp;I678&amp;" ("&amp;K678&amp;" units)"</f>
        <v>Office Supplies &gt; Appliances (3 units)</v>
      </c>
      <c r="Q678" s="10" t="str">
        <f aca="false">VLOOKUP(G678,Region_Manager_Table,2,FALSE())</f>
        <v>Aditya Rao</v>
      </c>
      <c r="R678" s="10" t="n">
        <f aca="false">INDEX(SLA_Days_Col,MATCH(A678,ShipMode_Col,0))</f>
        <v>6</v>
      </c>
    </row>
    <row r="679" customFormat="false" ht="15" hidden="false" customHeight="false" outlineLevel="0" collapsed="false">
      <c r="A679" s="16" t="s">
        <v>64</v>
      </c>
      <c r="B679" s="16" t="s">
        <v>50</v>
      </c>
      <c r="C679" s="16" t="s">
        <v>51</v>
      </c>
      <c r="D679" s="16" t="s">
        <v>258</v>
      </c>
      <c r="E679" s="16" t="s">
        <v>82</v>
      </c>
      <c r="F679" s="16" t="n">
        <v>75701</v>
      </c>
      <c r="G679" s="16" t="s">
        <v>83</v>
      </c>
      <c r="H679" s="16" t="s">
        <v>71</v>
      </c>
      <c r="I679" s="16" t="s">
        <v>95</v>
      </c>
      <c r="J679" s="17" t="n">
        <v>27.816</v>
      </c>
      <c r="K679" s="16" t="n">
        <v>3</v>
      </c>
      <c r="L679" s="18" t="n">
        <v>0.2</v>
      </c>
      <c r="M679" s="19" t="n">
        <v>4.5201</v>
      </c>
      <c r="N679" s="16" t="str">
        <f aca="false">IF(M679&lt;0,"Loss",IF(M679&lt;50,"Low Profit",IF(M679&lt;200,"Medium Profit","High Profit")))</f>
        <v>Low Profit</v>
      </c>
      <c r="O679" s="16" t="str">
        <f aca="false">IF(J679&gt;=500,"High Value","Standard")</f>
        <v>Standard</v>
      </c>
      <c r="P679" s="16" t="str">
        <f aca="false">H679&amp;" &gt; "&amp;I679&amp;" ("&amp;K679&amp;" units)"</f>
        <v>Technology &gt; Accessories (3 units)</v>
      </c>
      <c r="Q679" s="16" t="str">
        <f aca="false">VLOOKUP(G679,Region_Manager_Table,2,FALSE())</f>
        <v>Aditya Rao</v>
      </c>
      <c r="R679" s="16" t="n">
        <f aca="false">INDEX(SLA_Days_Col,MATCH(A679,ShipMode_Col,0))</f>
        <v>6</v>
      </c>
    </row>
    <row r="680" customFormat="false" ht="15" hidden="false" customHeight="false" outlineLevel="0" collapsed="false">
      <c r="A680" s="10" t="s">
        <v>64</v>
      </c>
      <c r="B680" s="10" t="s">
        <v>50</v>
      </c>
      <c r="C680" s="10" t="s">
        <v>51</v>
      </c>
      <c r="D680" s="10" t="s">
        <v>258</v>
      </c>
      <c r="E680" s="10" t="s">
        <v>82</v>
      </c>
      <c r="F680" s="10" t="n">
        <v>75701</v>
      </c>
      <c r="G680" s="10" t="s">
        <v>83</v>
      </c>
      <c r="H680" s="10" t="s">
        <v>55</v>
      </c>
      <c r="I680" s="10" t="s">
        <v>69</v>
      </c>
      <c r="J680" s="13" t="n">
        <v>82.524</v>
      </c>
      <c r="K680" s="10" t="n">
        <v>3</v>
      </c>
      <c r="L680" s="14" t="n">
        <v>0.6</v>
      </c>
      <c r="M680" s="15" t="n">
        <v>-41.262</v>
      </c>
      <c r="N680" s="10" t="str">
        <f aca="false">IF(M680&lt;0,"Loss",IF(M680&lt;50,"Low Profit",IF(M680&lt;200,"Medium Profit","High Profit")))</f>
        <v>Loss</v>
      </c>
      <c r="O680" s="10" t="str">
        <f aca="false">IF(J680&gt;=500,"High Value","Standard")</f>
        <v>Standard</v>
      </c>
      <c r="P680" s="10" t="str">
        <f aca="false">H680&amp;" &gt; "&amp;I680&amp;" ("&amp;K680&amp;" units)"</f>
        <v>Furniture &gt; Furnishings (3 units)</v>
      </c>
      <c r="Q680" s="10" t="str">
        <f aca="false">VLOOKUP(G680,Region_Manager_Table,2,FALSE())</f>
        <v>Aditya Rao</v>
      </c>
      <c r="R680" s="10" t="n">
        <f aca="false">INDEX(SLA_Days_Col,MATCH(A680,ShipMode_Col,0))</f>
        <v>6</v>
      </c>
    </row>
    <row r="681" customFormat="false" ht="15" hidden="false" customHeight="false" outlineLevel="0" collapsed="false">
      <c r="A681" s="16" t="s">
        <v>64</v>
      </c>
      <c r="B681" s="16" t="s">
        <v>50</v>
      </c>
      <c r="C681" s="16" t="s">
        <v>51</v>
      </c>
      <c r="D681" s="16" t="s">
        <v>258</v>
      </c>
      <c r="E681" s="16" t="s">
        <v>82</v>
      </c>
      <c r="F681" s="16" t="n">
        <v>75701</v>
      </c>
      <c r="G681" s="16" t="s">
        <v>83</v>
      </c>
      <c r="H681" s="16" t="s">
        <v>62</v>
      </c>
      <c r="I681" s="16" t="s">
        <v>73</v>
      </c>
      <c r="J681" s="17" t="n">
        <v>182.994</v>
      </c>
      <c r="K681" s="16" t="n">
        <v>3</v>
      </c>
      <c r="L681" s="18" t="n">
        <v>0.8</v>
      </c>
      <c r="M681" s="19" t="n">
        <v>-320.2395</v>
      </c>
      <c r="N681" s="16" t="str">
        <f aca="false">IF(M681&lt;0,"Loss",IF(M681&lt;50,"Low Profit",IF(M681&lt;200,"Medium Profit","High Profit")))</f>
        <v>Loss</v>
      </c>
      <c r="O681" s="16" t="str">
        <f aca="false">IF(J681&gt;=500,"High Value","Standard")</f>
        <v>Standard</v>
      </c>
      <c r="P681" s="16" t="str">
        <f aca="false">H681&amp;" &gt; "&amp;I681&amp;" ("&amp;K681&amp;" units)"</f>
        <v>Office Supplies &gt; Binders (3 units)</v>
      </c>
      <c r="Q681" s="16" t="str">
        <f aca="false">VLOOKUP(G681,Region_Manager_Table,2,FALSE())</f>
        <v>Aditya Rao</v>
      </c>
      <c r="R681" s="16" t="n">
        <f aca="false">INDEX(SLA_Days_Col,MATCH(A681,ShipMode_Col,0))</f>
        <v>6</v>
      </c>
    </row>
    <row r="682" customFormat="false" ht="15" hidden="false" customHeight="false" outlineLevel="0" collapsed="false">
      <c r="A682" s="10" t="s">
        <v>64</v>
      </c>
      <c r="B682" s="10" t="s">
        <v>50</v>
      </c>
      <c r="C682" s="10" t="s">
        <v>51</v>
      </c>
      <c r="D682" s="10" t="s">
        <v>111</v>
      </c>
      <c r="E682" s="10" t="s">
        <v>112</v>
      </c>
      <c r="F682" s="10" t="n">
        <v>10024</v>
      </c>
      <c r="G682" s="10" t="s">
        <v>93</v>
      </c>
      <c r="H682" s="10" t="s">
        <v>62</v>
      </c>
      <c r="I682" s="10" t="s">
        <v>73</v>
      </c>
      <c r="J682" s="13" t="n">
        <v>14.352</v>
      </c>
      <c r="K682" s="10" t="n">
        <v>3</v>
      </c>
      <c r="L682" s="14" t="n">
        <v>0.2</v>
      </c>
      <c r="M682" s="15" t="n">
        <v>4.6644</v>
      </c>
      <c r="N682" s="10" t="str">
        <f aca="false">IF(M682&lt;0,"Loss",IF(M682&lt;50,"Low Profit",IF(M682&lt;200,"Medium Profit","High Profit")))</f>
        <v>Low Profit</v>
      </c>
      <c r="O682" s="10" t="str">
        <f aca="false">IF(J682&gt;=500,"High Value","Standard")</f>
        <v>Standard</v>
      </c>
      <c r="P682" s="10" t="str">
        <f aca="false">H682&amp;" &gt; "&amp;I682&amp;" ("&amp;K682&amp;" units)"</f>
        <v>Office Supplies &gt; Binders (3 units)</v>
      </c>
      <c r="Q682" s="10" t="str">
        <f aca="false">VLOOKUP(G682,Region_Manager_Table,2,FALSE())</f>
        <v>Priya Menon</v>
      </c>
      <c r="R682" s="10" t="n">
        <f aca="false">INDEX(SLA_Days_Col,MATCH(A682,ShipMode_Col,0))</f>
        <v>6</v>
      </c>
    </row>
    <row r="683" customFormat="false" ht="15" hidden="false" customHeight="false" outlineLevel="0" collapsed="false">
      <c r="A683" s="16" t="s">
        <v>64</v>
      </c>
      <c r="B683" s="16" t="s">
        <v>50</v>
      </c>
      <c r="C683" s="16" t="s">
        <v>51</v>
      </c>
      <c r="D683" s="16" t="s">
        <v>111</v>
      </c>
      <c r="E683" s="16" t="s">
        <v>112</v>
      </c>
      <c r="F683" s="16" t="n">
        <v>10024</v>
      </c>
      <c r="G683" s="16" t="s">
        <v>93</v>
      </c>
      <c r="H683" s="16" t="s">
        <v>62</v>
      </c>
      <c r="I683" s="16" t="s">
        <v>68</v>
      </c>
      <c r="J683" s="17" t="n">
        <v>64.96</v>
      </c>
      <c r="K683" s="16" t="n">
        <v>2</v>
      </c>
      <c r="L683" s="18" t="n">
        <v>0</v>
      </c>
      <c r="M683" s="19" t="n">
        <v>2.5984</v>
      </c>
      <c r="N683" s="16" t="str">
        <f aca="false">IF(M683&lt;0,"Loss",IF(M683&lt;50,"Low Profit",IF(M683&lt;200,"Medium Profit","High Profit")))</f>
        <v>Low Profit</v>
      </c>
      <c r="O683" s="16" t="str">
        <f aca="false">IF(J683&gt;=500,"High Value","Standard")</f>
        <v>Standard</v>
      </c>
      <c r="P683" s="16" t="str">
        <f aca="false">H683&amp;" &gt; "&amp;I683&amp;" ("&amp;K683&amp;" units)"</f>
        <v>Office Supplies &gt; Storage (2 units)</v>
      </c>
      <c r="Q683" s="16" t="str">
        <f aca="false">VLOOKUP(G683,Region_Manager_Table,2,FALSE())</f>
        <v>Priya Menon</v>
      </c>
      <c r="R683" s="16" t="n">
        <f aca="false">INDEX(SLA_Days_Col,MATCH(A683,ShipMode_Col,0))</f>
        <v>6</v>
      </c>
    </row>
    <row r="684" customFormat="false" ht="15" hidden="false" customHeight="false" outlineLevel="0" collapsed="false">
      <c r="A684" s="10" t="s">
        <v>64</v>
      </c>
      <c r="B684" s="10" t="s">
        <v>50</v>
      </c>
      <c r="C684" s="10" t="s">
        <v>51</v>
      </c>
      <c r="D684" s="10" t="s">
        <v>111</v>
      </c>
      <c r="E684" s="10" t="s">
        <v>112</v>
      </c>
      <c r="F684" s="10" t="n">
        <v>10024</v>
      </c>
      <c r="G684" s="10" t="s">
        <v>93</v>
      </c>
      <c r="H684" s="10" t="s">
        <v>62</v>
      </c>
      <c r="I684" s="10" t="s">
        <v>68</v>
      </c>
      <c r="J684" s="13" t="n">
        <v>68.6</v>
      </c>
      <c r="K684" s="10" t="n">
        <v>4</v>
      </c>
      <c r="L684" s="14" t="n">
        <v>0</v>
      </c>
      <c r="M684" s="15" t="n">
        <v>18.522</v>
      </c>
      <c r="N684" s="10" t="str">
        <f aca="false">IF(M684&lt;0,"Loss",IF(M684&lt;50,"Low Profit",IF(M684&lt;200,"Medium Profit","High Profit")))</f>
        <v>Low Profit</v>
      </c>
      <c r="O684" s="10" t="str">
        <f aca="false">IF(J684&gt;=500,"High Value","Standard")</f>
        <v>Standard</v>
      </c>
      <c r="P684" s="10" t="str">
        <f aca="false">H684&amp;" &gt; "&amp;I684&amp;" ("&amp;K684&amp;" units)"</f>
        <v>Office Supplies &gt; Storage (4 units)</v>
      </c>
      <c r="Q684" s="10" t="str">
        <f aca="false">VLOOKUP(G684,Region_Manager_Table,2,FALSE())</f>
        <v>Priya Menon</v>
      </c>
      <c r="R684" s="10" t="n">
        <f aca="false">INDEX(SLA_Days_Col,MATCH(A684,ShipMode_Col,0))</f>
        <v>6</v>
      </c>
    </row>
    <row r="685" customFormat="false" ht="15" hidden="false" customHeight="false" outlineLevel="0" collapsed="false">
      <c r="A685" s="16" t="s">
        <v>204</v>
      </c>
      <c r="B685" s="16" t="s">
        <v>58</v>
      </c>
      <c r="C685" s="16" t="s">
        <v>51</v>
      </c>
      <c r="D685" s="16" t="s">
        <v>259</v>
      </c>
      <c r="E685" s="16" t="s">
        <v>76</v>
      </c>
      <c r="F685" s="16" t="n">
        <v>27217</v>
      </c>
      <c r="G685" s="16" t="s">
        <v>54</v>
      </c>
      <c r="H685" s="16" t="s">
        <v>71</v>
      </c>
      <c r="I685" s="16" t="s">
        <v>159</v>
      </c>
      <c r="J685" s="17" t="n">
        <v>7999.98</v>
      </c>
      <c r="K685" s="16" t="n">
        <v>4</v>
      </c>
      <c r="L685" s="18" t="n">
        <v>0.5</v>
      </c>
      <c r="M685" s="19" t="n">
        <v>-3839.9904</v>
      </c>
      <c r="N685" s="16" t="str">
        <f aca="false">IF(M685&lt;0,"Loss",IF(M685&lt;50,"Low Profit",IF(M685&lt;200,"Medium Profit","High Profit")))</f>
        <v>Loss</v>
      </c>
      <c r="O685" s="16" t="str">
        <f aca="false">IF(J685&gt;=500,"High Value","Standard")</f>
        <v>High Value</v>
      </c>
      <c r="P685" s="16" t="str">
        <f aca="false">H685&amp;" &gt; "&amp;I685&amp;" ("&amp;K685&amp;" units)"</f>
        <v>Technology &gt; Machines (4 units)</v>
      </c>
      <c r="Q685" s="16" t="str">
        <f aca="false">VLOOKUP(G685,Region_Manager_Table,2,FALSE())</f>
        <v>Karthik Iyer</v>
      </c>
      <c r="R685" s="16" t="n">
        <f aca="false">INDEX(SLA_Days_Col,MATCH(A685,ShipMode_Col,0))</f>
        <v>1</v>
      </c>
    </row>
    <row r="686" customFormat="false" ht="15" hidden="false" customHeight="false" outlineLevel="0" collapsed="false">
      <c r="A686" s="10" t="s">
        <v>204</v>
      </c>
      <c r="B686" s="10" t="s">
        <v>58</v>
      </c>
      <c r="C686" s="10" t="s">
        <v>51</v>
      </c>
      <c r="D686" s="10" t="s">
        <v>259</v>
      </c>
      <c r="E686" s="10" t="s">
        <v>76</v>
      </c>
      <c r="F686" s="10" t="n">
        <v>27217</v>
      </c>
      <c r="G686" s="10" t="s">
        <v>54</v>
      </c>
      <c r="H686" s="10" t="s">
        <v>62</v>
      </c>
      <c r="I686" s="10" t="s">
        <v>74</v>
      </c>
      <c r="J686" s="13" t="n">
        <v>167.44</v>
      </c>
      <c r="K686" s="10" t="n">
        <v>2</v>
      </c>
      <c r="L686" s="14" t="n">
        <v>0.2</v>
      </c>
      <c r="M686" s="15" t="n">
        <v>14.651</v>
      </c>
      <c r="N686" s="10" t="str">
        <f aca="false">IF(M686&lt;0,"Loss",IF(M686&lt;50,"Low Profit",IF(M686&lt;200,"Medium Profit","High Profit")))</f>
        <v>Low Profit</v>
      </c>
      <c r="O686" s="10" t="str">
        <f aca="false">IF(J686&gt;=500,"High Value","Standard")</f>
        <v>Standard</v>
      </c>
      <c r="P686" s="10" t="str">
        <f aca="false">H686&amp;" &gt; "&amp;I686&amp;" ("&amp;K686&amp;" units)"</f>
        <v>Office Supplies &gt; Appliances (2 units)</v>
      </c>
      <c r="Q686" s="10" t="str">
        <f aca="false">VLOOKUP(G686,Region_Manager_Table,2,FALSE())</f>
        <v>Karthik Iyer</v>
      </c>
      <c r="R686" s="10" t="n">
        <f aca="false">INDEX(SLA_Days_Col,MATCH(A686,ShipMode_Col,0))</f>
        <v>1</v>
      </c>
    </row>
    <row r="687" customFormat="false" ht="15" hidden="false" customHeight="false" outlineLevel="0" collapsed="false">
      <c r="A687" s="16" t="s">
        <v>98</v>
      </c>
      <c r="B687" s="16" t="s">
        <v>50</v>
      </c>
      <c r="C687" s="16" t="s">
        <v>51</v>
      </c>
      <c r="D687" s="16" t="s">
        <v>120</v>
      </c>
      <c r="E687" s="16" t="s">
        <v>221</v>
      </c>
      <c r="F687" s="16" t="n">
        <v>39212</v>
      </c>
      <c r="G687" s="16" t="s">
        <v>54</v>
      </c>
      <c r="H687" s="16" t="s">
        <v>71</v>
      </c>
      <c r="I687" s="16" t="s">
        <v>95</v>
      </c>
      <c r="J687" s="17" t="n">
        <v>479.97</v>
      </c>
      <c r="K687" s="16" t="n">
        <v>3</v>
      </c>
      <c r="L687" s="18" t="n">
        <v>0</v>
      </c>
      <c r="M687" s="19" t="n">
        <v>163.1898</v>
      </c>
      <c r="N687" s="16" t="str">
        <f aca="false">IF(M687&lt;0,"Loss",IF(M687&lt;50,"Low Profit",IF(M687&lt;200,"Medium Profit","High Profit")))</f>
        <v>Medium Profit</v>
      </c>
      <c r="O687" s="16" t="str">
        <f aca="false">IF(J687&gt;=500,"High Value","Standard")</f>
        <v>Standard</v>
      </c>
      <c r="P687" s="16" t="str">
        <f aca="false">H687&amp;" &gt; "&amp;I687&amp;" ("&amp;K687&amp;" units)"</f>
        <v>Technology &gt; Accessories (3 units)</v>
      </c>
      <c r="Q687" s="16" t="str">
        <f aca="false">VLOOKUP(G687,Region_Manager_Table,2,FALSE())</f>
        <v>Karthik Iyer</v>
      </c>
      <c r="R687" s="16" t="n">
        <f aca="false">INDEX(SLA_Days_Col,MATCH(A687,ShipMode_Col,0))</f>
        <v>2</v>
      </c>
    </row>
    <row r="688" customFormat="false" ht="15" hidden="false" customHeight="false" outlineLevel="0" collapsed="false">
      <c r="A688" s="10" t="s">
        <v>98</v>
      </c>
      <c r="B688" s="10" t="s">
        <v>50</v>
      </c>
      <c r="C688" s="10" t="s">
        <v>51</v>
      </c>
      <c r="D688" s="10" t="s">
        <v>120</v>
      </c>
      <c r="E688" s="10" t="s">
        <v>221</v>
      </c>
      <c r="F688" s="10" t="n">
        <v>39212</v>
      </c>
      <c r="G688" s="10" t="s">
        <v>54</v>
      </c>
      <c r="H688" s="10" t="s">
        <v>62</v>
      </c>
      <c r="I688" s="10" t="s">
        <v>63</v>
      </c>
      <c r="J688" s="13" t="n">
        <v>14.62</v>
      </c>
      <c r="K688" s="10" t="n">
        <v>2</v>
      </c>
      <c r="L688" s="14" t="n">
        <v>0</v>
      </c>
      <c r="M688" s="15" t="n">
        <v>6.8714</v>
      </c>
      <c r="N688" s="10" t="str">
        <f aca="false">IF(M688&lt;0,"Loss",IF(M688&lt;50,"Low Profit",IF(M688&lt;200,"Medium Profit","High Profit")))</f>
        <v>Low Profit</v>
      </c>
      <c r="O688" s="10" t="str">
        <f aca="false">IF(J688&gt;=500,"High Value","Standard")</f>
        <v>Standard</v>
      </c>
      <c r="P688" s="10" t="str">
        <f aca="false">H688&amp;" &gt; "&amp;I688&amp;" ("&amp;K688&amp;" units)"</f>
        <v>Office Supplies &gt; Labels (2 units)</v>
      </c>
      <c r="Q688" s="10" t="str">
        <f aca="false">VLOOKUP(G688,Region_Manager_Table,2,FALSE())</f>
        <v>Karthik Iyer</v>
      </c>
      <c r="R688" s="10" t="n">
        <f aca="false">INDEX(SLA_Days_Col,MATCH(A688,ShipMode_Col,0))</f>
        <v>2</v>
      </c>
    </row>
    <row r="689" customFormat="false" ht="15" hidden="false" customHeight="false" outlineLevel="0" collapsed="false">
      <c r="A689" s="16" t="s">
        <v>98</v>
      </c>
      <c r="B689" s="16" t="s">
        <v>50</v>
      </c>
      <c r="C689" s="16" t="s">
        <v>51</v>
      </c>
      <c r="D689" s="16" t="s">
        <v>120</v>
      </c>
      <c r="E689" s="16" t="s">
        <v>221</v>
      </c>
      <c r="F689" s="16" t="n">
        <v>39212</v>
      </c>
      <c r="G689" s="16" t="s">
        <v>54</v>
      </c>
      <c r="H689" s="16" t="s">
        <v>62</v>
      </c>
      <c r="I689" s="16" t="s">
        <v>77</v>
      </c>
      <c r="J689" s="17" t="n">
        <v>19.44</v>
      </c>
      <c r="K689" s="16" t="n">
        <v>3</v>
      </c>
      <c r="L689" s="18" t="n">
        <v>0</v>
      </c>
      <c r="M689" s="19" t="n">
        <v>9.3312</v>
      </c>
      <c r="N689" s="16" t="str">
        <f aca="false">IF(M689&lt;0,"Loss",IF(M689&lt;50,"Low Profit",IF(M689&lt;200,"Medium Profit","High Profit")))</f>
        <v>Low Profit</v>
      </c>
      <c r="O689" s="16" t="str">
        <f aca="false">IF(J689&gt;=500,"High Value","Standard")</f>
        <v>Standard</v>
      </c>
      <c r="P689" s="16" t="str">
        <f aca="false">H689&amp;" &gt; "&amp;I689&amp;" ("&amp;K689&amp;" units)"</f>
        <v>Office Supplies &gt; Paper (3 units)</v>
      </c>
      <c r="Q689" s="16" t="str">
        <f aca="false">VLOOKUP(G689,Region_Manager_Table,2,FALSE())</f>
        <v>Karthik Iyer</v>
      </c>
      <c r="R689" s="16" t="n">
        <f aca="false">INDEX(SLA_Days_Col,MATCH(A689,ShipMode_Col,0))</f>
        <v>2</v>
      </c>
    </row>
    <row r="690" customFormat="false" ht="15" hidden="false" customHeight="false" outlineLevel="0" collapsed="false">
      <c r="A690" s="10" t="s">
        <v>64</v>
      </c>
      <c r="B690" s="10" t="s">
        <v>50</v>
      </c>
      <c r="C690" s="10" t="s">
        <v>51</v>
      </c>
      <c r="D690" s="10" t="s">
        <v>111</v>
      </c>
      <c r="E690" s="10" t="s">
        <v>112</v>
      </c>
      <c r="F690" s="10" t="n">
        <v>10035</v>
      </c>
      <c r="G690" s="10" t="s">
        <v>93</v>
      </c>
      <c r="H690" s="10" t="s">
        <v>55</v>
      </c>
      <c r="I690" s="10" t="s">
        <v>56</v>
      </c>
      <c r="J690" s="13" t="n">
        <v>191.984</v>
      </c>
      <c r="K690" s="10" t="n">
        <v>2</v>
      </c>
      <c r="L690" s="14" t="n">
        <v>0.2</v>
      </c>
      <c r="M690" s="15" t="n">
        <v>4.7996</v>
      </c>
      <c r="N690" s="10" t="str">
        <f aca="false">IF(M690&lt;0,"Loss",IF(M690&lt;50,"Low Profit",IF(M690&lt;200,"Medium Profit","High Profit")))</f>
        <v>Low Profit</v>
      </c>
      <c r="O690" s="10" t="str">
        <f aca="false">IF(J690&gt;=500,"High Value","Standard")</f>
        <v>Standard</v>
      </c>
      <c r="P690" s="10" t="str">
        <f aca="false">H690&amp;" &gt; "&amp;I690&amp;" ("&amp;K690&amp;" units)"</f>
        <v>Furniture &gt; Bookcases (2 units)</v>
      </c>
      <c r="Q690" s="10" t="str">
        <f aca="false">VLOOKUP(G690,Region_Manager_Table,2,FALSE())</f>
        <v>Priya Menon</v>
      </c>
      <c r="R690" s="10" t="n">
        <f aca="false">INDEX(SLA_Days_Col,MATCH(A690,ShipMode_Col,0))</f>
        <v>6</v>
      </c>
    </row>
    <row r="691" customFormat="false" ht="15" hidden="false" customHeight="false" outlineLevel="0" collapsed="false">
      <c r="A691" s="16" t="s">
        <v>49</v>
      </c>
      <c r="B691" s="16" t="s">
        <v>50</v>
      </c>
      <c r="C691" s="16" t="s">
        <v>51</v>
      </c>
      <c r="D691" s="16" t="s">
        <v>260</v>
      </c>
      <c r="E691" s="16" t="s">
        <v>119</v>
      </c>
      <c r="F691" s="16" t="n">
        <v>22980</v>
      </c>
      <c r="G691" s="16" t="s">
        <v>54</v>
      </c>
      <c r="H691" s="16" t="s">
        <v>55</v>
      </c>
      <c r="I691" s="16" t="s">
        <v>69</v>
      </c>
      <c r="J691" s="17" t="n">
        <v>104.01</v>
      </c>
      <c r="K691" s="16" t="n">
        <v>1</v>
      </c>
      <c r="L691" s="18" t="n">
        <v>0</v>
      </c>
      <c r="M691" s="19" t="n">
        <v>14.5614</v>
      </c>
      <c r="N691" s="16" t="str">
        <f aca="false">IF(M691&lt;0,"Loss",IF(M691&lt;50,"Low Profit",IF(M691&lt;200,"Medium Profit","High Profit")))</f>
        <v>Low Profit</v>
      </c>
      <c r="O691" s="16" t="str">
        <f aca="false">IF(J691&gt;=500,"High Value","Standard")</f>
        <v>Standard</v>
      </c>
      <c r="P691" s="16" t="str">
        <f aca="false">H691&amp;" &gt; "&amp;I691&amp;" ("&amp;K691&amp;" units)"</f>
        <v>Furniture &gt; Furnishings (1 units)</v>
      </c>
      <c r="Q691" s="16" t="str">
        <f aca="false">VLOOKUP(G691,Region_Manager_Table,2,FALSE())</f>
        <v>Karthik Iyer</v>
      </c>
      <c r="R691" s="16" t="n">
        <f aca="false">INDEX(SLA_Days_Col,MATCH(A691,ShipMode_Col,0))</f>
        <v>4</v>
      </c>
    </row>
    <row r="692" customFormat="false" ht="15" hidden="false" customHeight="false" outlineLevel="0" collapsed="false">
      <c r="A692" s="10" t="s">
        <v>49</v>
      </c>
      <c r="B692" s="10" t="s">
        <v>50</v>
      </c>
      <c r="C692" s="10" t="s">
        <v>51</v>
      </c>
      <c r="D692" s="10" t="s">
        <v>260</v>
      </c>
      <c r="E692" s="10" t="s">
        <v>119</v>
      </c>
      <c r="F692" s="10" t="n">
        <v>22980</v>
      </c>
      <c r="G692" s="10" t="s">
        <v>54</v>
      </c>
      <c r="H692" s="10" t="s">
        <v>71</v>
      </c>
      <c r="I692" s="10" t="s">
        <v>72</v>
      </c>
      <c r="J692" s="13" t="n">
        <v>284.82</v>
      </c>
      <c r="K692" s="10" t="n">
        <v>1</v>
      </c>
      <c r="L692" s="14" t="n">
        <v>0</v>
      </c>
      <c r="M692" s="15" t="n">
        <v>74.0532</v>
      </c>
      <c r="N692" s="10" t="str">
        <f aca="false">IF(M692&lt;0,"Loss",IF(M692&lt;50,"Low Profit",IF(M692&lt;200,"Medium Profit","High Profit")))</f>
        <v>Medium Profit</v>
      </c>
      <c r="O692" s="10" t="str">
        <f aca="false">IF(J692&gt;=500,"High Value","Standard")</f>
        <v>Standard</v>
      </c>
      <c r="P692" s="10" t="str">
        <f aca="false">H692&amp;" &gt; "&amp;I692&amp;" ("&amp;K692&amp;" units)"</f>
        <v>Technology &gt; Phones (1 units)</v>
      </c>
      <c r="Q692" s="10" t="str">
        <f aca="false">VLOOKUP(G692,Region_Manager_Table,2,FALSE())</f>
        <v>Karthik Iyer</v>
      </c>
      <c r="R692" s="10" t="n">
        <f aca="false">INDEX(SLA_Days_Col,MATCH(A692,ShipMode_Col,0))</f>
        <v>4</v>
      </c>
    </row>
    <row r="693" customFormat="false" ht="15" hidden="false" customHeight="false" outlineLevel="0" collapsed="false">
      <c r="A693" s="16" t="s">
        <v>49</v>
      </c>
      <c r="B693" s="16" t="s">
        <v>50</v>
      </c>
      <c r="C693" s="16" t="s">
        <v>51</v>
      </c>
      <c r="D693" s="16" t="s">
        <v>260</v>
      </c>
      <c r="E693" s="16" t="s">
        <v>119</v>
      </c>
      <c r="F693" s="16" t="n">
        <v>22980</v>
      </c>
      <c r="G693" s="16" t="s">
        <v>54</v>
      </c>
      <c r="H693" s="16" t="s">
        <v>62</v>
      </c>
      <c r="I693" s="16" t="s">
        <v>68</v>
      </c>
      <c r="J693" s="17" t="n">
        <v>36.84</v>
      </c>
      <c r="K693" s="16" t="n">
        <v>3</v>
      </c>
      <c r="L693" s="18" t="n">
        <v>0</v>
      </c>
      <c r="M693" s="19" t="n">
        <v>10.3152</v>
      </c>
      <c r="N693" s="16" t="str">
        <f aca="false">IF(M693&lt;0,"Loss",IF(M693&lt;50,"Low Profit",IF(M693&lt;200,"Medium Profit","High Profit")))</f>
        <v>Low Profit</v>
      </c>
      <c r="O693" s="16" t="str">
        <f aca="false">IF(J693&gt;=500,"High Value","Standard")</f>
        <v>Standard</v>
      </c>
      <c r="P693" s="16" t="str">
        <f aca="false">H693&amp;" &gt; "&amp;I693&amp;" ("&amp;K693&amp;" units)"</f>
        <v>Office Supplies &gt; Storage (3 units)</v>
      </c>
      <c r="Q693" s="16" t="str">
        <f aca="false">VLOOKUP(G693,Region_Manager_Table,2,FALSE())</f>
        <v>Karthik Iyer</v>
      </c>
      <c r="R693" s="16" t="n">
        <f aca="false">INDEX(SLA_Days_Col,MATCH(A693,ShipMode_Col,0))</f>
        <v>4</v>
      </c>
    </row>
    <row r="694" customFormat="false" ht="15" hidden="false" customHeight="false" outlineLevel="0" collapsed="false">
      <c r="A694" s="10" t="s">
        <v>64</v>
      </c>
      <c r="B694" s="10" t="s">
        <v>50</v>
      </c>
      <c r="C694" s="10" t="s">
        <v>51</v>
      </c>
      <c r="D694" s="10" t="s">
        <v>59</v>
      </c>
      <c r="E694" s="10" t="s">
        <v>60</v>
      </c>
      <c r="F694" s="10" t="n">
        <v>90036</v>
      </c>
      <c r="G694" s="10" t="s">
        <v>61</v>
      </c>
      <c r="H694" s="10" t="s">
        <v>71</v>
      </c>
      <c r="I694" s="10" t="s">
        <v>95</v>
      </c>
      <c r="J694" s="13" t="n">
        <v>166.24</v>
      </c>
      <c r="K694" s="10" t="n">
        <v>1</v>
      </c>
      <c r="L694" s="14" t="n">
        <v>0</v>
      </c>
      <c r="M694" s="15" t="n">
        <v>24.936</v>
      </c>
      <c r="N694" s="10" t="str">
        <f aca="false">IF(M694&lt;0,"Loss",IF(M694&lt;50,"Low Profit",IF(M694&lt;200,"Medium Profit","High Profit")))</f>
        <v>Low Profit</v>
      </c>
      <c r="O694" s="10" t="str">
        <f aca="false">IF(J694&gt;=500,"High Value","Standard")</f>
        <v>Standard</v>
      </c>
      <c r="P694" s="10" t="str">
        <f aca="false">H694&amp;" &gt; "&amp;I694&amp;" ("&amp;K694&amp;" units)"</f>
        <v>Technology &gt; Accessories (1 units)</v>
      </c>
      <c r="Q694" s="10" t="str">
        <f aca="false">VLOOKUP(G694,Region_Manager_Table,2,FALSE())</f>
        <v>Sana Sheikh</v>
      </c>
      <c r="R694" s="10" t="n">
        <f aca="false">INDEX(SLA_Days_Col,MATCH(A694,ShipMode_Col,0))</f>
        <v>6</v>
      </c>
    </row>
    <row r="695" customFormat="false" ht="15" hidden="false" customHeight="false" outlineLevel="0" collapsed="false">
      <c r="A695" s="16" t="s">
        <v>64</v>
      </c>
      <c r="B695" s="16" t="s">
        <v>50</v>
      </c>
      <c r="C695" s="16" t="s">
        <v>51</v>
      </c>
      <c r="D695" s="16" t="s">
        <v>59</v>
      </c>
      <c r="E695" s="16" t="s">
        <v>60</v>
      </c>
      <c r="F695" s="16" t="n">
        <v>90036</v>
      </c>
      <c r="G695" s="16" t="s">
        <v>61</v>
      </c>
      <c r="H695" s="16" t="s">
        <v>62</v>
      </c>
      <c r="I695" s="16" t="s">
        <v>77</v>
      </c>
      <c r="J695" s="17" t="n">
        <v>33.4</v>
      </c>
      <c r="K695" s="16" t="n">
        <v>5</v>
      </c>
      <c r="L695" s="18" t="n">
        <v>0</v>
      </c>
      <c r="M695" s="19" t="n">
        <v>16.032</v>
      </c>
      <c r="N695" s="16" t="str">
        <f aca="false">IF(M695&lt;0,"Loss",IF(M695&lt;50,"Low Profit",IF(M695&lt;200,"Medium Profit","High Profit")))</f>
        <v>Low Profit</v>
      </c>
      <c r="O695" s="16" t="str">
        <f aca="false">IF(J695&gt;=500,"High Value","Standard")</f>
        <v>Standard</v>
      </c>
      <c r="P695" s="16" t="str">
        <f aca="false">H695&amp;" &gt; "&amp;I695&amp;" ("&amp;K695&amp;" units)"</f>
        <v>Office Supplies &gt; Paper (5 units)</v>
      </c>
      <c r="Q695" s="16" t="str">
        <f aca="false">VLOOKUP(G695,Region_Manager_Table,2,FALSE())</f>
        <v>Sana Sheikh</v>
      </c>
      <c r="R695" s="16" t="n">
        <f aca="false">INDEX(SLA_Days_Col,MATCH(A695,ShipMode_Col,0))</f>
        <v>6</v>
      </c>
    </row>
    <row r="696" customFormat="false" ht="15" hidden="false" customHeight="false" outlineLevel="0" collapsed="false">
      <c r="A696" s="10" t="s">
        <v>98</v>
      </c>
      <c r="B696" s="10" t="s">
        <v>80</v>
      </c>
      <c r="C696" s="10" t="s">
        <v>51</v>
      </c>
      <c r="D696" s="10" t="s">
        <v>261</v>
      </c>
      <c r="E696" s="10" t="s">
        <v>92</v>
      </c>
      <c r="F696" s="10" t="n">
        <v>19013</v>
      </c>
      <c r="G696" s="10" t="s">
        <v>93</v>
      </c>
      <c r="H696" s="10" t="s">
        <v>62</v>
      </c>
      <c r="I696" s="10" t="s">
        <v>70</v>
      </c>
      <c r="J696" s="13" t="n">
        <v>198.272</v>
      </c>
      <c r="K696" s="10" t="n">
        <v>8</v>
      </c>
      <c r="L696" s="14" t="n">
        <v>0.2</v>
      </c>
      <c r="M696" s="15" t="n">
        <v>17.3488</v>
      </c>
      <c r="N696" s="10" t="str">
        <f aca="false">IF(M696&lt;0,"Loss",IF(M696&lt;50,"Low Profit",IF(M696&lt;200,"Medium Profit","High Profit")))</f>
        <v>Low Profit</v>
      </c>
      <c r="O696" s="10" t="str">
        <f aca="false">IF(J696&gt;=500,"High Value","Standard")</f>
        <v>Standard</v>
      </c>
      <c r="P696" s="10" t="str">
        <f aca="false">H696&amp;" &gt; "&amp;I696&amp;" ("&amp;K696&amp;" units)"</f>
        <v>Office Supplies &gt; Art (8 units)</v>
      </c>
      <c r="Q696" s="10" t="str">
        <f aca="false">VLOOKUP(G696,Region_Manager_Table,2,FALSE())</f>
        <v>Priya Menon</v>
      </c>
      <c r="R696" s="10" t="n">
        <f aca="false">INDEX(SLA_Days_Col,MATCH(A696,ShipMode_Col,0))</f>
        <v>2</v>
      </c>
    </row>
    <row r="697" customFormat="false" ht="15" hidden="false" customHeight="false" outlineLevel="0" collapsed="false">
      <c r="A697" s="16" t="s">
        <v>98</v>
      </c>
      <c r="B697" s="16" t="s">
        <v>80</v>
      </c>
      <c r="C697" s="16" t="s">
        <v>51</v>
      </c>
      <c r="D697" s="16" t="s">
        <v>261</v>
      </c>
      <c r="E697" s="16" t="s">
        <v>92</v>
      </c>
      <c r="F697" s="16" t="n">
        <v>19013</v>
      </c>
      <c r="G697" s="16" t="s">
        <v>93</v>
      </c>
      <c r="H697" s="16" t="s">
        <v>62</v>
      </c>
      <c r="I697" s="16" t="s">
        <v>63</v>
      </c>
      <c r="J697" s="17" t="n">
        <v>47.36</v>
      </c>
      <c r="K697" s="16" t="n">
        <v>4</v>
      </c>
      <c r="L697" s="18" t="n">
        <v>0.2</v>
      </c>
      <c r="M697" s="19" t="n">
        <v>17.76</v>
      </c>
      <c r="N697" s="16" t="str">
        <f aca="false">IF(M697&lt;0,"Loss",IF(M697&lt;50,"Low Profit",IF(M697&lt;200,"Medium Profit","High Profit")))</f>
        <v>Low Profit</v>
      </c>
      <c r="O697" s="16" t="str">
        <f aca="false">IF(J697&gt;=500,"High Value","Standard")</f>
        <v>Standard</v>
      </c>
      <c r="P697" s="16" t="str">
        <f aca="false">H697&amp;" &gt; "&amp;I697&amp;" ("&amp;K697&amp;" units)"</f>
        <v>Office Supplies &gt; Labels (4 units)</v>
      </c>
      <c r="Q697" s="16" t="str">
        <f aca="false">VLOOKUP(G697,Region_Manager_Table,2,FALSE())</f>
        <v>Priya Menon</v>
      </c>
      <c r="R697" s="16" t="n">
        <f aca="false">INDEX(SLA_Days_Col,MATCH(A697,ShipMode_Col,0))</f>
        <v>2</v>
      </c>
    </row>
    <row r="698" customFormat="false" ht="15" hidden="false" customHeight="false" outlineLevel="0" collapsed="false">
      <c r="A698" s="10" t="s">
        <v>98</v>
      </c>
      <c r="B698" s="10" t="s">
        <v>80</v>
      </c>
      <c r="C698" s="10" t="s">
        <v>51</v>
      </c>
      <c r="D698" s="10" t="s">
        <v>261</v>
      </c>
      <c r="E698" s="10" t="s">
        <v>92</v>
      </c>
      <c r="F698" s="10" t="n">
        <v>19013</v>
      </c>
      <c r="G698" s="10" t="s">
        <v>93</v>
      </c>
      <c r="H698" s="10" t="s">
        <v>62</v>
      </c>
      <c r="I698" s="10" t="s">
        <v>96</v>
      </c>
      <c r="J698" s="13" t="n">
        <v>200.984</v>
      </c>
      <c r="K698" s="10" t="n">
        <v>7</v>
      </c>
      <c r="L698" s="14" t="n">
        <v>0.2</v>
      </c>
      <c r="M698" s="15" t="n">
        <v>62.8075</v>
      </c>
      <c r="N698" s="10" t="str">
        <f aca="false">IF(M698&lt;0,"Loss",IF(M698&lt;50,"Low Profit",IF(M698&lt;200,"Medium Profit","High Profit")))</f>
        <v>Medium Profit</v>
      </c>
      <c r="O698" s="10" t="str">
        <f aca="false">IF(J698&gt;=500,"High Value","Standard")</f>
        <v>Standard</v>
      </c>
      <c r="P698" s="10" t="str">
        <f aca="false">H698&amp;" &gt; "&amp;I698&amp;" ("&amp;K698&amp;" units)"</f>
        <v>Office Supplies &gt; Envelopes (7 units)</v>
      </c>
      <c r="Q698" s="10" t="str">
        <f aca="false">VLOOKUP(G698,Region_Manager_Table,2,FALSE())</f>
        <v>Priya Menon</v>
      </c>
      <c r="R698" s="10" t="n">
        <f aca="false">INDEX(SLA_Days_Col,MATCH(A698,ShipMode_Col,0))</f>
        <v>2</v>
      </c>
    </row>
    <row r="699" customFormat="false" ht="15" hidden="false" customHeight="false" outlineLevel="0" collapsed="false">
      <c r="A699" s="16" t="s">
        <v>98</v>
      </c>
      <c r="B699" s="16" t="s">
        <v>80</v>
      </c>
      <c r="C699" s="16" t="s">
        <v>51</v>
      </c>
      <c r="D699" s="16" t="s">
        <v>261</v>
      </c>
      <c r="E699" s="16" t="s">
        <v>92</v>
      </c>
      <c r="F699" s="16" t="n">
        <v>19013</v>
      </c>
      <c r="G699" s="16" t="s">
        <v>93</v>
      </c>
      <c r="H699" s="16" t="s">
        <v>62</v>
      </c>
      <c r="I699" s="16" t="s">
        <v>63</v>
      </c>
      <c r="J699" s="17" t="n">
        <v>97.696</v>
      </c>
      <c r="K699" s="16" t="n">
        <v>4</v>
      </c>
      <c r="L699" s="18" t="n">
        <v>0.2</v>
      </c>
      <c r="M699" s="19" t="n">
        <v>31.7512</v>
      </c>
      <c r="N699" s="16" t="str">
        <f aca="false">IF(M699&lt;0,"Loss",IF(M699&lt;50,"Low Profit",IF(M699&lt;200,"Medium Profit","High Profit")))</f>
        <v>Low Profit</v>
      </c>
      <c r="O699" s="16" t="str">
        <f aca="false">IF(J699&gt;=500,"High Value","Standard")</f>
        <v>Standard</v>
      </c>
      <c r="P699" s="16" t="str">
        <f aca="false">H699&amp;" &gt; "&amp;I699&amp;" ("&amp;K699&amp;" units)"</f>
        <v>Office Supplies &gt; Labels (4 units)</v>
      </c>
      <c r="Q699" s="16" t="str">
        <f aca="false">VLOOKUP(G699,Region_Manager_Table,2,FALSE())</f>
        <v>Priya Menon</v>
      </c>
      <c r="R699" s="16" t="n">
        <f aca="false">INDEX(SLA_Days_Col,MATCH(A699,ShipMode_Col,0))</f>
        <v>2</v>
      </c>
    </row>
    <row r="700" customFormat="false" ht="15" hidden="false" customHeight="false" outlineLevel="0" collapsed="false">
      <c r="A700" s="10" t="s">
        <v>98</v>
      </c>
      <c r="B700" s="10" t="s">
        <v>80</v>
      </c>
      <c r="C700" s="10" t="s">
        <v>51</v>
      </c>
      <c r="D700" s="10" t="s">
        <v>261</v>
      </c>
      <c r="E700" s="10" t="s">
        <v>92</v>
      </c>
      <c r="F700" s="10" t="n">
        <v>19013</v>
      </c>
      <c r="G700" s="10" t="s">
        <v>93</v>
      </c>
      <c r="H700" s="10" t="s">
        <v>62</v>
      </c>
      <c r="I700" s="10" t="s">
        <v>70</v>
      </c>
      <c r="J700" s="13" t="n">
        <v>2.696</v>
      </c>
      <c r="K700" s="10" t="n">
        <v>1</v>
      </c>
      <c r="L700" s="14" t="n">
        <v>0.2</v>
      </c>
      <c r="M700" s="15" t="n">
        <v>0.8088</v>
      </c>
      <c r="N700" s="10" t="str">
        <f aca="false">IF(M700&lt;0,"Loss",IF(M700&lt;50,"Low Profit",IF(M700&lt;200,"Medium Profit","High Profit")))</f>
        <v>Low Profit</v>
      </c>
      <c r="O700" s="10" t="str">
        <f aca="false">IF(J700&gt;=500,"High Value","Standard")</f>
        <v>Standard</v>
      </c>
      <c r="P700" s="10" t="str">
        <f aca="false">H700&amp;" &gt; "&amp;I700&amp;" ("&amp;K700&amp;" units)"</f>
        <v>Office Supplies &gt; Art (1 units)</v>
      </c>
      <c r="Q700" s="10" t="str">
        <f aca="false">VLOOKUP(G700,Region_Manager_Table,2,FALSE())</f>
        <v>Priya Menon</v>
      </c>
      <c r="R700" s="10" t="n">
        <f aca="false">INDEX(SLA_Days_Col,MATCH(A700,ShipMode_Col,0))</f>
        <v>2</v>
      </c>
    </row>
    <row r="701" customFormat="false" ht="15" hidden="false" customHeight="false" outlineLevel="0" collapsed="false">
      <c r="A701" s="16" t="s">
        <v>98</v>
      </c>
      <c r="B701" s="16" t="s">
        <v>80</v>
      </c>
      <c r="C701" s="16" t="s">
        <v>51</v>
      </c>
      <c r="D701" s="16" t="s">
        <v>261</v>
      </c>
      <c r="E701" s="16" t="s">
        <v>92</v>
      </c>
      <c r="F701" s="16" t="n">
        <v>19013</v>
      </c>
      <c r="G701" s="16" t="s">
        <v>93</v>
      </c>
      <c r="H701" s="16" t="s">
        <v>62</v>
      </c>
      <c r="I701" s="16" t="s">
        <v>73</v>
      </c>
      <c r="J701" s="17" t="n">
        <v>18.588</v>
      </c>
      <c r="K701" s="16" t="n">
        <v>2</v>
      </c>
      <c r="L701" s="18" t="n">
        <v>0.7</v>
      </c>
      <c r="M701" s="19" t="n">
        <v>-13.6312</v>
      </c>
      <c r="N701" s="16" t="str">
        <f aca="false">IF(M701&lt;0,"Loss",IF(M701&lt;50,"Low Profit",IF(M701&lt;200,"Medium Profit","High Profit")))</f>
        <v>Loss</v>
      </c>
      <c r="O701" s="16" t="str">
        <f aca="false">IF(J701&gt;=500,"High Value","Standard")</f>
        <v>Standard</v>
      </c>
      <c r="P701" s="16" t="str">
        <f aca="false">H701&amp;" &gt; "&amp;I701&amp;" ("&amp;K701&amp;" units)"</f>
        <v>Office Supplies &gt; Binders (2 units)</v>
      </c>
      <c r="Q701" s="16" t="str">
        <f aca="false">VLOOKUP(G701,Region_Manager_Table,2,FALSE())</f>
        <v>Priya Menon</v>
      </c>
      <c r="R701" s="16" t="n">
        <f aca="false">INDEX(SLA_Days_Col,MATCH(A701,ShipMode_Col,0))</f>
        <v>2</v>
      </c>
    </row>
    <row r="702" customFormat="false" ht="15" hidden="false" customHeight="false" outlineLevel="0" collapsed="false">
      <c r="A702" s="10" t="s">
        <v>98</v>
      </c>
      <c r="B702" s="10" t="s">
        <v>80</v>
      </c>
      <c r="C702" s="10" t="s">
        <v>51</v>
      </c>
      <c r="D702" s="10" t="s">
        <v>261</v>
      </c>
      <c r="E702" s="10" t="s">
        <v>92</v>
      </c>
      <c r="F702" s="10" t="n">
        <v>19013</v>
      </c>
      <c r="G702" s="10" t="s">
        <v>93</v>
      </c>
      <c r="H702" s="10" t="s">
        <v>62</v>
      </c>
      <c r="I702" s="10" t="s">
        <v>73</v>
      </c>
      <c r="J702" s="13" t="n">
        <v>4.896</v>
      </c>
      <c r="K702" s="10" t="n">
        <v>3</v>
      </c>
      <c r="L702" s="14" t="n">
        <v>0.7</v>
      </c>
      <c r="M702" s="15" t="n">
        <v>-3.4272</v>
      </c>
      <c r="N702" s="10" t="str">
        <f aca="false">IF(M702&lt;0,"Loss",IF(M702&lt;50,"Low Profit",IF(M702&lt;200,"Medium Profit","High Profit")))</f>
        <v>Loss</v>
      </c>
      <c r="O702" s="10" t="str">
        <f aca="false">IF(J702&gt;=500,"High Value","Standard")</f>
        <v>Standard</v>
      </c>
      <c r="P702" s="10" t="str">
        <f aca="false">H702&amp;" &gt; "&amp;I702&amp;" ("&amp;K702&amp;" units)"</f>
        <v>Office Supplies &gt; Binders (3 units)</v>
      </c>
      <c r="Q702" s="10" t="str">
        <f aca="false">VLOOKUP(G702,Region_Manager_Table,2,FALSE())</f>
        <v>Priya Menon</v>
      </c>
      <c r="R702" s="10" t="n">
        <f aca="false">INDEX(SLA_Days_Col,MATCH(A702,ShipMode_Col,0))</f>
        <v>2</v>
      </c>
    </row>
    <row r="703" customFormat="false" ht="15" hidden="false" customHeight="false" outlineLevel="0" collapsed="false">
      <c r="A703" s="16" t="s">
        <v>64</v>
      </c>
      <c r="B703" s="16" t="s">
        <v>58</v>
      </c>
      <c r="C703" s="16" t="s">
        <v>51</v>
      </c>
      <c r="D703" s="16" t="s">
        <v>257</v>
      </c>
      <c r="E703" s="16" t="s">
        <v>140</v>
      </c>
      <c r="F703" s="16" t="n">
        <v>44105</v>
      </c>
      <c r="G703" s="16" t="s">
        <v>93</v>
      </c>
      <c r="H703" s="16" t="s">
        <v>55</v>
      </c>
      <c r="I703" s="16" t="s">
        <v>69</v>
      </c>
      <c r="J703" s="17" t="n">
        <v>15.072</v>
      </c>
      <c r="K703" s="16" t="n">
        <v>3</v>
      </c>
      <c r="L703" s="18" t="n">
        <v>0.2</v>
      </c>
      <c r="M703" s="19" t="n">
        <v>4.1448</v>
      </c>
      <c r="N703" s="16" t="str">
        <f aca="false">IF(M703&lt;0,"Loss",IF(M703&lt;50,"Low Profit",IF(M703&lt;200,"Medium Profit","High Profit")))</f>
        <v>Low Profit</v>
      </c>
      <c r="O703" s="16" t="str">
        <f aca="false">IF(J703&gt;=500,"High Value","Standard")</f>
        <v>Standard</v>
      </c>
      <c r="P703" s="16" t="str">
        <f aca="false">H703&amp;" &gt; "&amp;I703&amp;" ("&amp;K703&amp;" units)"</f>
        <v>Furniture &gt; Furnishings (3 units)</v>
      </c>
      <c r="Q703" s="16" t="str">
        <f aca="false">VLOOKUP(G703,Region_Manager_Table,2,FALSE())</f>
        <v>Priya Menon</v>
      </c>
      <c r="R703" s="16" t="n">
        <f aca="false">INDEX(SLA_Days_Col,MATCH(A703,ShipMode_Col,0))</f>
        <v>6</v>
      </c>
    </row>
    <row r="704" customFormat="false" ht="15" hidden="false" customHeight="false" outlineLevel="0" collapsed="false">
      <c r="A704" s="10" t="s">
        <v>49</v>
      </c>
      <c r="B704" s="10" t="s">
        <v>58</v>
      </c>
      <c r="C704" s="10" t="s">
        <v>51</v>
      </c>
      <c r="D704" s="10" t="s">
        <v>78</v>
      </c>
      <c r="E704" s="10" t="s">
        <v>79</v>
      </c>
      <c r="F704" s="10" t="n">
        <v>98103</v>
      </c>
      <c r="G704" s="10" t="s">
        <v>61</v>
      </c>
      <c r="H704" s="10" t="s">
        <v>55</v>
      </c>
      <c r="I704" s="10" t="s">
        <v>69</v>
      </c>
      <c r="J704" s="13" t="n">
        <v>209.88</v>
      </c>
      <c r="K704" s="10" t="n">
        <v>3</v>
      </c>
      <c r="L704" s="14" t="n">
        <v>0</v>
      </c>
      <c r="M704" s="15" t="n">
        <v>35.6796</v>
      </c>
      <c r="N704" s="10" t="str">
        <f aca="false">IF(M704&lt;0,"Loss",IF(M704&lt;50,"Low Profit",IF(M704&lt;200,"Medium Profit","High Profit")))</f>
        <v>Low Profit</v>
      </c>
      <c r="O704" s="10" t="str">
        <f aca="false">IF(J704&gt;=500,"High Value","Standard")</f>
        <v>Standard</v>
      </c>
      <c r="P704" s="10" t="str">
        <f aca="false">H704&amp;" &gt; "&amp;I704&amp;" ("&amp;K704&amp;" units)"</f>
        <v>Furniture &gt; Furnishings (3 units)</v>
      </c>
      <c r="Q704" s="10" t="str">
        <f aca="false">VLOOKUP(G704,Region_Manager_Table,2,FALSE())</f>
        <v>Sana Sheikh</v>
      </c>
      <c r="R704" s="10" t="n">
        <f aca="false">INDEX(SLA_Days_Col,MATCH(A704,ShipMode_Col,0))</f>
        <v>4</v>
      </c>
    </row>
    <row r="705" customFormat="false" ht="15" hidden="false" customHeight="false" outlineLevel="0" collapsed="false">
      <c r="A705" s="16" t="s">
        <v>64</v>
      </c>
      <c r="B705" s="16" t="s">
        <v>50</v>
      </c>
      <c r="C705" s="16" t="s">
        <v>51</v>
      </c>
      <c r="D705" s="16" t="s">
        <v>195</v>
      </c>
      <c r="E705" s="16" t="s">
        <v>60</v>
      </c>
      <c r="F705" s="16" t="n">
        <v>90805</v>
      </c>
      <c r="G705" s="16" t="s">
        <v>61</v>
      </c>
      <c r="H705" s="16" t="s">
        <v>55</v>
      </c>
      <c r="I705" s="16" t="s">
        <v>67</v>
      </c>
      <c r="J705" s="17" t="n">
        <v>369.912</v>
      </c>
      <c r="K705" s="16" t="n">
        <v>3</v>
      </c>
      <c r="L705" s="18" t="n">
        <v>0.2</v>
      </c>
      <c r="M705" s="19" t="n">
        <v>-13.8717</v>
      </c>
      <c r="N705" s="16" t="str">
        <f aca="false">IF(M705&lt;0,"Loss",IF(M705&lt;50,"Low Profit",IF(M705&lt;200,"Medium Profit","High Profit")))</f>
        <v>Loss</v>
      </c>
      <c r="O705" s="16" t="str">
        <f aca="false">IF(J705&gt;=500,"High Value","Standard")</f>
        <v>Standard</v>
      </c>
      <c r="P705" s="16" t="str">
        <f aca="false">H705&amp;" &gt; "&amp;I705&amp;" ("&amp;K705&amp;" units)"</f>
        <v>Furniture &gt; Tables (3 units)</v>
      </c>
      <c r="Q705" s="16" t="str">
        <f aca="false">VLOOKUP(G705,Region_Manager_Table,2,FALSE())</f>
        <v>Sana Sheikh</v>
      </c>
      <c r="R705" s="16" t="n">
        <f aca="false">INDEX(SLA_Days_Col,MATCH(A705,ShipMode_Col,0))</f>
        <v>6</v>
      </c>
    </row>
    <row r="706" customFormat="false" ht="15" hidden="false" customHeight="false" outlineLevel="0" collapsed="false">
      <c r="A706" s="10" t="s">
        <v>64</v>
      </c>
      <c r="B706" s="10" t="s">
        <v>58</v>
      </c>
      <c r="C706" s="10" t="s">
        <v>51</v>
      </c>
      <c r="D706" s="10" t="s">
        <v>262</v>
      </c>
      <c r="E706" s="10" t="s">
        <v>76</v>
      </c>
      <c r="F706" s="10" t="n">
        <v>27511</v>
      </c>
      <c r="G706" s="10" t="s">
        <v>54</v>
      </c>
      <c r="H706" s="10" t="s">
        <v>62</v>
      </c>
      <c r="I706" s="10" t="s">
        <v>77</v>
      </c>
      <c r="J706" s="13" t="n">
        <v>10.368</v>
      </c>
      <c r="K706" s="10" t="n">
        <v>2</v>
      </c>
      <c r="L706" s="14" t="n">
        <v>0.2</v>
      </c>
      <c r="M706" s="15" t="n">
        <v>3.6288</v>
      </c>
      <c r="N706" s="10" t="str">
        <f aca="false">IF(M706&lt;0,"Loss",IF(M706&lt;50,"Low Profit",IF(M706&lt;200,"Medium Profit","High Profit")))</f>
        <v>Low Profit</v>
      </c>
      <c r="O706" s="10" t="str">
        <f aca="false">IF(J706&gt;=500,"High Value","Standard")</f>
        <v>Standard</v>
      </c>
      <c r="P706" s="10" t="str">
        <f aca="false">H706&amp;" &gt; "&amp;I706&amp;" ("&amp;K706&amp;" units)"</f>
        <v>Office Supplies &gt; Paper (2 units)</v>
      </c>
      <c r="Q706" s="10" t="str">
        <f aca="false">VLOOKUP(G706,Region_Manager_Table,2,FALSE())</f>
        <v>Karthik Iyer</v>
      </c>
      <c r="R706" s="10" t="n">
        <f aca="false">INDEX(SLA_Days_Col,MATCH(A706,ShipMode_Col,0))</f>
        <v>6</v>
      </c>
    </row>
    <row r="707" customFormat="false" ht="15" hidden="false" customHeight="false" outlineLevel="0" collapsed="false">
      <c r="A707" s="16" t="s">
        <v>64</v>
      </c>
      <c r="B707" s="16" t="s">
        <v>58</v>
      </c>
      <c r="C707" s="16" t="s">
        <v>51</v>
      </c>
      <c r="D707" s="16" t="s">
        <v>262</v>
      </c>
      <c r="E707" s="16" t="s">
        <v>76</v>
      </c>
      <c r="F707" s="16" t="n">
        <v>27511</v>
      </c>
      <c r="G707" s="16" t="s">
        <v>54</v>
      </c>
      <c r="H707" s="16" t="s">
        <v>62</v>
      </c>
      <c r="I707" s="16" t="s">
        <v>74</v>
      </c>
      <c r="J707" s="17" t="n">
        <v>166.84</v>
      </c>
      <c r="K707" s="16" t="n">
        <v>5</v>
      </c>
      <c r="L707" s="18" t="n">
        <v>0.2</v>
      </c>
      <c r="M707" s="19" t="n">
        <v>18.7695</v>
      </c>
      <c r="N707" s="16" t="str">
        <f aca="false">IF(M707&lt;0,"Loss",IF(M707&lt;50,"Low Profit",IF(M707&lt;200,"Medium Profit","High Profit")))</f>
        <v>Low Profit</v>
      </c>
      <c r="O707" s="16" t="str">
        <f aca="false">IF(J707&gt;=500,"High Value","Standard")</f>
        <v>Standard</v>
      </c>
      <c r="P707" s="16" t="str">
        <f aca="false">H707&amp;" &gt; "&amp;I707&amp;" ("&amp;K707&amp;" units)"</f>
        <v>Office Supplies &gt; Appliances (5 units)</v>
      </c>
      <c r="Q707" s="16" t="str">
        <f aca="false">VLOOKUP(G707,Region_Manager_Table,2,FALSE())</f>
        <v>Karthik Iyer</v>
      </c>
      <c r="R707" s="16" t="n">
        <f aca="false">INDEX(SLA_Days_Col,MATCH(A707,ShipMode_Col,0))</f>
        <v>6</v>
      </c>
    </row>
    <row r="708" customFormat="false" ht="15" hidden="false" customHeight="false" outlineLevel="0" collapsed="false">
      <c r="A708" s="10" t="s">
        <v>64</v>
      </c>
      <c r="B708" s="10" t="s">
        <v>58</v>
      </c>
      <c r="C708" s="10" t="s">
        <v>51</v>
      </c>
      <c r="D708" s="10" t="s">
        <v>262</v>
      </c>
      <c r="E708" s="10" t="s">
        <v>76</v>
      </c>
      <c r="F708" s="10" t="n">
        <v>27511</v>
      </c>
      <c r="G708" s="10" t="s">
        <v>54</v>
      </c>
      <c r="H708" s="10" t="s">
        <v>71</v>
      </c>
      <c r="I708" s="10" t="s">
        <v>95</v>
      </c>
      <c r="J708" s="13" t="n">
        <v>15.216</v>
      </c>
      <c r="K708" s="10" t="n">
        <v>1</v>
      </c>
      <c r="L708" s="14" t="n">
        <v>0.2</v>
      </c>
      <c r="M708" s="15" t="n">
        <v>2.2824</v>
      </c>
      <c r="N708" s="10" t="str">
        <f aca="false">IF(M708&lt;0,"Loss",IF(M708&lt;50,"Low Profit",IF(M708&lt;200,"Medium Profit","High Profit")))</f>
        <v>Low Profit</v>
      </c>
      <c r="O708" s="10" t="str">
        <f aca="false">IF(J708&gt;=500,"High Value","Standard")</f>
        <v>Standard</v>
      </c>
      <c r="P708" s="10" t="str">
        <f aca="false">H708&amp;" &gt; "&amp;I708&amp;" ("&amp;K708&amp;" units)"</f>
        <v>Technology &gt; Accessories (1 units)</v>
      </c>
      <c r="Q708" s="10" t="str">
        <f aca="false">VLOOKUP(G708,Region_Manager_Table,2,FALSE())</f>
        <v>Karthik Iyer</v>
      </c>
      <c r="R708" s="10" t="n">
        <f aca="false">INDEX(SLA_Days_Col,MATCH(A708,ShipMode_Col,0))</f>
        <v>6</v>
      </c>
    </row>
    <row r="709" customFormat="false" ht="15" hidden="false" customHeight="false" outlineLevel="0" collapsed="false">
      <c r="A709" s="16" t="s">
        <v>98</v>
      </c>
      <c r="B709" s="16" t="s">
        <v>50</v>
      </c>
      <c r="C709" s="16" t="s">
        <v>51</v>
      </c>
      <c r="D709" s="16" t="s">
        <v>111</v>
      </c>
      <c r="E709" s="16" t="s">
        <v>112</v>
      </c>
      <c r="F709" s="16" t="n">
        <v>10035</v>
      </c>
      <c r="G709" s="16" t="s">
        <v>93</v>
      </c>
      <c r="H709" s="16" t="s">
        <v>71</v>
      </c>
      <c r="I709" s="16" t="s">
        <v>95</v>
      </c>
      <c r="J709" s="17" t="n">
        <v>119.96</v>
      </c>
      <c r="K709" s="16" t="n">
        <v>4</v>
      </c>
      <c r="L709" s="18" t="n">
        <v>0</v>
      </c>
      <c r="M709" s="19" t="n">
        <v>52.7824</v>
      </c>
      <c r="N709" s="16" t="str">
        <f aca="false">IF(M709&lt;0,"Loss",IF(M709&lt;50,"Low Profit",IF(M709&lt;200,"Medium Profit","High Profit")))</f>
        <v>Medium Profit</v>
      </c>
      <c r="O709" s="16" t="str">
        <f aca="false">IF(J709&gt;=500,"High Value","Standard")</f>
        <v>Standard</v>
      </c>
      <c r="P709" s="16" t="str">
        <f aca="false">H709&amp;" &gt; "&amp;I709&amp;" ("&amp;K709&amp;" units)"</f>
        <v>Technology &gt; Accessories (4 units)</v>
      </c>
      <c r="Q709" s="16" t="str">
        <f aca="false">VLOOKUP(G709,Region_Manager_Table,2,FALSE())</f>
        <v>Priya Menon</v>
      </c>
      <c r="R709" s="16" t="n">
        <f aca="false">INDEX(SLA_Days_Col,MATCH(A709,ShipMode_Col,0))</f>
        <v>2</v>
      </c>
    </row>
    <row r="710" customFormat="false" ht="15" hidden="false" customHeight="false" outlineLevel="0" collapsed="false">
      <c r="A710" s="10" t="s">
        <v>98</v>
      </c>
      <c r="B710" s="10" t="s">
        <v>50</v>
      </c>
      <c r="C710" s="10" t="s">
        <v>51</v>
      </c>
      <c r="D710" s="10" t="s">
        <v>111</v>
      </c>
      <c r="E710" s="10" t="s">
        <v>112</v>
      </c>
      <c r="F710" s="10" t="n">
        <v>10035</v>
      </c>
      <c r="G710" s="10" t="s">
        <v>93</v>
      </c>
      <c r="H710" s="10" t="s">
        <v>55</v>
      </c>
      <c r="I710" s="10" t="s">
        <v>56</v>
      </c>
      <c r="J710" s="13" t="n">
        <v>883.92</v>
      </c>
      <c r="K710" s="10" t="n">
        <v>5</v>
      </c>
      <c r="L710" s="14" t="n">
        <v>0.2</v>
      </c>
      <c r="M710" s="15" t="n">
        <v>-110.49</v>
      </c>
      <c r="N710" s="10" t="str">
        <f aca="false">IF(M710&lt;0,"Loss",IF(M710&lt;50,"Low Profit",IF(M710&lt;200,"Medium Profit","High Profit")))</f>
        <v>Loss</v>
      </c>
      <c r="O710" s="10" t="str">
        <f aca="false">IF(J710&gt;=500,"High Value","Standard")</f>
        <v>High Value</v>
      </c>
      <c r="P710" s="10" t="str">
        <f aca="false">H710&amp;" &gt; "&amp;I710&amp;" ("&amp;K710&amp;" units)"</f>
        <v>Furniture &gt; Bookcases (5 units)</v>
      </c>
      <c r="Q710" s="10" t="str">
        <f aca="false">VLOOKUP(G710,Region_Manager_Table,2,FALSE())</f>
        <v>Priya Menon</v>
      </c>
      <c r="R710" s="10" t="n">
        <f aca="false">INDEX(SLA_Days_Col,MATCH(A710,ShipMode_Col,0))</f>
        <v>2</v>
      </c>
    </row>
    <row r="711" customFormat="false" ht="15" hidden="false" customHeight="false" outlineLevel="0" collapsed="false">
      <c r="A711" s="16" t="s">
        <v>98</v>
      </c>
      <c r="B711" s="16" t="s">
        <v>50</v>
      </c>
      <c r="C711" s="16" t="s">
        <v>51</v>
      </c>
      <c r="D711" s="16" t="s">
        <v>111</v>
      </c>
      <c r="E711" s="16" t="s">
        <v>112</v>
      </c>
      <c r="F711" s="16" t="n">
        <v>10035</v>
      </c>
      <c r="G711" s="16" t="s">
        <v>93</v>
      </c>
      <c r="H711" s="16" t="s">
        <v>62</v>
      </c>
      <c r="I711" s="16" t="s">
        <v>73</v>
      </c>
      <c r="J711" s="17" t="n">
        <v>46.72</v>
      </c>
      <c r="K711" s="16" t="n">
        <v>8</v>
      </c>
      <c r="L711" s="18" t="n">
        <v>0.2</v>
      </c>
      <c r="M711" s="19" t="n">
        <v>15.768</v>
      </c>
      <c r="N711" s="16" t="str">
        <f aca="false">IF(M711&lt;0,"Loss",IF(M711&lt;50,"Low Profit",IF(M711&lt;200,"Medium Profit","High Profit")))</f>
        <v>Low Profit</v>
      </c>
      <c r="O711" s="16" t="str">
        <f aca="false">IF(J711&gt;=500,"High Value","Standard")</f>
        <v>Standard</v>
      </c>
      <c r="P711" s="16" t="str">
        <f aca="false">H711&amp;" &gt; "&amp;I711&amp;" ("&amp;K711&amp;" units)"</f>
        <v>Office Supplies &gt; Binders (8 units)</v>
      </c>
      <c r="Q711" s="16" t="str">
        <f aca="false">VLOOKUP(G711,Region_Manager_Table,2,FALSE())</f>
        <v>Priya Menon</v>
      </c>
      <c r="R711" s="16" t="n">
        <f aca="false">INDEX(SLA_Days_Col,MATCH(A711,ShipMode_Col,0))</f>
        <v>2</v>
      </c>
    </row>
    <row r="712" customFormat="false" ht="15" hidden="false" customHeight="false" outlineLevel="0" collapsed="false">
      <c r="A712" s="10" t="s">
        <v>98</v>
      </c>
      <c r="B712" s="10" t="s">
        <v>80</v>
      </c>
      <c r="C712" s="10" t="s">
        <v>51</v>
      </c>
      <c r="D712" s="10" t="s">
        <v>111</v>
      </c>
      <c r="E712" s="10" t="s">
        <v>112</v>
      </c>
      <c r="F712" s="10" t="n">
        <v>10035</v>
      </c>
      <c r="G712" s="10" t="s">
        <v>93</v>
      </c>
      <c r="H712" s="10" t="s">
        <v>62</v>
      </c>
      <c r="I712" s="10" t="s">
        <v>77</v>
      </c>
      <c r="J712" s="13" t="n">
        <v>55.48</v>
      </c>
      <c r="K712" s="10" t="n">
        <v>1</v>
      </c>
      <c r="L712" s="14" t="n">
        <v>0</v>
      </c>
      <c r="M712" s="15" t="n">
        <v>26.6304</v>
      </c>
      <c r="N712" s="10" t="str">
        <f aca="false">IF(M712&lt;0,"Loss",IF(M712&lt;50,"Low Profit",IF(M712&lt;200,"Medium Profit","High Profit")))</f>
        <v>Low Profit</v>
      </c>
      <c r="O712" s="10" t="str">
        <f aca="false">IF(J712&gt;=500,"High Value","Standard")</f>
        <v>Standard</v>
      </c>
      <c r="P712" s="10" t="str">
        <f aca="false">H712&amp;" &gt; "&amp;I712&amp;" ("&amp;K712&amp;" units)"</f>
        <v>Office Supplies &gt; Paper (1 units)</v>
      </c>
      <c r="Q712" s="10" t="str">
        <f aca="false">VLOOKUP(G712,Region_Manager_Table,2,FALSE())</f>
        <v>Priya Menon</v>
      </c>
      <c r="R712" s="10" t="n">
        <f aca="false">INDEX(SLA_Days_Col,MATCH(A712,ShipMode_Col,0))</f>
        <v>2</v>
      </c>
    </row>
    <row r="713" customFormat="false" ht="15" hidden="false" customHeight="false" outlineLevel="0" collapsed="false">
      <c r="A713" s="16" t="s">
        <v>64</v>
      </c>
      <c r="B713" s="16" t="s">
        <v>50</v>
      </c>
      <c r="C713" s="16" t="s">
        <v>51</v>
      </c>
      <c r="D713" s="16" t="s">
        <v>263</v>
      </c>
      <c r="E713" s="16" t="s">
        <v>66</v>
      </c>
      <c r="F713" s="16" t="n">
        <v>32137</v>
      </c>
      <c r="G713" s="16" t="s">
        <v>54</v>
      </c>
      <c r="H713" s="16" t="s">
        <v>62</v>
      </c>
      <c r="I713" s="16" t="s">
        <v>96</v>
      </c>
      <c r="J713" s="17" t="n">
        <v>24.448</v>
      </c>
      <c r="K713" s="16" t="n">
        <v>4</v>
      </c>
      <c r="L713" s="18" t="n">
        <v>0.2</v>
      </c>
      <c r="M713" s="19" t="n">
        <v>8.8624</v>
      </c>
      <c r="N713" s="16" t="str">
        <f aca="false">IF(M713&lt;0,"Loss",IF(M713&lt;50,"Low Profit",IF(M713&lt;200,"Medium Profit","High Profit")))</f>
        <v>Low Profit</v>
      </c>
      <c r="O713" s="16" t="str">
        <f aca="false">IF(J713&gt;=500,"High Value","Standard")</f>
        <v>Standard</v>
      </c>
      <c r="P713" s="16" t="str">
        <f aca="false">H713&amp;" &gt; "&amp;I713&amp;" ("&amp;K713&amp;" units)"</f>
        <v>Office Supplies &gt; Envelopes (4 units)</v>
      </c>
      <c r="Q713" s="16" t="str">
        <f aca="false">VLOOKUP(G713,Region_Manager_Table,2,FALSE())</f>
        <v>Karthik Iyer</v>
      </c>
      <c r="R713" s="16" t="n">
        <f aca="false">INDEX(SLA_Days_Col,MATCH(A713,ShipMode_Col,0))</f>
        <v>6</v>
      </c>
    </row>
    <row r="714" customFormat="false" ht="15" hidden="false" customHeight="false" outlineLevel="0" collapsed="false">
      <c r="A714" s="10" t="s">
        <v>64</v>
      </c>
      <c r="B714" s="10" t="s">
        <v>58</v>
      </c>
      <c r="C714" s="10" t="s">
        <v>51</v>
      </c>
      <c r="D714" s="10" t="s">
        <v>264</v>
      </c>
      <c r="E714" s="10" t="s">
        <v>112</v>
      </c>
      <c r="F714" s="10" t="n">
        <v>10550</v>
      </c>
      <c r="G714" s="10" t="s">
        <v>93</v>
      </c>
      <c r="H714" s="10" t="s">
        <v>62</v>
      </c>
      <c r="I714" s="10" t="s">
        <v>74</v>
      </c>
      <c r="J714" s="13" t="n">
        <v>281.34</v>
      </c>
      <c r="K714" s="10" t="n">
        <v>6</v>
      </c>
      <c r="L714" s="14" t="n">
        <v>0</v>
      </c>
      <c r="M714" s="15" t="n">
        <v>109.7226</v>
      </c>
      <c r="N714" s="10" t="str">
        <f aca="false">IF(M714&lt;0,"Loss",IF(M714&lt;50,"Low Profit",IF(M714&lt;200,"Medium Profit","High Profit")))</f>
        <v>Medium Profit</v>
      </c>
      <c r="O714" s="10" t="str">
        <f aca="false">IF(J714&gt;=500,"High Value","Standard")</f>
        <v>Standard</v>
      </c>
      <c r="P714" s="10" t="str">
        <f aca="false">H714&amp;" &gt; "&amp;I714&amp;" ("&amp;K714&amp;" units)"</f>
        <v>Office Supplies &gt; Appliances (6 units)</v>
      </c>
      <c r="Q714" s="10" t="str">
        <f aca="false">VLOOKUP(G714,Region_Manager_Table,2,FALSE())</f>
        <v>Priya Menon</v>
      </c>
      <c r="R714" s="10" t="n">
        <f aca="false">INDEX(SLA_Days_Col,MATCH(A714,ShipMode_Col,0))</f>
        <v>6</v>
      </c>
    </row>
    <row r="715" customFormat="false" ht="15" hidden="false" customHeight="false" outlineLevel="0" collapsed="false">
      <c r="A715" s="16" t="s">
        <v>64</v>
      </c>
      <c r="B715" s="16" t="s">
        <v>58</v>
      </c>
      <c r="C715" s="16" t="s">
        <v>51</v>
      </c>
      <c r="D715" s="16" t="s">
        <v>264</v>
      </c>
      <c r="E715" s="16" t="s">
        <v>112</v>
      </c>
      <c r="F715" s="16" t="n">
        <v>10550</v>
      </c>
      <c r="G715" s="16" t="s">
        <v>93</v>
      </c>
      <c r="H715" s="16" t="s">
        <v>71</v>
      </c>
      <c r="I715" s="16" t="s">
        <v>72</v>
      </c>
      <c r="J715" s="17" t="n">
        <v>307.98</v>
      </c>
      <c r="K715" s="16" t="n">
        <v>2</v>
      </c>
      <c r="L715" s="18" t="n">
        <v>0</v>
      </c>
      <c r="M715" s="19" t="n">
        <v>89.3142</v>
      </c>
      <c r="N715" s="16" t="str">
        <f aca="false">IF(M715&lt;0,"Loss",IF(M715&lt;50,"Low Profit",IF(M715&lt;200,"Medium Profit","High Profit")))</f>
        <v>Medium Profit</v>
      </c>
      <c r="O715" s="16" t="str">
        <f aca="false">IF(J715&gt;=500,"High Value","Standard")</f>
        <v>Standard</v>
      </c>
      <c r="P715" s="16" t="str">
        <f aca="false">H715&amp;" &gt; "&amp;I715&amp;" ("&amp;K715&amp;" units)"</f>
        <v>Technology &gt; Phones (2 units)</v>
      </c>
      <c r="Q715" s="16" t="str">
        <f aca="false">VLOOKUP(G715,Region_Manager_Table,2,FALSE())</f>
        <v>Priya Menon</v>
      </c>
      <c r="R715" s="16" t="n">
        <f aca="false">INDEX(SLA_Days_Col,MATCH(A715,ShipMode_Col,0))</f>
        <v>6</v>
      </c>
    </row>
    <row r="716" customFormat="false" ht="15" hidden="false" customHeight="false" outlineLevel="0" collapsed="false">
      <c r="A716" s="10" t="s">
        <v>64</v>
      </c>
      <c r="B716" s="10" t="s">
        <v>58</v>
      </c>
      <c r="C716" s="10" t="s">
        <v>51</v>
      </c>
      <c r="D716" s="10" t="s">
        <v>264</v>
      </c>
      <c r="E716" s="10" t="s">
        <v>112</v>
      </c>
      <c r="F716" s="10" t="n">
        <v>10550</v>
      </c>
      <c r="G716" s="10" t="s">
        <v>93</v>
      </c>
      <c r="H716" s="10" t="s">
        <v>71</v>
      </c>
      <c r="I716" s="10" t="s">
        <v>95</v>
      </c>
      <c r="J716" s="13" t="n">
        <v>299.97</v>
      </c>
      <c r="K716" s="10" t="n">
        <v>3</v>
      </c>
      <c r="L716" s="14" t="n">
        <v>0</v>
      </c>
      <c r="M716" s="15" t="n">
        <v>113.9886</v>
      </c>
      <c r="N716" s="10" t="str">
        <f aca="false">IF(M716&lt;0,"Loss",IF(M716&lt;50,"Low Profit",IF(M716&lt;200,"Medium Profit","High Profit")))</f>
        <v>Medium Profit</v>
      </c>
      <c r="O716" s="10" t="str">
        <f aca="false">IF(J716&gt;=500,"High Value","Standard")</f>
        <v>Standard</v>
      </c>
      <c r="P716" s="10" t="str">
        <f aca="false">H716&amp;" &gt; "&amp;I716&amp;" ("&amp;K716&amp;" units)"</f>
        <v>Technology &gt; Accessories (3 units)</v>
      </c>
      <c r="Q716" s="10" t="str">
        <f aca="false">VLOOKUP(G716,Region_Manager_Table,2,FALSE())</f>
        <v>Priya Menon</v>
      </c>
      <c r="R716" s="10" t="n">
        <f aca="false">INDEX(SLA_Days_Col,MATCH(A716,ShipMode_Col,0))</f>
        <v>6</v>
      </c>
    </row>
    <row r="717" customFormat="false" ht="15" hidden="false" customHeight="false" outlineLevel="0" collapsed="false">
      <c r="A717" s="16" t="s">
        <v>49</v>
      </c>
      <c r="B717" s="16" t="s">
        <v>58</v>
      </c>
      <c r="C717" s="16" t="s">
        <v>51</v>
      </c>
      <c r="D717" s="16" t="s">
        <v>78</v>
      </c>
      <c r="E717" s="16" t="s">
        <v>79</v>
      </c>
      <c r="F717" s="16" t="n">
        <v>98105</v>
      </c>
      <c r="G717" s="16" t="s">
        <v>61</v>
      </c>
      <c r="H717" s="16" t="s">
        <v>62</v>
      </c>
      <c r="I717" s="16" t="s">
        <v>73</v>
      </c>
      <c r="J717" s="17" t="n">
        <v>19.92</v>
      </c>
      <c r="K717" s="16" t="n">
        <v>5</v>
      </c>
      <c r="L717" s="18" t="n">
        <v>0.2</v>
      </c>
      <c r="M717" s="19" t="n">
        <v>6.972</v>
      </c>
      <c r="N717" s="16" t="str">
        <f aca="false">IF(M717&lt;0,"Loss",IF(M717&lt;50,"Low Profit",IF(M717&lt;200,"Medium Profit","High Profit")))</f>
        <v>Low Profit</v>
      </c>
      <c r="O717" s="16" t="str">
        <f aca="false">IF(J717&gt;=500,"High Value","Standard")</f>
        <v>Standard</v>
      </c>
      <c r="P717" s="16" t="str">
        <f aca="false">H717&amp;" &gt; "&amp;I717&amp;" ("&amp;K717&amp;" units)"</f>
        <v>Office Supplies &gt; Binders (5 units)</v>
      </c>
      <c r="Q717" s="16" t="str">
        <f aca="false">VLOOKUP(G717,Region_Manager_Table,2,FALSE())</f>
        <v>Sana Sheikh</v>
      </c>
      <c r="R717" s="16" t="n">
        <f aca="false">INDEX(SLA_Days_Col,MATCH(A717,ShipMode_Col,0))</f>
        <v>4</v>
      </c>
    </row>
    <row r="718" customFormat="false" ht="15" hidden="false" customHeight="false" outlineLevel="0" collapsed="false">
      <c r="A718" s="10" t="s">
        <v>98</v>
      </c>
      <c r="B718" s="10" t="s">
        <v>50</v>
      </c>
      <c r="C718" s="10" t="s">
        <v>51</v>
      </c>
      <c r="D718" s="10" t="s">
        <v>107</v>
      </c>
      <c r="E718" s="10" t="s">
        <v>108</v>
      </c>
      <c r="F718" s="10" t="n">
        <v>19901</v>
      </c>
      <c r="G718" s="10" t="s">
        <v>93</v>
      </c>
      <c r="H718" s="10" t="s">
        <v>55</v>
      </c>
      <c r="I718" s="10" t="s">
        <v>69</v>
      </c>
      <c r="J718" s="13" t="n">
        <v>9.94</v>
      </c>
      <c r="K718" s="10" t="n">
        <v>2</v>
      </c>
      <c r="L718" s="14" t="n">
        <v>0</v>
      </c>
      <c r="M718" s="15" t="n">
        <v>3.0814</v>
      </c>
      <c r="N718" s="10" t="str">
        <f aca="false">IF(M718&lt;0,"Loss",IF(M718&lt;50,"Low Profit",IF(M718&lt;200,"Medium Profit","High Profit")))</f>
        <v>Low Profit</v>
      </c>
      <c r="O718" s="10" t="str">
        <f aca="false">IF(J718&gt;=500,"High Value","Standard")</f>
        <v>Standard</v>
      </c>
      <c r="P718" s="10" t="str">
        <f aca="false">H718&amp;" &gt; "&amp;I718&amp;" ("&amp;K718&amp;" units)"</f>
        <v>Furniture &gt; Furnishings (2 units)</v>
      </c>
      <c r="Q718" s="10" t="str">
        <f aca="false">VLOOKUP(G718,Region_Manager_Table,2,FALSE())</f>
        <v>Priya Menon</v>
      </c>
      <c r="R718" s="10" t="n">
        <f aca="false">INDEX(SLA_Days_Col,MATCH(A718,ShipMode_Col,0))</f>
        <v>2</v>
      </c>
    </row>
    <row r="719" customFormat="false" ht="15" hidden="false" customHeight="false" outlineLevel="0" collapsed="false">
      <c r="A719" s="16" t="s">
        <v>64</v>
      </c>
      <c r="B719" s="16" t="s">
        <v>50</v>
      </c>
      <c r="C719" s="16" t="s">
        <v>51</v>
      </c>
      <c r="D719" s="16" t="s">
        <v>150</v>
      </c>
      <c r="E719" s="16" t="s">
        <v>140</v>
      </c>
      <c r="F719" s="16" t="n">
        <v>43055</v>
      </c>
      <c r="G719" s="16" t="s">
        <v>93</v>
      </c>
      <c r="H719" s="16" t="s">
        <v>55</v>
      </c>
      <c r="I719" s="16" t="s">
        <v>69</v>
      </c>
      <c r="J719" s="17" t="n">
        <v>103.056</v>
      </c>
      <c r="K719" s="16" t="n">
        <v>3</v>
      </c>
      <c r="L719" s="18" t="n">
        <v>0.2</v>
      </c>
      <c r="M719" s="19" t="n">
        <v>24.4758</v>
      </c>
      <c r="N719" s="16" t="str">
        <f aca="false">IF(M719&lt;0,"Loss",IF(M719&lt;50,"Low Profit",IF(M719&lt;200,"Medium Profit","High Profit")))</f>
        <v>Low Profit</v>
      </c>
      <c r="O719" s="16" t="str">
        <f aca="false">IF(J719&gt;=500,"High Value","Standard")</f>
        <v>Standard</v>
      </c>
      <c r="P719" s="16" t="str">
        <f aca="false">H719&amp;" &gt; "&amp;I719&amp;" ("&amp;K719&amp;" units)"</f>
        <v>Furniture &gt; Furnishings (3 units)</v>
      </c>
      <c r="Q719" s="16" t="str">
        <f aca="false">VLOOKUP(G719,Region_Manager_Table,2,FALSE())</f>
        <v>Priya Menon</v>
      </c>
      <c r="R719" s="16" t="n">
        <f aca="false">INDEX(SLA_Days_Col,MATCH(A719,ShipMode_Col,0))</f>
        <v>6</v>
      </c>
    </row>
    <row r="720" customFormat="false" ht="15" hidden="false" customHeight="false" outlineLevel="0" collapsed="false">
      <c r="A720" s="10" t="s">
        <v>64</v>
      </c>
      <c r="B720" s="10" t="s">
        <v>80</v>
      </c>
      <c r="C720" s="10" t="s">
        <v>51</v>
      </c>
      <c r="D720" s="10" t="s">
        <v>94</v>
      </c>
      <c r="E720" s="10" t="s">
        <v>87</v>
      </c>
      <c r="F720" s="10" t="n">
        <v>84057</v>
      </c>
      <c r="G720" s="10" t="s">
        <v>61</v>
      </c>
      <c r="H720" s="10" t="s">
        <v>62</v>
      </c>
      <c r="I720" s="10" t="s">
        <v>73</v>
      </c>
      <c r="J720" s="13" t="n">
        <v>59.808</v>
      </c>
      <c r="K720" s="10" t="n">
        <v>3</v>
      </c>
      <c r="L720" s="14" t="n">
        <v>0.2</v>
      </c>
      <c r="M720" s="15" t="n">
        <v>19.4376</v>
      </c>
      <c r="N720" s="10" t="str">
        <f aca="false">IF(M720&lt;0,"Loss",IF(M720&lt;50,"Low Profit",IF(M720&lt;200,"Medium Profit","High Profit")))</f>
        <v>Low Profit</v>
      </c>
      <c r="O720" s="10" t="str">
        <f aca="false">IF(J720&gt;=500,"High Value","Standard")</f>
        <v>Standard</v>
      </c>
      <c r="P720" s="10" t="str">
        <f aca="false">H720&amp;" &gt; "&amp;I720&amp;" ("&amp;K720&amp;" units)"</f>
        <v>Office Supplies &gt; Binders (3 units)</v>
      </c>
      <c r="Q720" s="10" t="str">
        <f aca="false">VLOOKUP(G720,Region_Manager_Table,2,FALSE())</f>
        <v>Sana Sheikh</v>
      </c>
      <c r="R720" s="10" t="n">
        <f aca="false">INDEX(SLA_Days_Col,MATCH(A720,ShipMode_Col,0))</f>
        <v>6</v>
      </c>
    </row>
    <row r="721" customFormat="false" ht="15" hidden="false" customHeight="false" outlineLevel="0" collapsed="false">
      <c r="A721" s="16" t="s">
        <v>64</v>
      </c>
      <c r="B721" s="16" t="s">
        <v>80</v>
      </c>
      <c r="C721" s="16" t="s">
        <v>51</v>
      </c>
      <c r="D721" s="16" t="s">
        <v>94</v>
      </c>
      <c r="E721" s="16" t="s">
        <v>87</v>
      </c>
      <c r="F721" s="16" t="n">
        <v>84057</v>
      </c>
      <c r="G721" s="16" t="s">
        <v>61</v>
      </c>
      <c r="H721" s="16" t="s">
        <v>55</v>
      </c>
      <c r="I721" s="16" t="s">
        <v>69</v>
      </c>
      <c r="J721" s="17" t="n">
        <v>73.32</v>
      </c>
      <c r="K721" s="16" t="n">
        <v>6</v>
      </c>
      <c r="L721" s="18" t="n">
        <v>0</v>
      </c>
      <c r="M721" s="19" t="n">
        <v>21.996</v>
      </c>
      <c r="N721" s="16" t="str">
        <f aca="false">IF(M721&lt;0,"Loss",IF(M721&lt;50,"Low Profit",IF(M721&lt;200,"Medium Profit","High Profit")))</f>
        <v>Low Profit</v>
      </c>
      <c r="O721" s="16" t="str">
        <f aca="false">IF(J721&gt;=500,"High Value","Standard")</f>
        <v>Standard</v>
      </c>
      <c r="P721" s="16" t="str">
        <f aca="false">H721&amp;" &gt; "&amp;I721&amp;" ("&amp;K721&amp;" units)"</f>
        <v>Furniture &gt; Furnishings (6 units)</v>
      </c>
      <c r="Q721" s="16" t="str">
        <f aca="false">VLOOKUP(G721,Region_Manager_Table,2,FALSE())</f>
        <v>Sana Sheikh</v>
      </c>
      <c r="R721" s="16" t="n">
        <f aca="false">INDEX(SLA_Days_Col,MATCH(A721,ShipMode_Col,0))</f>
        <v>6</v>
      </c>
    </row>
    <row r="722" customFormat="false" ht="15" hidden="false" customHeight="false" outlineLevel="0" collapsed="false">
      <c r="A722" s="10" t="s">
        <v>64</v>
      </c>
      <c r="B722" s="10" t="s">
        <v>80</v>
      </c>
      <c r="C722" s="10" t="s">
        <v>51</v>
      </c>
      <c r="D722" s="10" t="s">
        <v>59</v>
      </c>
      <c r="E722" s="10" t="s">
        <v>60</v>
      </c>
      <c r="F722" s="10" t="n">
        <v>90045</v>
      </c>
      <c r="G722" s="10" t="s">
        <v>61</v>
      </c>
      <c r="H722" s="10" t="s">
        <v>62</v>
      </c>
      <c r="I722" s="10" t="s">
        <v>77</v>
      </c>
      <c r="J722" s="13" t="n">
        <v>146.82</v>
      </c>
      <c r="K722" s="10" t="n">
        <v>3</v>
      </c>
      <c r="L722" s="14" t="n">
        <v>0</v>
      </c>
      <c r="M722" s="15" t="n">
        <v>73.41</v>
      </c>
      <c r="N722" s="10" t="str">
        <f aca="false">IF(M722&lt;0,"Loss",IF(M722&lt;50,"Low Profit",IF(M722&lt;200,"Medium Profit","High Profit")))</f>
        <v>Medium Profit</v>
      </c>
      <c r="O722" s="10" t="str">
        <f aca="false">IF(J722&gt;=500,"High Value","Standard")</f>
        <v>Standard</v>
      </c>
      <c r="P722" s="10" t="str">
        <f aca="false">H722&amp;" &gt; "&amp;I722&amp;" ("&amp;K722&amp;" units)"</f>
        <v>Office Supplies &gt; Paper (3 units)</v>
      </c>
      <c r="Q722" s="10" t="str">
        <f aca="false">VLOOKUP(G722,Region_Manager_Table,2,FALSE())</f>
        <v>Sana Sheikh</v>
      </c>
      <c r="R722" s="10" t="n">
        <f aca="false">INDEX(SLA_Days_Col,MATCH(A722,ShipMode_Col,0))</f>
        <v>6</v>
      </c>
    </row>
    <row r="723" customFormat="false" ht="15" hidden="false" customHeight="false" outlineLevel="0" collapsed="false">
      <c r="A723" s="16" t="s">
        <v>64</v>
      </c>
      <c r="B723" s="16" t="s">
        <v>58</v>
      </c>
      <c r="C723" s="16" t="s">
        <v>51</v>
      </c>
      <c r="D723" s="16" t="s">
        <v>176</v>
      </c>
      <c r="E723" s="16" t="s">
        <v>106</v>
      </c>
      <c r="F723" s="16" t="n">
        <v>48205</v>
      </c>
      <c r="G723" s="16" t="s">
        <v>83</v>
      </c>
      <c r="H723" s="16" t="s">
        <v>55</v>
      </c>
      <c r="I723" s="16" t="s">
        <v>67</v>
      </c>
      <c r="J723" s="17" t="n">
        <v>1652.94</v>
      </c>
      <c r="K723" s="16" t="n">
        <v>3</v>
      </c>
      <c r="L723" s="18" t="n">
        <v>0</v>
      </c>
      <c r="M723" s="19" t="n">
        <v>231.4116</v>
      </c>
      <c r="N723" s="16" t="str">
        <f aca="false">IF(M723&lt;0,"Loss",IF(M723&lt;50,"Low Profit",IF(M723&lt;200,"Medium Profit","High Profit")))</f>
        <v>High Profit</v>
      </c>
      <c r="O723" s="16" t="str">
        <f aca="false">IF(J723&gt;=500,"High Value","Standard")</f>
        <v>High Value</v>
      </c>
      <c r="P723" s="16" t="str">
        <f aca="false">H723&amp;" &gt; "&amp;I723&amp;" ("&amp;K723&amp;" units)"</f>
        <v>Furniture &gt; Tables (3 units)</v>
      </c>
      <c r="Q723" s="16" t="str">
        <f aca="false">VLOOKUP(G723,Region_Manager_Table,2,FALSE())</f>
        <v>Aditya Rao</v>
      </c>
      <c r="R723" s="16" t="n">
        <f aca="false">INDEX(SLA_Days_Col,MATCH(A723,ShipMode_Col,0))</f>
        <v>6</v>
      </c>
    </row>
    <row r="724" customFormat="false" ht="15" hidden="false" customHeight="false" outlineLevel="0" collapsed="false">
      <c r="A724" s="10" t="s">
        <v>64</v>
      </c>
      <c r="B724" s="10" t="s">
        <v>58</v>
      </c>
      <c r="C724" s="10" t="s">
        <v>51</v>
      </c>
      <c r="D724" s="10" t="s">
        <v>176</v>
      </c>
      <c r="E724" s="10" t="s">
        <v>106</v>
      </c>
      <c r="F724" s="10" t="n">
        <v>48205</v>
      </c>
      <c r="G724" s="10" t="s">
        <v>83</v>
      </c>
      <c r="H724" s="10" t="s">
        <v>62</v>
      </c>
      <c r="I724" s="10" t="s">
        <v>68</v>
      </c>
      <c r="J724" s="13" t="n">
        <v>296.37</v>
      </c>
      <c r="K724" s="10" t="n">
        <v>3</v>
      </c>
      <c r="L724" s="14" t="n">
        <v>0</v>
      </c>
      <c r="M724" s="15" t="n">
        <v>80.0199</v>
      </c>
      <c r="N724" s="10" t="str">
        <f aca="false">IF(M724&lt;0,"Loss",IF(M724&lt;50,"Low Profit",IF(M724&lt;200,"Medium Profit","High Profit")))</f>
        <v>Medium Profit</v>
      </c>
      <c r="O724" s="10" t="str">
        <f aca="false">IF(J724&gt;=500,"High Value","Standard")</f>
        <v>Standard</v>
      </c>
      <c r="P724" s="10" t="str">
        <f aca="false">H724&amp;" &gt; "&amp;I724&amp;" ("&amp;K724&amp;" units)"</f>
        <v>Office Supplies &gt; Storage (3 units)</v>
      </c>
      <c r="Q724" s="10" t="str">
        <f aca="false">VLOOKUP(G724,Region_Manager_Table,2,FALSE())</f>
        <v>Aditya Rao</v>
      </c>
      <c r="R724" s="10" t="n">
        <f aca="false">INDEX(SLA_Days_Col,MATCH(A724,ShipMode_Col,0))</f>
        <v>6</v>
      </c>
    </row>
    <row r="725" customFormat="false" ht="15" hidden="false" customHeight="false" outlineLevel="0" collapsed="false">
      <c r="A725" s="16" t="s">
        <v>64</v>
      </c>
      <c r="B725" s="16" t="s">
        <v>80</v>
      </c>
      <c r="C725" s="16" t="s">
        <v>51</v>
      </c>
      <c r="D725" s="16" t="s">
        <v>91</v>
      </c>
      <c r="E725" s="16" t="s">
        <v>92</v>
      </c>
      <c r="F725" s="16" t="n">
        <v>19140</v>
      </c>
      <c r="G725" s="16" t="s">
        <v>93</v>
      </c>
      <c r="H725" s="16" t="s">
        <v>55</v>
      </c>
      <c r="I725" s="16" t="s">
        <v>69</v>
      </c>
      <c r="J725" s="17" t="n">
        <v>129.92</v>
      </c>
      <c r="K725" s="16" t="n">
        <v>5</v>
      </c>
      <c r="L725" s="18" t="n">
        <v>0.2</v>
      </c>
      <c r="M725" s="19" t="n">
        <v>21.112</v>
      </c>
      <c r="N725" s="16" t="str">
        <f aca="false">IF(M725&lt;0,"Loss",IF(M725&lt;50,"Low Profit",IF(M725&lt;200,"Medium Profit","High Profit")))</f>
        <v>Low Profit</v>
      </c>
      <c r="O725" s="16" t="str">
        <f aca="false">IF(J725&gt;=500,"High Value","Standard")</f>
        <v>Standard</v>
      </c>
      <c r="P725" s="16" t="str">
        <f aca="false">H725&amp;" &gt; "&amp;I725&amp;" ("&amp;K725&amp;" units)"</f>
        <v>Furniture &gt; Furnishings (5 units)</v>
      </c>
      <c r="Q725" s="16" t="str">
        <f aca="false">VLOOKUP(G725,Region_Manager_Table,2,FALSE())</f>
        <v>Priya Menon</v>
      </c>
      <c r="R725" s="16" t="n">
        <f aca="false">INDEX(SLA_Days_Col,MATCH(A725,ShipMode_Col,0))</f>
        <v>6</v>
      </c>
    </row>
    <row r="726" customFormat="false" ht="15" hidden="false" customHeight="false" outlineLevel="0" collapsed="false">
      <c r="A726" s="10" t="s">
        <v>64</v>
      </c>
      <c r="B726" s="10" t="s">
        <v>58</v>
      </c>
      <c r="C726" s="10" t="s">
        <v>51</v>
      </c>
      <c r="D726" s="10" t="s">
        <v>265</v>
      </c>
      <c r="E726" s="10" t="s">
        <v>66</v>
      </c>
      <c r="F726" s="10" t="n">
        <v>33012</v>
      </c>
      <c r="G726" s="10" t="s">
        <v>54</v>
      </c>
      <c r="H726" s="10" t="s">
        <v>62</v>
      </c>
      <c r="I726" s="10" t="s">
        <v>146</v>
      </c>
      <c r="J726" s="13" t="n">
        <v>45.584</v>
      </c>
      <c r="K726" s="10" t="n">
        <v>7</v>
      </c>
      <c r="L726" s="14" t="n">
        <v>0.2</v>
      </c>
      <c r="M726" s="15" t="n">
        <v>5.1282</v>
      </c>
      <c r="N726" s="10" t="str">
        <f aca="false">IF(M726&lt;0,"Loss",IF(M726&lt;50,"Low Profit",IF(M726&lt;200,"Medium Profit","High Profit")))</f>
        <v>Low Profit</v>
      </c>
      <c r="O726" s="10" t="str">
        <f aca="false">IF(J726&gt;=500,"High Value","Standard")</f>
        <v>Standard</v>
      </c>
      <c r="P726" s="10" t="str">
        <f aca="false">H726&amp;" &gt; "&amp;I726&amp;" ("&amp;K726&amp;" units)"</f>
        <v>Office Supplies &gt; Supplies (7 units)</v>
      </c>
      <c r="Q726" s="10" t="str">
        <f aca="false">VLOOKUP(G726,Region_Manager_Table,2,FALSE())</f>
        <v>Karthik Iyer</v>
      </c>
      <c r="R726" s="10" t="n">
        <f aca="false">INDEX(SLA_Days_Col,MATCH(A726,ShipMode_Col,0))</f>
        <v>6</v>
      </c>
    </row>
    <row r="727" customFormat="false" ht="15" hidden="false" customHeight="false" outlineLevel="0" collapsed="false">
      <c r="A727" s="16" t="s">
        <v>64</v>
      </c>
      <c r="B727" s="16" t="s">
        <v>50</v>
      </c>
      <c r="C727" s="16" t="s">
        <v>51</v>
      </c>
      <c r="D727" s="16" t="s">
        <v>200</v>
      </c>
      <c r="E727" s="16" t="s">
        <v>82</v>
      </c>
      <c r="F727" s="16" t="n">
        <v>78745</v>
      </c>
      <c r="G727" s="16" t="s">
        <v>83</v>
      </c>
      <c r="H727" s="16" t="s">
        <v>62</v>
      </c>
      <c r="I727" s="16" t="s">
        <v>96</v>
      </c>
      <c r="J727" s="17" t="n">
        <v>17.568</v>
      </c>
      <c r="K727" s="16" t="n">
        <v>2</v>
      </c>
      <c r="L727" s="18" t="n">
        <v>0.2</v>
      </c>
      <c r="M727" s="19" t="n">
        <v>6.3684</v>
      </c>
      <c r="N727" s="16" t="str">
        <f aca="false">IF(M727&lt;0,"Loss",IF(M727&lt;50,"Low Profit",IF(M727&lt;200,"Medium Profit","High Profit")))</f>
        <v>Low Profit</v>
      </c>
      <c r="O727" s="16" t="str">
        <f aca="false">IF(J727&gt;=500,"High Value","Standard")</f>
        <v>Standard</v>
      </c>
      <c r="P727" s="16" t="str">
        <f aca="false">H727&amp;" &gt; "&amp;I727&amp;" ("&amp;K727&amp;" units)"</f>
        <v>Office Supplies &gt; Envelopes (2 units)</v>
      </c>
      <c r="Q727" s="16" t="str">
        <f aca="false">VLOOKUP(G727,Region_Manager_Table,2,FALSE())</f>
        <v>Aditya Rao</v>
      </c>
      <c r="R727" s="16" t="n">
        <f aca="false">INDEX(SLA_Days_Col,MATCH(A727,ShipMode_Col,0))</f>
        <v>6</v>
      </c>
    </row>
    <row r="728" customFormat="false" ht="15" hidden="false" customHeight="false" outlineLevel="0" collapsed="false">
      <c r="A728" s="10" t="s">
        <v>64</v>
      </c>
      <c r="B728" s="10" t="s">
        <v>50</v>
      </c>
      <c r="C728" s="10" t="s">
        <v>51</v>
      </c>
      <c r="D728" s="10" t="s">
        <v>200</v>
      </c>
      <c r="E728" s="10" t="s">
        <v>82</v>
      </c>
      <c r="F728" s="10" t="n">
        <v>78745</v>
      </c>
      <c r="G728" s="10" t="s">
        <v>83</v>
      </c>
      <c r="H728" s="10" t="s">
        <v>71</v>
      </c>
      <c r="I728" s="10" t="s">
        <v>72</v>
      </c>
      <c r="J728" s="13" t="n">
        <v>55.992</v>
      </c>
      <c r="K728" s="10" t="n">
        <v>1</v>
      </c>
      <c r="L728" s="14" t="n">
        <v>0.2</v>
      </c>
      <c r="M728" s="15" t="n">
        <v>5.5992</v>
      </c>
      <c r="N728" s="10" t="str">
        <f aca="false">IF(M728&lt;0,"Loss",IF(M728&lt;50,"Low Profit",IF(M728&lt;200,"Medium Profit","High Profit")))</f>
        <v>Low Profit</v>
      </c>
      <c r="O728" s="10" t="str">
        <f aca="false">IF(J728&gt;=500,"High Value","Standard")</f>
        <v>Standard</v>
      </c>
      <c r="P728" s="10" t="str">
        <f aca="false">H728&amp;" &gt; "&amp;I728&amp;" ("&amp;K728&amp;" units)"</f>
        <v>Technology &gt; Phones (1 units)</v>
      </c>
      <c r="Q728" s="10" t="str">
        <f aca="false">VLOOKUP(G728,Region_Manager_Table,2,FALSE())</f>
        <v>Aditya Rao</v>
      </c>
      <c r="R728" s="10" t="n">
        <f aca="false">INDEX(SLA_Days_Col,MATCH(A728,ShipMode_Col,0))</f>
        <v>6</v>
      </c>
    </row>
    <row r="729" customFormat="false" ht="15" hidden="false" customHeight="false" outlineLevel="0" collapsed="false">
      <c r="A729" s="16" t="s">
        <v>98</v>
      </c>
      <c r="B729" s="16" t="s">
        <v>50</v>
      </c>
      <c r="C729" s="16" t="s">
        <v>51</v>
      </c>
      <c r="D729" s="16" t="s">
        <v>266</v>
      </c>
      <c r="E729" s="16" t="s">
        <v>112</v>
      </c>
      <c r="F729" s="16" t="n">
        <v>11572</v>
      </c>
      <c r="G729" s="16" t="s">
        <v>93</v>
      </c>
      <c r="H729" s="16" t="s">
        <v>62</v>
      </c>
      <c r="I729" s="16" t="s">
        <v>77</v>
      </c>
      <c r="J729" s="17" t="n">
        <v>182.72</v>
      </c>
      <c r="K729" s="16" t="n">
        <v>8</v>
      </c>
      <c r="L729" s="18" t="n">
        <v>0</v>
      </c>
      <c r="M729" s="19" t="n">
        <v>84.0512</v>
      </c>
      <c r="N729" s="16" t="str">
        <f aca="false">IF(M729&lt;0,"Loss",IF(M729&lt;50,"Low Profit",IF(M729&lt;200,"Medium Profit","High Profit")))</f>
        <v>Medium Profit</v>
      </c>
      <c r="O729" s="16" t="str">
        <f aca="false">IF(J729&gt;=500,"High Value","Standard")</f>
        <v>Standard</v>
      </c>
      <c r="P729" s="16" t="str">
        <f aca="false">H729&amp;" &gt; "&amp;I729&amp;" ("&amp;K729&amp;" units)"</f>
        <v>Office Supplies &gt; Paper (8 units)</v>
      </c>
      <c r="Q729" s="16" t="str">
        <f aca="false">VLOOKUP(G729,Region_Manager_Table,2,FALSE())</f>
        <v>Priya Menon</v>
      </c>
      <c r="R729" s="16" t="n">
        <f aca="false">INDEX(SLA_Days_Col,MATCH(A729,ShipMode_Col,0))</f>
        <v>2</v>
      </c>
    </row>
    <row r="730" customFormat="false" ht="15" hidden="false" customHeight="false" outlineLevel="0" collapsed="false">
      <c r="A730" s="10" t="s">
        <v>98</v>
      </c>
      <c r="B730" s="10" t="s">
        <v>50</v>
      </c>
      <c r="C730" s="10" t="s">
        <v>51</v>
      </c>
      <c r="D730" s="10" t="s">
        <v>266</v>
      </c>
      <c r="E730" s="10" t="s">
        <v>112</v>
      </c>
      <c r="F730" s="10" t="n">
        <v>11572</v>
      </c>
      <c r="G730" s="10" t="s">
        <v>93</v>
      </c>
      <c r="H730" s="10" t="s">
        <v>55</v>
      </c>
      <c r="I730" s="10" t="s">
        <v>67</v>
      </c>
      <c r="J730" s="13" t="n">
        <v>400.032</v>
      </c>
      <c r="K730" s="10" t="n">
        <v>2</v>
      </c>
      <c r="L730" s="14" t="n">
        <v>0.4</v>
      </c>
      <c r="M730" s="15" t="n">
        <v>-153.3456</v>
      </c>
      <c r="N730" s="10" t="str">
        <f aca="false">IF(M730&lt;0,"Loss",IF(M730&lt;50,"Low Profit",IF(M730&lt;200,"Medium Profit","High Profit")))</f>
        <v>Loss</v>
      </c>
      <c r="O730" s="10" t="str">
        <f aca="false">IF(J730&gt;=500,"High Value","Standard")</f>
        <v>Standard</v>
      </c>
      <c r="P730" s="10" t="str">
        <f aca="false">H730&amp;" &gt; "&amp;I730&amp;" ("&amp;K730&amp;" units)"</f>
        <v>Furniture &gt; Tables (2 units)</v>
      </c>
      <c r="Q730" s="10" t="str">
        <f aca="false">VLOOKUP(G730,Region_Manager_Table,2,FALSE())</f>
        <v>Priya Menon</v>
      </c>
      <c r="R730" s="10" t="n">
        <f aca="false">INDEX(SLA_Days_Col,MATCH(A730,ShipMode_Col,0))</f>
        <v>2</v>
      </c>
    </row>
    <row r="731" customFormat="false" ht="15" hidden="false" customHeight="false" outlineLevel="0" collapsed="false">
      <c r="A731" s="16" t="s">
        <v>98</v>
      </c>
      <c r="B731" s="16" t="s">
        <v>50</v>
      </c>
      <c r="C731" s="16" t="s">
        <v>51</v>
      </c>
      <c r="D731" s="16" t="s">
        <v>266</v>
      </c>
      <c r="E731" s="16" t="s">
        <v>112</v>
      </c>
      <c r="F731" s="16" t="n">
        <v>11572</v>
      </c>
      <c r="G731" s="16" t="s">
        <v>93</v>
      </c>
      <c r="H731" s="16" t="s">
        <v>62</v>
      </c>
      <c r="I731" s="16" t="s">
        <v>68</v>
      </c>
      <c r="J731" s="17" t="n">
        <v>33.63</v>
      </c>
      <c r="K731" s="16" t="n">
        <v>3</v>
      </c>
      <c r="L731" s="18" t="n">
        <v>0</v>
      </c>
      <c r="M731" s="19" t="n">
        <v>10.089</v>
      </c>
      <c r="N731" s="16" t="str">
        <f aca="false">IF(M731&lt;0,"Loss",IF(M731&lt;50,"Low Profit",IF(M731&lt;200,"Medium Profit","High Profit")))</f>
        <v>Low Profit</v>
      </c>
      <c r="O731" s="16" t="str">
        <f aca="false">IF(J731&gt;=500,"High Value","Standard")</f>
        <v>Standard</v>
      </c>
      <c r="P731" s="16" t="str">
        <f aca="false">H731&amp;" &gt; "&amp;I731&amp;" ("&amp;K731&amp;" units)"</f>
        <v>Office Supplies &gt; Storage (3 units)</v>
      </c>
      <c r="Q731" s="16" t="str">
        <f aca="false">VLOOKUP(G731,Region_Manager_Table,2,FALSE())</f>
        <v>Priya Menon</v>
      </c>
      <c r="R731" s="16" t="n">
        <f aca="false">INDEX(SLA_Days_Col,MATCH(A731,ShipMode_Col,0))</f>
        <v>2</v>
      </c>
    </row>
    <row r="732" customFormat="false" ht="15" hidden="false" customHeight="false" outlineLevel="0" collapsed="false">
      <c r="A732" s="10" t="s">
        <v>98</v>
      </c>
      <c r="B732" s="10" t="s">
        <v>50</v>
      </c>
      <c r="C732" s="10" t="s">
        <v>51</v>
      </c>
      <c r="D732" s="10" t="s">
        <v>266</v>
      </c>
      <c r="E732" s="10" t="s">
        <v>112</v>
      </c>
      <c r="F732" s="10" t="n">
        <v>11572</v>
      </c>
      <c r="G732" s="10" t="s">
        <v>93</v>
      </c>
      <c r="H732" s="10" t="s">
        <v>55</v>
      </c>
      <c r="I732" s="10" t="s">
        <v>57</v>
      </c>
      <c r="J732" s="13" t="n">
        <v>542.646</v>
      </c>
      <c r="K732" s="10" t="n">
        <v>3</v>
      </c>
      <c r="L732" s="14" t="n">
        <v>0.1</v>
      </c>
      <c r="M732" s="15" t="n">
        <v>102.4998</v>
      </c>
      <c r="N732" s="10" t="str">
        <f aca="false">IF(M732&lt;0,"Loss",IF(M732&lt;50,"Low Profit",IF(M732&lt;200,"Medium Profit","High Profit")))</f>
        <v>Medium Profit</v>
      </c>
      <c r="O732" s="10" t="str">
        <f aca="false">IF(J732&gt;=500,"High Value","Standard")</f>
        <v>High Value</v>
      </c>
      <c r="P732" s="10" t="str">
        <f aca="false">H732&amp;" &gt; "&amp;I732&amp;" ("&amp;K732&amp;" units)"</f>
        <v>Furniture &gt; Chairs (3 units)</v>
      </c>
      <c r="Q732" s="10" t="str">
        <f aca="false">VLOOKUP(G732,Region_Manager_Table,2,FALSE())</f>
        <v>Priya Menon</v>
      </c>
      <c r="R732" s="10" t="n">
        <f aca="false">INDEX(SLA_Days_Col,MATCH(A732,ShipMode_Col,0))</f>
        <v>2</v>
      </c>
    </row>
    <row r="733" customFormat="false" ht="15" hidden="false" customHeight="false" outlineLevel="0" collapsed="false">
      <c r="A733" s="16" t="s">
        <v>98</v>
      </c>
      <c r="B733" s="16" t="s">
        <v>50</v>
      </c>
      <c r="C733" s="16" t="s">
        <v>51</v>
      </c>
      <c r="D733" s="16" t="s">
        <v>266</v>
      </c>
      <c r="E733" s="16" t="s">
        <v>112</v>
      </c>
      <c r="F733" s="16" t="n">
        <v>11572</v>
      </c>
      <c r="G733" s="16" t="s">
        <v>93</v>
      </c>
      <c r="H733" s="16" t="s">
        <v>62</v>
      </c>
      <c r="I733" s="16" t="s">
        <v>63</v>
      </c>
      <c r="J733" s="17" t="n">
        <v>6.3</v>
      </c>
      <c r="K733" s="16" t="n">
        <v>2</v>
      </c>
      <c r="L733" s="18" t="n">
        <v>0</v>
      </c>
      <c r="M733" s="19" t="n">
        <v>3.024</v>
      </c>
      <c r="N733" s="16" t="str">
        <f aca="false">IF(M733&lt;0,"Loss",IF(M733&lt;50,"Low Profit",IF(M733&lt;200,"Medium Profit","High Profit")))</f>
        <v>Low Profit</v>
      </c>
      <c r="O733" s="16" t="str">
        <f aca="false">IF(J733&gt;=500,"High Value","Standard")</f>
        <v>Standard</v>
      </c>
      <c r="P733" s="16" t="str">
        <f aca="false">H733&amp;" &gt; "&amp;I733&amp;" ("&amp;K733&amp;" units)"</f>
        <v>Office Supplies &gt; Labels (2 units)</v>
      </c>
      <c r="Q733" s="16" t="str">
        <f aca="false">VLOOKUP(G733,Region_Manager_Table,2,FALSE())</f>
        <v>Priya Menon</v>
      </c>
      <c r="R733" s="16" t="n">
        <f aca="false">INDEX(SLA_Days_Col,MATCH(A733,ShipMode_Col,0))</f>
        <v>2</v>
      </c>
    </row>
    <row r="734" customFormat="false" ht="15" hidden="false" customHeight="false" outlineLevel="0" collapsed="false">
      <c r="A734" s="10" t="s">
        <v>64</v>
      </c>
      <c r="B734" s="10" t="s">
        <v>80</v>
      </c>
      <c r="C734" s="10" t="s">
        <v>51</v>
      </c>
      <c r="D734" s="10" t="s">
        <v>78</v>
      </c>
      <c r="E734" s="10" t="s">
        <v>79</v>
      </c>
      <c r="F734" s="10" t="n">
        <v>98115</v>
      </c>
      <c r="G734" s="10" t="s">
        <v>61</v>
      </c>
      <c r="H734" s="10" t="s">
        <v>62</v>
      </c>
      <c r="I734" s="10" t="s">
        <v>68</v>
      </c>
      <c r="J734" s="13" t="n">
        <v>242.94</v>
      </c>
      <c r="K734" s="10" t="n">
        <v>3</v>
      </c>
      <c r="L734" s="14" t="n">
        <v>0</v>
      </c>
      <c r="M734" s="15" t="n">
        <v>9.7176</v>
      </c>
      <c r="N734" s="10" t="str">
        <f aca="false">IF(M734&lt;0,"Loss",IF(M734&lt;50,"Low Profit",IF(M734&lt;200,"Medium Profit","High Profit")))</f>
        <v>Low Profit</v>
      </c>
      <c r="O734" s="10" t="str">
        <f aca="false">IF(J734&gt;=500,"High Value","Standard")</f>
        <v>Standard</v>
      </c>
      <c r="P734" s="10" t="str">
        <f aca="false">H734&amp;" &gt; "&amp;I734&amp;" ("&amp;K734&amp;" units)"</f>
        <v>Office Supplies &gt; Storage (3 units)</v>
      </c>
      <c r="Q734" s="10" t="str">
        <f aca="false">VLOOKUP(G734,Region_Manager_Table,2,FALSE())</f>
        <v>Sana Sheikh</v>
      </c>
      <c r="R734" s="10" t="n">
        <f aca="false">INDEX(SLA_Days_Col,MATCH(A734,ShipMode_Col,0))</f>
        <v>6</v>
      </c>
    </row>
    <row r="735" customFormat="false" ht="15" hidden="false" customHeight="false" outlineLevel="0" collapsed="false">
      <c r="A735" s="16" t="s">
        <v>64</v>
      </c>
      <c r="B735" s="16" t="s">
        <v>80</v>
      </c>
      <c r="C735" s="16" t="s">
        <v>51</v>
      </c>
      <c r="D735" s="16" t="s">
        <v>78</v>
      </c>
      <c r="E735" s="16" t="s">
        <v>79</v>
      </c>
      <c r="F735" s="16" t="n">
        <v>98115</v>
      </c>
      <c r="G735" s="16" t="s">
        <v>61</v>
      </c>
      <c r="H735" s="16" t="s">
        <v>71</v>
      </c>
      <c r="I735" s="16" t="s">
        <v>95</v>
      </c>
      <c r="J735" s="17" t="n">
        <v>179.97</v>
      </c>
      <c r="K735" s="16" t="n">
        <v>3</v>
      </c>
      <c r="L735" s="18" t="n">
        <v>0</v>
      </c>
      <c r="M735" s="19" t="n">
        <v>86.3856</v>
      </c>
      <c r="N735" s="16" t="str">
        <f aca="false">IF(M735&lt;0,"Loss",IF(M735&lt;50,"Low Profit",IF(M735&lt;200,"Medium Profit","High Profit")))</f>
        <v>Medium Profit</v>
      </c>
      <c r="O735" s="16" t="str">
        <f aca="false">IF(J735&gt;=500,"High Value","Standard")</f>
        <v>Standard</v>
      </c>
      <c r="P735" s="16" t="str">
        <f aca="false">H735&amp;" &gt; "&amp;I735&amp;" ("&amp;K735&amp;" units)"</f>
        <v>Technology &gt; Accessories (3 units)</v>
      </c>
      <c r="Q735" s="16" t="str">
        <f aca="false">VLOOKUP(G735,Region_Manager_Table,2,FALSE())</f>
        <v>Sana Sheikh</v>
      </c>
      <c r="R735" s="16" t="n">
        <f aca="false">INDEX(SLA_Days_Col,MATCH(A735,ShipMode_Col,0))</f>
        <v>6</v>
      </c>
    </row>
    <row r="736" customFormat="false" ht="15" hidden="false" customHeight="false" outlineLevel="0" collapsed="false">
      <c r="A736" s="10" t="s">
        <v>64</v>
      </c>
      <c r="B736" s="10" t="s">
        <v>80</v>
      </c>
      <c r="C736" s="10" t="s">
        <v>51</v>
      </c>
      <c r="D736" s="10" t="s">
        <v>78</v>
      </c>
      <c r="E736" s="10" t="s">
        <v>79</v>
      </c>
      <c r="F736" s="10" t="n">
        <v>98115</v>
      </c>
      <c r="G736" s="10" t="s">
        <v>61</v>
      </c>
      <c r="H736" s="10" t="s">
        <v>62</v>
      </c>
      <c r="I736" s="10" t="s">
        <v>73</v>
      </c>
      <c r="J736" s="13" t="n">
        <v>99.696</v>
      </c>
      <c r="K736" s="10" t="n">
        <v>6</v>
      </c>
      <c r="L736" s="14" t="n">
        <v>0.2</v>
      </c>
      <c r="M736" s="15" t="n">
        <v>33.6474</v>
      </c>
      <c r="N736" s="10" t="str">
        <f aca="false">IF(M736&lt;0,"Loss",IF(M736&lt;50,"Low Profit",IF(M736&lt;200,"Medium Profit","High Profit")))</f>
        <v>Low Profit</v>
      </c>
      <c r="O736" s="10" t="str">
        <f aca="false">IF(J736&gt;=500,"High Value","Standard")</f>
        <v>Standard</v>
      </c>
      <c r="P736" s="10" t="str">
        <f aca="false">H736&amp;" &gt; "&amp;I736&amp;" ("&amp;K736&amp;" units)"</f>
        <v>Office Supplies &gt; Binders (6 units)</v>
      </c>
      <c r="Q736" s="10" t="str">
        <f aca="false">VLOOKUP(G736,Region_Manager_Table,2,FALSE())</f>
        <v>Sana Sheikh</v>
      </c>
      <c r="R736" s="10" t="n">
        <f aca="false">INDEX(SLA_Days_Col,MATCH(A736,ShipMode_Col,0))</f>
        <v>6</v>
      </c>
    </row>
    <row r="737" customFormat="false" ht="15" hidden="false" customHeight="false" outlineLevel="0" collapsed="false">
      <c r="A737" s="16" t="s">
        <v>64</v>
      </c>
      <c r="B737" s="16" t="s">
        <v>80</v>
      </c>
      <c r="C737" s="16" t="s">
        <v>51</v>
      </c>
      <c r="D737" s="16" t="s">
        <v>78</v>
      </c>
      <c r="E737" s="16" t="s">
        <v>79</v>
      </c>
      <c r="F737" s="16" t="n">
        <v>98115</v>
      </c>
      <c r="G737" s="16" t="s">
        <v>61</v>
      </c>
      <c r="H737" s="16" t="s">
        <v>62</v>
      </c>
      <c r="I737" s="16" t="s">
        <v>73</v>
      </c>
      <c r="J737" s="17" t="n">
        <v>27.936</v>
      </c>
      <c r="K737" s="16" t="n">
        <v>4</v>
      </c>
      <c r="L737" s="18" t="n">
        <v>0.2</v>
      </c>
      <c r="M737" s="19" t="n">
        <v>9.4284</v>
      </c>
      <c r="N737" s="16" t="str">
        <f aca="false">IF(M737&lt;0,"Loss",IF(M737&lt;50,"Low Profit",IF(M737&lt;200,"Medium Profit","High Profit")))</f>
        <v>Low Profit</v>
      </c>
      <c r="O737" s="16" t="str">
        <f aca="false">IF(J737&gt;=500,"High Value","Standard")</f>
        <v>Standard</v>
      </c>
      <c r="P737" s="16" t="str">
        <f aca="false">H737&amp;" &gt; "&amp;I737&amp;" ("&amp;K737&amp;" units)"</f>
        <v>Office Supplies &gt; Binders (4 units)</v>
      </c>
      <c r="Q737" s="16" t="str">
        <f aca="false">VLOOKUP(G737,Region_Manager_Table,2,FALSE())</f>
        <v>Sana Sheikh</v>
      </c>
      <c r="R737" s="16" t="n">
        <f aca="false">INDEX(SLA_Days_Col,MATCH(A737,ShipMode_Col,0))</f>
        <v>6</v>
      </c>
    </row>
    <row r="738" customFormat="false" ht="15" hidden="false" customHeight="false" outlineLevel="0" collapsed="false">
      <c r="A738" s="10" t="s">
        <v>64</v>
      </c>
      <c r="B738" s="10" t="s">
        <v>80</v>
      </c>
      <c r="C738" s="10" t="s">
        <v>51</v>
      </c>
      <c r="D738" s="10" t="s">
        <v>78</v>
      </c>
      <c r="E738" s="10" t="s">
        <v>79</v>
      </c>
      <c r="F738" s="10" t="n">
        <v>98115</v>
      </c>
      <c r="G738" s="10" t="s">
        <v>61</v>
      </c>
      <c r="H738" s="10" t="s">
        <v>55</v>
      </c>
      <c r="I738" s="10" t="s">
        <v>56</v>
      </c>
      <c r="J738" s="13" t="n">
        <v>84.98</v>
      </c>
      <c r="K738" s="10" t="n">
        <v>1</v>
      </c>
      <c r="L738" s="14" t="n">
        <v>0</v>
      </c>
      <c r="M738" s="15" t="n">
        <v>18.6956</v>
      </c>
      <c r="N738" s="10" t="str">
        <f aca="false">IF(M738&lt;0,"Loss",IF(M738&lt;50,"Low Profit",IF(M738&lt;200,"Medium Profit","High Profit")))</f>
        <v>Low Profit</v>
      </c>
      <c r="O738" s="10" t="str">
        <f aca="false">IF(J738&gt;=500,"High Value","Standard")</f>
        <v>Standard</v>
      </c>
      <c r="P738" s="10" t="str">
        <f aca="false">H738&amp;" &gt; "&amp;I738&amp;" ("&amp;K738&amp;" units)"</f>
        <v>Furniture &gt; Bookcases (1 units)</v>
      </c>
      <c r="Q738" s="10" t="str">
        <f aca="false">VLOOKUP(G738,Region_Manager_Table,2,FALSE())</f>
        <v>Sana Sheikh</v>
      </c>
      <c r="R738" s="10" t="n">
        <f aca="false">INDEX(SLA_Days_Col,MATCH(A738,ShipMode_Col,0))</f>
        <v>6</v>
      </c>
    </row>
    <row r="739" customFormat="false" ht="15" hidden="false" customHeight="false" outlineLevel="0" collapsed="false">
      <c r="A739" s="16" t="s">
        <v>64</v>
      </c>
      <c r="B739" s="16" t="s">
        <v>80</v>
      </c>
      <c r="C739" s="16" t="s">
        <v>51</v>
      </c>
      <c r="D739" s="16" t="s">
        <v>78</v>
      </c>
      <c r="E739" s="16" t="s">
        <v>79</v>
      </c>
      <c r="F739" s="16" t="n">
        <v>98115</v>
      </c>
      <c r="G739" s="16" t="s">
        <v>61</v>
      </c>
      <c r="H739" s="16" t="s">
        <v>62</v>
      </c>
      <c r="I739" s="16" t="s">
        <v>73</v>
      </c>
      <c r="J739" s="17" t="n">
        <v>18.72</v>
      </c>
      <c r="K739" s="16" t="n">
        <v>5</v>
      </c>
      <c r="L739" s="18" t="n">
        <v>0.2</v>
      </c>
      <c r="M739" s="19" t="n">
        <v>6.552</v>
      </c>
      <c r="N739" s="16" t="str">
        <f aca="false">IF(M739&lt;0,"Loss",IF(M739&lt;50,"Low Profit",IF(M739&lt;200,"Medium Profit","High Profit")))</f>
        <v>Low Profit</v>
      </c>
      <c r="O739" s="16" t="str">
        <f aca="false">IF(J739&gt;=500,"High Value","Standard")</f>
        <v>Standard</v>
      </c>
      <c r="P739" s="16" t="str">
        <f aca="false">H739&amp;" &gt; "&amp;I739&amp;" ("&amp;K739&amp;" units)"</f>
        <v>Office Supplies &gt; Binders (5 units)</v>
      </c>
      <c r="Q739" s="16" t="str">
        <f aca="false">VLOOKUP(G739,Region_Manager_Table,2,FALSE())</f>
        <v>Sana Sheikh</v>
      </c>
      <c r="R739" s="16" t="n">
        <f aca="false">INDEX(SLA_Days_Col,MATCH(A739,ShipMode_Col,0))</f>
        <v>6</v>
      </c>
    </row>
    <row r="740" customFormat="false" ht="15" hidden="false" customHeight="false" outlineLevel="0" collapsed="false">
      <c r="A740" s="10" t="s">
        <v>64</v>
      </c>
      <c r="B740" s="10" t="s">
        <v>50</v>
      </c>
      <c r="C740" s="10" t="s">
        <v>51</v>
      </c>
      <c r="D740" s="10" t="s">
        <v>88</v>
      </c>
      <c r="E740" s="10" t="s">
        <v>60</v>
      </c>
      <c r="F740" s="10" t="n">
        <v>94110</v>
      </c>
      <c r="G740" s="10" t="s">
        <v>61</v>
      </c>
      <c r="H740" s="10" t="s">
        <v>71</v>
      </c>
      <c r="I740" s="10" t="s">
        <v>95</v>
      </c>
      <c r="J740" s="13" t="n">
        <v>49.98</v>
      </c>
      <c r="K740" s="10" t="n">
        <v>2</v>
      </c>
      <c r="L740" s="14" t="n">
        <v>0</v>
      </c>
      <c r="M740" s="15" t="n">
        <v>8.4966</v>
      </c>
      <c r="N740" s="10" t="str">
        <f aca="false">IF(M740&lt;0,"Loss",IF(M740&lt;50,"Low Profit",IF(M740&lt;200,"Medium Profit","High Profit")))</f>
        <v>Low Profit</v>
      </c>
      <c r="O740" s="10" t="str">
        <f aca="false">IF(J740&gt;=500,"High Value","Standard")</f>
        <v>Standard</v>
      </c>
      <c r="P740" s="10" t="str">
        <f aca="false">H740&amp;" &gt; "&amp;I740&amp;" ("&amp;K740&amp;" units)"</f>
        <v>Technology &gt; Accessories (2 units)</v>
      </c>
      <c r="Q740" s="10" t="str">
        <f aca="false">VLOOKUP(G740,Region_Manager_Table,2,FALSE())</f>
        <v>Sana Sheikh</v>
      </c>
      <c r="R740" s="10" t="n">
        <f aca="false">INDEX(SLA_Days_Col,MATCH(A740,ShipMode_Col,0))</f>
        <v>6</v>
      </c>
    </row>
    <row r="741" customFormat="false" ht="15" hidden="false" customHeight="false" outlineLevel="0" collapsed="false">
      <c r="A741" s="16" t="s">
        <v>64</v>
      </c>
      <c r="B741" s="16" t="s">
        <v>80</v>
      </c>
      <c r="C741" s="16" t="s">
        <v>51</v>
      </c>
      <c r="D741" s="16" t="s">
        <v>100</v>
      </c>
      <c r="E741" s="16" t="s">
        <v>101</v>
      </c>
      <c r="F741" s="16" t="n">
        <v>60540</v>
      </c>
      <c r="G741" s="16" t="s">
        <v>83</v>
      </c>
      <c r="H741" s="16" t="s">
        <v>62</v>
      </c>
      <c r="I741" s="16" t="s">
        <v>63</v>
      </c>
      <c r="J741" s="17" t="n">
        <v>11.784</v>
      </c>
      <c r="K741" s="16" t="n">
        <v>3</v>
      </c>
      <c r="L741" s="18" t="n">
        <v>0.2</v>
      </c>
      <c r="M741" s="19" t="n">
        <v>4.2717</v>
      </c>
      <c r="N741" s="16" t="str">
        <f aca="false">IF(M741&lt;0,"Loss",IF(M741&lt;50,"Low Profit",IF(M741&lt;200,"Medium Profit","High Profit")))</f>
        <v>Low Profit</v>
      </c>
      <c r="O741" s="16" t="str">
        <f aca="false">IF(J741&gt;=500,"High Value","Standard")</f>
        <v>Standard</v>
      </c>
      <c r="P741" s="16" t="str">
        <f aca="false">H741&amp;" &gt; "&amp;I741&amp;" ("&amp;K741&amp;" units)"</f>
        <v>Office Supplies &gt; Labels (3 units)</v>
      </c>
      <c r="Q741" s="16" t="str">
        <f aca="false">VLOOKUP(G741,Region_Manager_Table,2,FALSE())</f>
        <v>Aditya Rao</v>
      </c>
      <c r="R741" s="16" t="n">
        <f aca="false">INDEX(SLA_Days_Col,MATCH(A741,ShipMode_Col,0))</f>
        <v>6</v>
      </c>
    </row>
    <row r="742" customFormat="false" ht="15" hidden="false" customHeight="false" outlineLevel="0" collapsed="false">
      <c r="A742" s="10" t="s">
        <v>64</v>
      </c>
      <c r="B742" s="10" t="s">
        <v>80</v>
      </c>
      <c r="C742" s="10" t="s">
        <v>51</v>
      </c>
      <c r="D742" s="10" t="s">
        <v>100</v>
      </c>
      <c r="E742" s="10" t="s">
        <v>101</v>
      </c>
      <c r="F742" s="10" t="n">
        <v>60540</v>
      </c>
      <c r="G742" s="10" t="s">
        <v>83</v>
      </c>
      <c r="H742" s="10" t="s">
        <v>62</v>
      </c>
      <c r="I742" s="10" t="s">
        <v>68</v>
      </c>
      <c r="J742" s="13" t="n">
        <v>272.736</v>
      </c>
      <c r="K742" s="10" t="n">
        <v>3</v>
      </c>
      <c r="L742" s="14" t="n">
        <v>0.2</v>
      </c>
      <c r="M742" s="15" t="n">
        <v>-64.7748</v>
      </c>
      <c r="N742" s="10" t="str">
        <f aca="false">IF(M742&lt;0,"Loss",IF(M742&lt;50,"Low Profit",IF(M742&lt;200,"Medium Profit","High Profit")))</f>
        <v>Loss</v>
      </c>
      <c r="O742" s="10" t="str">
        <f aca="false">IF(J742&gt;=500,"High Value","Standard")</f>
        <v>Standard</v>
      </c>
      <c r="P742" s="10" t="str">
        <f aca="false">H742&amp;" &gt; "&amp;I742&amp;" ("&amp;K742&amp;" units)"</f>
        <v>Office Supplies &gt; Storage (3 units)</v>
      </c>
      <c r="Q742" s="10" t="str">
        <f aca="false">VLOOKUP(G742,Region_Manager_Table,2,FALSE())</f>
        <v>Aditya Rao</v>
      </c>
      <c r="R742" s="10" t="n">
        <f aca="false">INDEX(SLA_Days_Col,MATCH(A742,ShipMode_Col,0))</f>
        <v>6</v>
      </c>
    </row>
    <row r="743" customFormat="false" ht="15" hidden="false" customHeight="false" outlineLevel="0" collapsed="false">
      <c r="A743" s="16" t="s">
        <v>64</v>
      </c>
      <c r="B743" s="16" t="s">
        <v>80</v>
      </c>
      <c r="C743" s="16" t="s">
        <v>51</v>
      </c>
      <c r="D743" s="16" t="s">
        <v>100</v>
      </c>
      <c r="E743" s="16" t="s">
        <v>101</v>
      </c>
      <c r="F743" s="16" t="n">
        <v>60540</v>
      </c>
      <c r="G743" s="16" t="s">
        <v>83</v>
      </c>
      <c r="H743" s="16" t="s">
        <v>62</v>
      </c>
      <c r="I743" s="16" t="s">
        <v>73</v>
      </c>
      <c r="J743" s="17" t="n">
        <v>3.54</v>
      </c>
      <c r="K743" s="16" t="n">
        <v>2</v>
      </c>
      <c r="L743" s="18" t="n">
        <v>0.8</v>
      </c>
      <c r="M743" s="19" t="n">
        <v>-5.487</v>
      </c>
      <c r="N743" s="16" t="str">
        <f aca="false">IF(M743&lt;0,"Loss",IF(M743&lt;50,"Low Profit",IF(M743&lt;200,"Medium Profit","High Profit")))</f>
        <v>Loss</v>
      </c>
      <c r="O743" s="16" t="str">
        <f aca="false">IF(J743&gt;=500,"High Value","Standard")</f>
        <v>Standard</v>
      </c>
      <c r="P743" s="16" t="str">
        <f aca="false">H743&amp;" &gt; "&amp;I743&amp;" ("&amp;K743&amp;" units)"</f>
        <v>Office Supplies &gt; Binders (2 units)</v>
      </c>
      <c r="Q743" s="16" t="str">
        <f aca="false">VLOOKUP(G743,Region_Manager_Table,2,FALSE())</f>
        <v>Aditya Rao</v>
      </c>
      <c r="R743" s="16" t="n">
        <f aca="false">INDEX(SLA_Days_Col,MATCH(A743,ShipMode_Col,0))</f>
        <v>6</v>
      </c>
    </row>
    <row r="744" customFormat="false" ht="15" hidden="false" customHeight="false" outlineLevel="0" collapsed="false">
      <c r="A744" s="10" t="s">
        <v>64</v>
      </c>
      <c r="B744" s="10" t="s">
        <v>50</v>
      </c>
      <c r="C744" s="10" t="s">
        <v>51</v>
      </c>
      <c r="D744" s="10" t="s">
        <v>171</v>
      </c>
      <c r="E744" s="10" t="s">
        <v>82</v>
      </c>
      <c r="F744" s="10" t="n">
        <v>75220</v>
      </c>
      <c r="G744" s="10" t="s">
        <v>83</v>
      </c>
      <c r="H744" s="10" t="s">
        <v>62</v>
      </c>
      <c r="I744" s="10" t="s">
        <v>146</v>
      </c>
      <c r="J744" s="13" t="n">
        <v>51.52</v>
      </c>
      <c r="K744" s="10" t="n">
        <v>5</v>
      </c>
      <c r="L744" s="14" t="n">
        <v>0.2</v>
      </c>
      <c r="M744" s="15" t="n">
        <v>-10.948</v>
      </c>
      <c r="N744" s="10" t="str">
        <f aca="false">IF(M744&lt;0,"Loss",IF(M744&lt;50,"Low Profit",IF(M744&lt;200,"Medium Profit","High Profit")))</f>
        <v>Loss</v>
      </c>
      <c r="O744" s="10" t="str">
        <f aca="false">IF(J744&gt;=500,"High Value","Standard")</f>
        <v>Standard</v>
      </c>
      <c r="P744" s="10" t="str">
        <f aca="false">H744&amp;" &gt; "&amp;I744&amp;" ("&amp;K744&amp;" units)"</f>
        <v>Office Supplies &gt; Supplies (5 units)</v>
      </c>
      <c r="Q744" s="10" t="str">
        <f aca="false">VLOOKUP(G744,Region_Manager_Table,2,FALSE())</f>
        <v>Aditya Rao</v>
      </c>
      <c r="R744" s="10" t="n">
        <f aca="false">INDEX(SLA_Days_Col,MATCH(A744,ShipMode_Col,0))</f>
        <v>6</v>
      </c>
    </row>
    <row r="745" customFormat="false" ht="15" hidden="false" customHeight="false" outlineLevel="0" collapsed="false">
      <c r="A745" s="16" t="s">
        <v>64</v>
      </c>
      <c r="B745" s="16" t="s">
        <v>50</v>
      </c>
      <c r="C745" s="16" t="s">
        <v>51</v>
      </c>
      <c r="D745" s="16" t="s">
        <v>171</v>
      </c>
      <c r="E745" s="16" t="s">
        <v>82</v>
      </c>
      <c r="F745" s="16" t="n">
        <v>75220</v>
      </c>
      <c r="G745" s="16" t="s">
        <v>83</v>
      </c>
      <c r="H745" s="16" t="s">
        <v>62</v>
      </c>
      <c r="I745" s="16" t="s">
        <v>77</v>
      </c>
      <c r="J745" s="17" t="n">
        <v>3.528</v>
      </c>
      <c r="K745" s="16" t="n">
        <v>1</v>
      </c>
      <c r="L745" s="18" t="n">
        <v>0.2</v>
      </c>
      <c r="M745" s="19" t="n">
        <v>1.1466</v>
      </c>
      <c r="N745" s="16" t="str">
        <f aca="false">IF(M745&lt;0,"Loss",IF(M745&lt;50,"Low Profit",IF(M745&lt;200,"Medium Profit","High Profit")))</f>
        <v>Low Profit</v>
      </c>
      <c r="O745" s="16" t="str">
        <f aca="false">IF(J745&gt;=500,"High Value","Standard")</f>
        <v>Standard</v>
      </c>
      <c r="P745" s="16" t="str">
        <f aca="false">H745&amp;" &gt; "&amp;I745&amp;" ("&amp;K745&amp;" units)"</f>
        <v>Office Supplies &gt; Paper (1 units)</v>
      </c>
      <c r="Q745" s="16" t="str">
        <f aca="false">VLOOKUP(G745,Region_Manager_Table,2,FALSE())</f>
        <v>Aditya Rao</v>
      </c>
      <c r="R745" s="16" t="n">
        <f aca="false">INDEX(SLA_Days_Col,MATCH(A745,ShipMode_Col,0))</f>
        <v>6</v>
      </c>
    </row>
    <row r="746" customFormat="false" ht="15" hidden="false" customHeight="false" outlineLevel="0" collapsed="false">
      <c r="A746" s="10" t="s">
        <v>64</v>
      </c>
      <c r="B746" s="10" t="s">
        <v>50</v>
      </c>
      <c r="C746" s="10" t="s">
        <v>51</v>
      </c>
      <c r="D746" s="10" t="s">
        <v>171</v>
      </c>
      <c r="E746" s="10" t="s">
        <v>82</v>
      </c>
      <c r="F746" s="10" t="n">
        <v>75220</v>
      </c>
      <c r="G746" s="10" t="s">
        <v>83</v>
      </c>
      <c r="H746" s="10" t="s">
        <v>62</v>
      </c>
      <c r="I746" s="10" t="s">
        <v>77</v>
      </c>
      <c r="J746" s="13" t="n">
        <v>4.624</v>
      </c>
      <c r="K746" s="10" t="n">
        <v>1</v>
      </c>
      <c r="L746" s="14" t="n">
        <v>0.2</v>
      </c>
      <c r="M746" s="15" t="n">
        <v>1.6762</v>
      </c>
      <c r="N746" s="10" t="str">
        <f aca="false">IF(M746&lt;0,"Loss",IF(M746&lt;50,"Low Profit",IF(M746&lt;200,"Medium Profit","High Profit")))</f>
        <v>Low Profit</v>
      </c>
      <c r="O746" s="10" t="str">
        <f aca="false">IF(J746&gt;=500,"High Value","Standard")</f>
        <v>Standard</v>
      </c>
      <c r="P746" s="10" t="str">
        <f aca="false">H746&amp;" &gt; "&amp;I746&amp;" ("&amp;K746&amp;" units)"</f>
        <v>Office Supplies &gt; Paper (1 units)</v>
      </c>
      <c r="Q746" s="10" t="str">
        <f aca="false">VLOOKUP(G746,Region_Manager_Table,2,FALSE())</f>
        <v>Aditya Rao</v>
      </c>
      <c r="R746" s="10" t="n">
        <f aca="false">INDEX(SLA_Days_Col,MATCH(A746,ShipMode_Col,0))</f>
        <v>6</v>
      </c>
    </row>
    <row r="747" customFormat="false" ht="15" hidden="false" customHeight="false" outlineLevel="0" collapsed="false">
      <c r="A747" s="16" t="s">
        <v>64</v>
      </c>
      <c r="B747" s="16" t="s">
        <v>50</v>
      </c>
      <c r="C747" s="16" t="s">
        <v>51</v>
      </c>
      <c r="D747" s="16" t="s">
        <v>171</v>
      </c>
      <c r="E747" s="16" t="s">
        <v>82</v>
      </c>
      <c r="F747" s="16" t="n">
        <v>75220</v>
      </c>
      <c r="G747" s="16" t="s">
        <v>83</v>
      </c>
      <c r="H747" s="16" t="s">
        <v>62</v>
      </c>
      <c r="I747" s="16" t="s">
        <v>146</v>
      </c>
      <c r="J747" s="17" t="n">
        <v>55.168</v>
      </c>
      <c r="K747" s="16" t="n">
        <v>4</v>
      </c>
      <c r="L747" s="18" t="n">
        <v>0.2</v>
      </c>
      <c r="M747" s="19" t="n">
        <v>6.2064</v>
      </c>
      <c r="N747" s="16" t="str">
        <f aca="false">IF(M747&lt;0,"Loss",IF(M747&lt;50,"Low Profit",IF(M747&lt;200,"Medium Profit","High Profit")))</f>
        <v>Low Profit</v>
      </c>
      <c r="O747" s="16" t="str">
        <f aca="false">IF(J747&gt;=500,"High Value","Standard")</f>
        <v>Standard</v>
      </c>
      <c r="P747" s="16" t="str">
        <f aca="false">H747&amp;" &gt; "&amp;I747&amp;" ("&amp;K747&amp;" units)"</f>
        <v>Office Supplies &gt; Supplies (4 units)</v>
      </c>
      <c r="Q747" s="16" t="str">
        <f aca="false">VLOOKUP(G747,Region_Manager_Table,2,FALSE())</f>
        <v>Aditya Rao</v>
      </c>
      <c r="R747" s="16" t="n">
        <f aca="false">INDEX(SLA_Days_Col,MATCH(A747,ShipMode_Col,0))</f>
        <v>6</v>
      </c>
    </row>
    <row r="748" customFormat="false" ht="15" hidden="false" customHeight="false" outlineLevel="0" collapsed="false">
      <c r="A748" s="10" t="s">
        <v>204</v>
      </c>
      <c r="B748" s="10" t="s">
        <v>58</v>
      </c>
      <c r="C748" s="10" t="s">
        <v>51</v>
      </c>
      <c r="D748" s="10" t="s">
        <v>180</v>
      </c>
      <c r="E748" s="10" t="s">
        <v>60</v>
      </c>
      <c r="F748" s="10" t="n">
        <v>92105</v>
      </c>
      <c r="G748" s="10" t="s">
        <v>61</v>
      </c>
      <c r="H748" s="10" t="s">
        <v>55</v>
      </c>
      <c r="I748" s="10" t="s">
        <v>67</v>
      </c>
      <c r="J748" s="13" t="n">
        <v>567.12</v>
      </c>
      <c r="K748" s="10" t="n">
        <v>10</v>
      </c>
      <c r="L748" s="14" t="n">
        <v>0.2</v>
      </c>
      <c r="M748" s="15" t="n">
        <v>-28.356</v>
      </c>
      <c r="N748" s="10" t="str">
        <f aca="false">IF(M748&lt;0,"Loss",IF(M748&lt;50,"Low Profit",IF(M748&lt;200,"Medium Profit","High Profit")))</f>
        <v>Loss</v>
      </c>
      <c r="O748" s="10" t="str">
        <f aca="false">IF(J748&gt;=500,"High Value","Standard")</f>
        <v>High Value</v>
      </c>
      <c r="P748" s="10" t="str">
        <f aca="false">H748&amp;" &gt; "&amp;I748&amp;" ("&amp;K748&amp;" units)"</f>
        <v>Furniture &gt; Tables (10 units)</v>
      </c>
      <c r="Q748" s="10" t="str">
        <f aca="false">VLOOKUP(G748,Region_Manager_Table,2,FALSE())</f>
        <v>Sana Sheikh</v>
      </c>
      <c r="R748" s="10" t="n">
        <f aca="false">INDEX(SLA_Days_Col,MATCH(A748,ShipMode_Col,0))</f>
        <v>1</v>
      </c>
    </row>
    <row r="749" customFormat="false" ht="15" hidden="false" customHeight="false" outlineLevel="0" collapsed="false">
      <c r="A749" s="16" t="s">
        <v>204</v>
      </c>
      <c r="B749" s="16" t="s">
        <v>58</v>
      </c>
      <c r="C749" s="16" t="s">
        <v>51</v>
      </c>
      <c r="D749" s="16" t="s">
        <v>180</v>
      </c>
      <c r="E749" s="16" t="s">
        <v>60</v>
      </c>
      <c r="F749" s="16" t="n">
        <v>92105</v>
      </c>
      <c r="G749" s="16" t="s">
        <v>61</v>
      </c>
      <c r="H749" s="16" t="s">
        <v>62</v>
      </c>
      <c r="I749" s="16" t="s">
        <v>68</v>
      </c>
      <c r="J749" s="17" t="n">
        <v>359.32</v>
      </c>
      <c r="K749" s="16" t="n">
        <v>4</v>
      </c>
      <c r="L749" s="18" t="n">
        <v>0</v>
      </c>
      <c r="M749" s="19" t="n">
        <v>7.1864</v>
      </c>
      <c r="N749" s="16" t="str">
        <f aca="false">IF(M749&lt;0,"Loss",IF(M749&lt;50,"Low Profit",IF(M749&lt;200,"Medium Profit","High Profit")))</f>
        <v>Low Profit</v>
      </c>
      <c r="O749" s="16" t="str">
        <f aca="false">IF(J749&gt;=500,"High Value","Standard")</f>
        <v>Standard</v>
      </c>
      <c r="P749" s="16" t="str">
        <f aca="false">H749&amp;" &gt; "&amp;I749&amp;" ("&amp;K749&amp;" units)"</f>
        <v>Office Supplies &gt; Storage (4 units)</v>
      </c>
      <c r="Q749" s="16" t="str">
        <f aca="false">VLOOKUP(G749,Region_Manager_Table,2,FALSE())</f>
        <v>Sana Sheikh</v>
      </c>
      <c r="R749" s="16" t="n">
        <f aca="false">INDEX(SLA_Days_Col,MATCH(A749,ShipMode_Col,0))</f>
        <v>1</v>
      </c>
    </row>
    <row r="750" customFormat="false" ht="15" hidden="false" customHeight="false" outlineLevel="0" collapsed="false">
      <c r="A750" s="10" t="s">
        <v>49</v>
      </c>
      <c r="B750" s="10" t="s">
        <v>50</v>
      </c>
      <c r="C750" s="10" t="s">
        <v>51</v>
      </c>
      <c r="D750" s="10" t="s">
        <v>267</v>
      </c>
      <c r="E750" s="10" t="s">
        <v>101</v>
      </c>
      <c r="F750" s="10" t="n">
        <v>60201</v>
      </c>
      <c r="G750" s="10" t="s">
        <v>83</v>
      </c>
      <c r="H750" s="10" t="s">
        <v>71</v>
      </c>
      <c r="I750" s="10" t="s">
        <v>72</v>
      </c>
      <c r="J750" s="13" t="n">
        <v>11.992</v>
      </c>
      <c r="K750" s="10" t="n">
        <v>1</v>
      </c>
      <c r="L750" s="14" t="n">
        <v>0.2</v>
      </c>
      <c r="M750" s="15" t="n">
        <v>0.8994</v>
      </c>
      <c r="N750" s="10" t="str">
        <f aca="false">IF(M750&lt;0,"Loss",IF(M750&lt;50,"Low Profit",IF(M750&lt;200,"Medium Profit","High Profit")))</f>
        <v>Low Profit</v>
      </c>
      <c r="O750" s="10" t="str">
        <f aca="false">IF(J750&gt;=500,"High Value","Standard")</f>
        <v>Standard</v>
      </c>
      <c r="P750" s="10" t="str">
        <f aca="false">H750&amp;" &gt; "&amp;I750&amp;" ("&amp;K750&amp;" units)"</f>
        <v>Technology &gt; Phones (1 units)</v>
      </c>
      <c r="Q750" s="10" t="str">
        <f aca="false">VLOOKUP(G750,Region_Manager_Table,2,FALSE())</f>
        <v>Aditya Rao</v>
      </c>
      <c r="R750" s="10" t="n">
        <f aca="false">INDEX(SLA_Days_Col,MATCH(A750,ShipMode_Col,0))</f>
        <v>4</v>
      </c>
    </row>
    <row r="751" customFormat="false" ht="15" hidden="false" customHeight="false" outlineLevel="0" collapsed="false">
      <c r="A751" s="16" t="s">
        <v>64</v>
      </c>
      <c r="B751" s="16" t="s">
        <v>50</v>
      </c>
      <c r="C751" s="16" t="s">
        <v>51</v>
      </c>
      <c r="D751" s="16" t="s">
        <v>268</v>
      </c>
      <c r="E751" s="16" t="s">
        <v>106</v>
      </c>
      <c r="F751" s="16" t="n">
        <v>48183</v>
      </c>
      <c r="G751" s="16" t="s">
        <v>83</v>
      </c>
      <c r="H751" s="16" t="s">
        <v>62</v>
      </c>
      <c r="I751" s="16" t="s">
        <v>73</v>
      </c>
      <c r="J751" s="17" t="n">
        <v>58.05</v>
      </c>
      <c r="K751" s="16" t="n">
        <v>3</v>
      </c>
      <c r="L751" s="18" t="n">
        <v>0</v>
      </c>
      <c r="M751" s="19" t="n">
        <v>26.703</v>
      </c>
      <c r="N751" s="16" t="str">
        <f aca="false">IF(M751&lt;0,"Loss",IF(M751&lt;50,"Low Profit",IF(M751&lt;200,"Medium Profit","High Profit")))</f>
        <v>Low Profit</v>
      </c>
      <c r="O751" s="16" t="str">
        <f aca="false">IF(J751&gt;=500,"High Value","Standard")</f>
        <v>Standard</v>
      </c>
      <c r="P751" s="16" t="str">
        <f aca="false">H751&amp;" &gt; "&amp;I751&amp;" ("&amp;K751&amp;" units)"</f>
        <v>Office Supplies &gt; Binders (3 units)</v>
      </c>
      <c r="Q751" s="16" t="str">
        <f aca="false">VLOOKUP(G751,Region_Manager_Table,2,FALSE())</f>
        <v>Aditya Rao</v>
      </c>
      <c r="R751" s="16" t="n">
        <f aca="false">INDEX(SLA_Days_Col,MATCH(A751,ShipMode_Col,0))</f>
        <v>6</v>
      </c>
    </row>
    <row r="752" customFormat="false" ht="15" hidden="false" customHeight="false" outlineLevel="0" collapsed="false">
      <c r="A752" s="10" t="s">
        <v>64</v>
      </c>
      <c r="B752" s="10" t="s">
        <v>50</v>
      </c>
      <c r="C752" s="10" t="s">
        <v>51</v>
      </c>
      <c r="D752" s="10" t="s">
        <v>268</v>
      </c>
      <c r="E752" s="10" t="s">
        <v>106</v>
      </c>
      <c r="F752" s="10" t="n">
        <v>48183</v>
      </c>
      <c r="G752" s="10" t="s">
        <v>83</v>
      </c>
      <c r="H752" s="10" t="s">
        <v>55</v>
      </c>
      <c r="I752" s="10" t="s">
        <v>69</v>
      </c>
      <c r="J752" s="13" t="n">
        <v>157.74</v>
      </c>
      <c r="K752" s="10" t="n">
        <v>11</v>
      </c>
      <c r="L752" s="14" t="n">
        <v>0</v>
      </c>
      <c r="M752" s="15" t="n">
        <v>56.7864</v>
      </c>
      <c r="N752" s="10" t="str">
        <f aca="false">IF(M752&lt;0,"Loss",IF(M752&lt;50,"Low Profit",IF(M752&lt;200,"Medium Profit","High Profit")))</f>
        <v>Medium Profit</v>
      </c>
      <c r="O752" s="10" t="str">
        <f aca="false">IF(J752&gt;=500,"High Value","Standard")</f>
        <v>Standard</v>
      </c>
      <c r="P752" s="10" t="str">
        <f aca="false">H752&amp;" &gt; "&amp;I752&amp;" ("&amp;K752&amp;" units)"</f>
        <v>Furniture &gt; Furnishings (11 units)</v>
      </c>
      <c r="Q752" s="10" t="str">
        <f aca="false">VLOOKUP(G752,Region_Manager_Table,2,FALSE())</f>
        <v>Aditya Rao</v>
      </c>
      <c r="R752" s="10" t="n">
        <f aca="false">INDEX(SLA_Days_Col,MATCH(A752,ShipMode_Col,0))</f>
        <v>6</v>
      </c>
    </row>
    <row r="753" customFormat="false" ht="15" hidden="false" customHeight="false" outlineLevel="0" collapsed="false">
      <c r="A753" s="16" t="s">
        <v>64</v>
      </c>
      <c r="B753" s="16" t="s">
        <v>50</v>
      </c>
      <c r="C753" s="16" t="s">
        <v>51</v>
      </c>
      <c r="D753" s="16" t="s">
        <v>268</v>
      </c>
      <c r="E753" s="16" t="s">
        <v>106</v>
      </c>
      <c r="F753" s="16" t="n">
        <v>48183</v>
      </c>
      <c r="G753" s="16" t="s">
        <v>83</v>
      </c>
      <c r="H753" s="16" t="s">
        <v>62</v>
      </c>
      <c r="I753" s="16" t="s">
        <v>70</v>
      </c>
      <c r="J753" s="17" t="n">
        <v>56.98</v>
      </c>
      <c r="K753" s="16" t="n">
        <v>7</v>
      </c>
      <c r="L753" s="18" t="n">
        <v>0</v>
      </c>
      <c r="M753" s="19" t="n">
        <v>22.792</v>
      </c>
      <c r="N753" s="16" t="str">
        <f aca="false">IF(M753&lt;0,"Loss",IF(M753&lt;50,"Low Profit",IF(M753&lt;200,"Medium Profit","High Profit")))</f>
        <v>Low Profit</v>
      </c>
      <c r="O753" s="16" t="str">
        <f aca="false">IF(J753&gt;=500,"High Value","Standard")</f>
        <v>Standard</v>
      </c>
      <c r="P753" s="16" t="str">
        <f aca="false">H753&amp;" &gt; "&amp;I753&amp;" ("&amp;K753&amp;" units)"</f>
        <v>Office Supplies &gt; Art (7 units)</v>
      </c>
      <c r="Q753" s="16" t="str">
        <f aca="false">VLOOKUP(G753,Region_Manager_Table,2,FALSE())</f>
        <v>Aditya Rao</v>
      </c>
      <c r="R753" s="16" t="n">
        <f aca="false">INDEX(SLA_Days_Col,MATCH(A753,ShipMode_Col,0))</f>
        <v>6</v>
      </c>
    </row>
    <row r="754" customFormat="false" ht="15" hidden="false" customHeight="false" outlineLevel="0" collapsed="false">
      <c r="A754" s="10" t="s">
        <v>64</v>
      </c>
      <c r="B754" s="10" t="s">
        <v>50</v>
      </c>
      <c r="C754" s="10" t="s">
        <v>51</v>
      </c>
      <c r="D754" s="10" t="s">
        <v>268</v>
      </c>
      <c r="E754" s="10" t="s">
        <v>106</v>
      </c>
      <c r="F754" s="10" t="n">
        <v>48183</v>
      </c>
      <c r="G754" s="10" t="s">
        <v>83</v>
      </c>
      <c r="H754" s="10" t="s">
        <v>62</v>
      </c>
      <c r="I754" s="10" t="s">
        <v>73</v>
      </c>
      <c r="J754" s="13" t="n">
        <v>2.88</v>
      </c>
      <c r="K754" s="10" t="n">
        <v>1</v>
      </c>
      <c r="L754" s="14" t="n">
        <v>0</v>
      </c>
      <c r="M754" s="15" t="n">
        <v>1.4112</v>
      </c>
      <c r="N754" s="10" t="str">
        <f aca="false">IF(M754&lt;0,"Loss",IF(M754&lt;50,"Low Profit",IF(M754&lt;200,"Medium Profit","High Profit")))</f>
        <v>Low Profit</v>
      </c>
      <c r="O754" s="10" t="str">
        <f aca="false">IF(J754&gt;=500,"High Value","Standard")</f>
        <v>Standard</v>
      </c>
      <c r="P754" s="10" t="str">
        <f aca="false">H754&amp;" &gt; "&amp;I754&amp;" ("&amp;K754&amp;" units)"</f>
        <v>Office Supplies &gt; Binders (1 units)</v>
      </c>
      <c r="Q754" s="10" t="str">
        <f aca="false">VLOOKUP(G754,Region_Manager_Table,2,FALSE())</f>
        <v>Aditya Rao</v>
      </c>
      <c r="R754" s="10" t="n">
        <f aca="false">INDEX(SLA_Days_Col,MATCH(A754,ShipMode_Col,0))</f>
        <v>6</v>
      </c>
    </row>
    <row r="755" customFormat="false" ht="15" hidden="false" customHeight="false" outlineLevel="0" collapsed="false">
      <c r="A755" s="16" t="s">
        <v>98</v>
      </c>
      <c r="B755" s="16" t="s">
        <v>58</v>
      </c>
      <c r="C755" s="16" t="s">
        <v>51</v>
      </c>
      <c r="D755" s="16" t="s">
        <v>88</v>
      </c>
      <c r="E755" s="16" t="s">
        <v>60</v>
      </c>
      <c r="F755" s="16" t="n">
        <v>94110</v>
      </c>
      <c r="G755" s="16" t="s">
        <v>61</v>
      </c>
      <c r="H755" s="16" t="s">
        <v>71</v>
      </c>
      <c r="I755" s="16" t="s">
        <v>198</v>
      </c>
      <c r="J755" s="17" t="n">
        <v>1199.976</v>
      </c>
      <c r="K755" s="16" t="n">
        <v>3</v>
      </c>
      <c r="L755" s="18" t="n">
        <v>0.2</v>
      </c>
      <c r="M755" s="19" t="n">
        <v>374.9925</v>
      </c>
      <c r="N755" s="16" t="str">
        <f aca="false">IF(M755&lt;0,"Loss",IF(M755&lt;50,"Low Profit",IF(M755&lt;200,"Medium Profit","High Profit")))</f>
        <v>High Profit</v>
      </c>
      <c r="O755" s="16" t="str">
        <f aca="false">IF(J755&gt;=500,"High Value","Standard")</f>
        <v>High Value</v>
      </c>
      <c r="P755" s="16" t="str">
        <f aca="false">H755&amp;" &gt; "&amp;I755&amp;" ("&amp;K755&amp;" units)"</f>
        <v>Technology &gt; Copiers (3 units)</v>
      </c>
      <c r="Q755" s="16" t="str">
        <f aca="false">VLOOKUP(G755,Region_Manager_Table,2,FALSE())</f>
        <v>Sana Sheikh</v>
      </c>
      <c r="R755" s="16" t="n">
        <f aca="false">INDEX(SLA_Days_Col,MATCH(A755,ShipMode_Col,0))</f>
        <v>2</v>
      </c>
    </row>
    <row r="756" customFormat="false" ht="15" hidden="false" customHeight="false" outlineLevel="0" collapsed="false">
      <c r="A756" s="10" t="s">
        <v>64</v>
      </c>
      <c r="B756" s="10" t="s">
        <v>50</v>
      </c>
      <c r="C756" s="10" t="s">
        <v>51</v>
      </c>
      <c r="D756" s="10" t="s">
        <v>59</v>
      </c>
      <c r="E756" s="10" t="s">
        <v>60</v>
      </c>
      <c r="F756" s="10" t="n">
        <v>90036</v>
      </c>
      <c r="G756" s="10" t="s">
        <v>61</v>
      </c>
      <c r="H756" s="10" t="s">
        <v>55</v>
      </c>
      <c r="I756" s="10" t="s">
        <v>69</v>
      </c>
      <c r="J756" s="13" t="n">
        <v>79.92</v>
      </c>
      <c r="K756" s="10" t="n">
        <v>4</v>
      </c>
      <c r="L756" s="14" t="n">
        <v>0</v>
      </c>
      <c r="M756" s="15" t="n">
        <v>28.7712</v>
      </c>
      <c r="N756" s="10" t="str">
        <f aca="false">IF(M756&lt;0,"Loss",IF(M756&lt;50,"Low Profit",IF(M756&lt;200,"Medium Profit","High Profit")))</f>
        <v>Low Profit</v>
      </c>
      <c r="O756" s="10" t="str">
        <f aca="false">IF(J756&gt;=500,"High Value","Standard")</f>
        <v>Standard</v>
      </c>
      <c r="P756" s="10" t="str">
        <f aca="false">H756&amp;" &gt; "&amp;I756&amp;" ("&amp;K756&amp;" units)"</f>
        <v>Furniture &gt; Furnishings (4 units)</v>
      </c>
      <c r="Q756" s="10" t="str">
        <f aca="false">VLOOKUP(G756,Region_Manager_Table,2,FALSE())</f>
        <v>Sana Sheikh</v>
      </c>
      <c r="R756" s="10" t="n">
        <f aca="false">INDEX(SLA_Days_Col,MATCH(A756,ShipMode_Col,0))</f>
        <v>6</v>
      </c>
    </row>
    <row r="757" customFormat="false" ht="15" hidden="false" customHeight="false" outlineLevel="0" collapsed="false">
      <c r="A757" s="16" t="s">
        <v>64</v>
      </c>
      <c r="B757" s="16" t="s">
        <v>58</v>
      </c>
      <c r="C757" s="16" t="s">
        <v>51</v>
      </c>
      <c r="D757" s="16" t="s">
        <v>225</v>
      </c>
      <c r="E757" s="16" t="s">
        <v>66</v>
      </c>
      <c r="F757" s="16" t="n">
        <v>32216</v>
      </c>
      <c r="G757" s="16" t="s">
        <v>54</v>
      </c>
      <c r="H757" s="16" t="s">
        <v>55</v>
      </c>
      <c r="I757" s="16" t="s">
        <v>67</v>
      </c>
      <c r="J757" s="17" t="n">
        <v>383.438</v>
      </c>
      <c r="K757" s="16" t="n">
        <v>4</v>
      </c>
      <c r="L757" s="18" t="n">
        <v>0.45</v>
      </c>
      <c r="M757" s="19" t="n">
        <v>-167.3184</v>
      </c>
      <c r="N757" s="16" t="str">
        <f aca="false">IF(M757&lt;0,"Loss",IF(M757&lt;50,"Low Profit",IF(M757&lt;200,"Medium Profit","High Profit")))</f>
        <v>Loss</v>
      </c>
      <c r="O757" s="16" t="str">
        <f aca="false">IF(J757&gt;=500,"High Value","Standard")</f>
        <v>Standard</v>
      </c>
      <c r="P757" s="16" t="str">
        <f aca="false">H757&amp;" &gt; "&amp;I757&amp;" ("&amp;K757&amp;" units)"</f>
        <v>Furniture &gt; Tables (4 units)</v>
      </c>
      <c r="Q757" s="16" t="str">
        <f aca="false">VLOOKUP(G757,Region_Manager_Table,2,FALSE())</f>
        <v>Karthik Iyer</v>
      </c>
      <c r="R757" s="16" t="n">
        <f aca="false">INDEX(SLA_Days_Col,MATCH(A757,ShipMode_Col,0))</f>
        <v>6</v>
      </c>
    </row>
    <row r="758" customFormat="false" ht="15" hidden="false" customHeight="false" outlineLevel="0" collapsed="false">
      <c r="A758" s="10" t="s">
        <v>64</v>
      </c>
      <c r="B758" s="10" t="s">
        <v>50</v>
      </c>
      <c r="C758" s="10" t="s">
        <v>51</v>
      </c>
      <c r="D758" s="10" t="s">
        <v>269</v>
      </c>
      <c r="E758" s="10" t="s">
        <v>104</v>
      </c>
      <c r="F758" s="10" t="n">
        <v>55016</v>
      </c>
      <c r="G758" s="10" t="s">
        <v>83</v>
      </c>
      <c r="H758" s="10" t="s">
        <v>62</v>
      </c>
      <c r="I758" s="10" t="s">
        <v>68</v>
      </c>
      <c r="J758" s="13" t="n">
        <v>24.56</v>
      </c>
      <c r="K758" s="10" t="n">
        <v>2</v>
      </c>
      <c r="L758" s="14" t="n">
        <v>0</v>
      </c>
      <c r="M758" s="15" t="n">
        <v>6.8768</v>
      </c>
      <c r="N758" s="10" t="str">
        <f aca="false">IF(M758&lt;0,"Loss",IF(M758&lt;50,"Low Profit",IF(M758&lt;200,"Medium Profit","High Profit")))</f>
        <v>Low Profit</v>
      </c>
      <c r="O758" s="10" t="str">
        <f aca="false">IF(J758&gt;=500,"High Value","Standard")</f>
        <v>Standard</v>
      </c>
      <c r="P758" s="10" t="str">
        <f aca="false">H758&amp;" &gt; "&amp;I758&amp;" ("&amp;K758&amp;" units)"</f>
        <v>Office Supplies &gt; Storage (2 units)</v>
      </c>
      <c r="Q758" s="10" t="str">
        <f aca="false">VLOOKUP(G758,Region_Manager_Table,2,FALSE())</f>
        <v>Aditya Rao</v>
      </c>
      <c r="R758" s="10" t="n">
        <f aca="false">INDEX(SLA_Days_Col,MATCH(A758,ShipMode_Col,0))</f>
        <v>6</v>
      </c>
    </row>
    <row r="759" customFormat="false" ht="15" hidden="false" customHeight="false" outlineLevel="0" collapsed="false">
      <c r="A759" s="16" t="s">
        <v>64</v>
      </c>
      <c r="B759" s="16" t="s">
        <v>50</v>
      </c>
      <c r="C759" s="16" t="s">
        <v>51</v>
      </c>
      <c r="D759" s="16" t="s">
        <v>269</v>
      </c>
      <c r="E759" s="16" t="s">
        <v>104</v>
      </c>
      <c r="F759" s="16" t="n">
        <v>55016</v>
      </c>
      <c r="G759" s="16" t="s">
        <v>83</v>
      </c>
      <c r="H759" s="16" t="s">
        <v>71</v>
      </c>
      <c r="I759" s="16" t="s">
        <v>95</v>
      </c>
      <c r="J759" s="17" t="n">
        <v>119.8</v>
      </c>
      <c r="K759" s="16" t="n">
        <v>4</v>
      </c>
      <c r="L759" s="18" t="n">
        <v>0</v>
      </c>
      <c r="M759" s="19" t="n">
        <v>47.92</v>
      </c>
      <c r="N759" s="16" t="str">
        <f aca="false">IF(M759&lt;0,"Loss",IF(M759&lt;50,"Low Profit",IF(M759&lt;200,"Medium Profit","High Profit")))</f>
        <v>Low Profit</v>
      </c>
      <c r="O759" s="16" t="str">
        <f aca="false">IF(J759&gt;=500,"High Value","Standard")</f>
        <v>Standard</v>
      </c>
      <c r="P759" s="16" t="str">
        <f aca="false">H759&amp;" &gt; "&amp;I759&amp;" ("&amp;K759&amp;" units)"</f>
        <v>Technology &gt; Accessories (4 units)</v>
      </c>
      <c r="Q759" s="16" t="str">
        <f aca="false">VLOOKUP(G759,Region_Manager_Table,2,FALSE())</f>
        <v>Aditya Rao</v>
      </c>
      <c r="R759" s="16" t="n">
        <f aca="false">INDEX(SLA_Days_Col,MATCH(A759,ShipMode_Col,0))</f>
        <v>6</v>
      </c>
    </row>
    <row r="760" customFormat="false" ht="15" hidden="false" customHeight="false" outlineLevel="0" collapsed="false">
      <c r="A760" s="10" t="s">
        <v>64</v>
      </c>
      <c r="B760" s="10" t="s">
        <v>58</v>
      </c>
      <c r="C760" s="10" t="s">
        <v>51</v>
      </c>
      <c r="D760" s="10" t="s">
        <v>111</v>
      </c>
      <c r="E760" s="10" t="s">
        <v>112</v>
      </c>
      <c r="F760" s="10" t="n">
        <v>10009</v>
      </c>
      <c r="G760" s="10" t="s">
        <v>93</v>
      </c>
      <c r="H760" s="10" t="s">
        <v>62</v>
      </c>
      <c r="I760" s="10" t="s">
        <v>73</v>
      </c>
      <c r="J760" s="13" t="n">
        <v>13.128</v>
      </c>
      <c r="K760" s="10" t="n">
        <v>3</v>
      </c>
      <c r="L760" s="14" t="n">
        <v>0.2</v>
      </c>
      <c r="M760" s="15" t="n">
        <v>4.2666</v>
      </c>
      <c r="N760" s="10" t="str">
        <f aca="false">IF(M760&lt;0,"Loss",IF(M760&lt;50,"Low Profit",IF(M760&lt;200,"Medium Profit","High Profit")))</f>
        <v>Low Profit</v>
      </c>
      <c r="O760" s="10" t="str">
        <f aca="false">IF(J760&gt;=500,"High Value","Standard")</f>
        <v>Standard</v>
      </c>
      <c r="P760" s="10" t="str">
        <f aca="false">H760&amp;" &gt; "&amp;I760&amp;" ("&amp;K760&amp;" units)"</f>
        <v>Office Supplies &gt; Binders (3 units)</v>
      </c>
      <c r="Q760" s="10" t="str">
        <f aca="false">VLOOKUP(G760,Region_Manager_Table,2,FALSE())</f>
        <v>Priya Menon</v>
      </c>
      <c r="R760" s="10" t="n">
        <f aca="false">INDEX(SLA_Days_Col,MATCH(A760,ShipMode_Col,0))</f>
        <v>6</v>
      </c>
    </row>
    <row r="761" customFormat="false" ht="15" hidden="false" customHeight="false" outlineLevel="0" collapsed="false">
      <c r="A761" s="16" t="s">
        <v>64</v>
      </c>
      <c r="B761" s="16" t="s">
        <v>58</v>
      </c>
      <c r="C761" s="16" t="s">
        <v>51</v>
      </c>
      <c r="D761" s="16" t="s">
        <v>243</v>
      </c>
      <c r="E761" s="16" t="s">
        <v>85</v>
      </c>
      <c r="F761" s="16" t="n">
        <v>54302</v>
      </c>
      <c r="G761" s="16" t="s">
        <v>83</v>
      </c>
      <c r="H761" s="16" t="s">
        <v>62</v>
      </c>
      <c r="I761" s="16" t="s">
        <v>77</v>
      </c>
      <c r="J761" s="17" t="n">
        <v>22.72</v>
      </c>
      <c r="K761" s="16" t="n">
        <v>4</v>
      </c>
      <c r="L761" s="18" t="n">
        <v>0</v>
      </c>
      <c r="M761" s="19" t="n">
        <v>10.224</v>
      </c>
      <c r="N761" s="16" t="str">
        <f aca="false">IF(M761&lt;0,"Loss",IF(M761&lt;50,"Low Profit",IF(M761&lt;200,"Medium Profit","High Profit")))</f>
        <v>Low Profit</v>
      </c>
      <c r="O761" s="16" t="str">
        <f aca="false">IF(J761&gt;=500,"High Value","Standard")</f>
        <v>Standard</v>
      </c>
      <c r="P761" s="16" t="str">
        <f aca="false">H761&amp;" &gt; "&amp;I761&amp;" ("&amp;K761&amp;" units)"</f>
        <v>Office Supplies &gt; Paper (4 units)</v>
      </c>
      <c r="Q761" s="16" t="str">
        <f aca="false">VLOOKUP(G761,Region_Manager_Table,2,FALSE())</f>
        <v>Aditya Rao</v>
      </c>
      <c r="R761" s="16" t="n">
        <f aca="false">INDEX(SLA_Days_Col,MATCH(A761,ShipMode_Col,0))</f>
        <v>6</v>
      </c>
    </row>
    <row r="762" customFormat="false" ht="15" hidden="false" customHeight="false" outlineLevel="0" collapsed="false">
      <c r="A762" s="10" t="s">
        <v>64</v>
      </c>
      <c r="B762" s="10" t="s">
        <v>50</v>
      </c>
      <c r="C762" s="10" t="s">
        <v>51</v>
      </c>
      <c r="D762" s="10" t="s">
        <v>59</v>
      </c>
      <c r="E762" s="10" t="s">
        <v>60</v>
      </c>
      <c r="F762" s="10" t="n">
        <v>90004</v>
      </c>
      <c r="G762" s="10" t="s">
        <v>61</v>
      </c>
      <c r="H762" s="10" t="s">
        <v>62</v>
      </c>
      <c r="I762" s="10" t="s">
        <v>77</v>
      </c>
      <c r="J762" s="13" t="n">
        <v>58.32</v>
      </c>
      <c r="K762" s="10" t="n">
        <v>9</v>
      </c>
      <c r="L762" s="14" t="n">
        <v>0</v>
      </c>
      <c r="M762" s="15" t="n">
        <v>27.9936</v>
      </c>
      <c r="N762" s="10" t="str">
        <f aca="false">IF(M762&lt;0,"Loss",IF(M762&lt;50,"Low Profit",IF(M762&lt;200,"Medium Profit","High Profit")))</f>
        <v>Low Profit</v>
      </c>
      <c r="O762" s="10" t="str">
        <f aca="false">IF(J762&gt;=500,"High Value","Standard")</f>
        <v>Standard</v>
      </c>
      <c r="P762" s="10" t="str">
        <f aca="false">H762&amp;" &gt; "&amp;I762&amp;" ("&amp;K762&amp;" units)"</f>
        <v>Office Supplies &gt; Paper (9 units)</v>
      </c>
      <c r="Q762" s="10" t="str">
        <f aca="false">VLOOKUP(G762,Region_Manager_Table,2,FALSE())</f>
        <v>Sana Sheikh</v>
      </c>
      <c r="R762" s="10" t="n">
        <f aca="false">INDEX(SLA_Days_Col,MATCH(A762,ShipMode_Col,0))</f>
        <v>6</v>
      </c>
    </row>
    <row r="763" customFormat="false" ht="15" hidden="false" customHeight="false" outlineLevel="0" collapsed="false">
      <c r="A763" s="16" t="s">
        <v>64</v>
      </c>
      <c r="B763" s="16" t="s">
        <v>58</v>
      </c>
      <c r="C763" s="16" t="s">
        <v>51</v>
      </c>
      <c r="D763" s="16" t="s">
        <v>236</v>
      </c>
      <c r="E763" s="16" t="s">
        <v>203</v>
      </c>
      <c r="F763" s="16" t="n">
        <v>30318</v>
      </c>
      <c r="G763" s="16" t="s">
        <v>54</v>
      </c>
      <c r="H763" s="16" t="s">
        <v>62</v>
      </c>
      <c r="I763" s="16" t="s">
        <v>63</v>
      </c>
      <c r="J763" s="17" t="n">
        <v>12.39</v>
      </c>
      <c r="K763" s="16" t="n">
        <v>3</v>
      </c>
      <c r="L763" s="18" t="n">
        <v>0</v>
      </c>
      <c r="M763" s="19" t="n">
        <v>5.6994</v>
      </c>
      <c r="N763" s="16" t="str">
        <f aca="false">IF(M763&lt;0,"Loss",IF(M763&lt;50,"Low Profit",IF(M763&lt;200,"Medium Profit","High Profit")))</f>
        <v>Low Profit</v>
      </c>
      <c r="O763" s="16" t="str">
        <f aca="false">IF(J763&gt;=500,"High Value","Standard")</f>
        <v>Standard</v>
      </c>
      <c r="P763" s="16" t="str">
        <f aca="false">H763&amp;" &gt; "&amp;I763&amp;" ("&amp;K763&amp;" units)"</f>
        <v>Office Supplies &gt; Labels (3 units)</v>
      </c>
      <c r="Q763" s="16" t="str">
        <f aca="false">VLOOKUP(G763,Region_Manager_Table,2,FALSE())</f>
        <v>Karthik Iyer</v>
      </c>
      <c r="R763" s="16" t="n">
        <f aca="false">INDEX(SLA_Days_Col,MATCH(A763,ShipMode_Col,0))</f>
        <v>6</v>
      </c>
    </row>
    <row r="764" customFormat="false" ht="15" hidden="false" customHeight="false" outlineLevel="0" collapsed="false">
      <c r="A764" s="10" t="s">
        <v>64</v>
      </c>
      <c r="B764" s="10" t="s">
        <v>50</v>
      </c>
      <c r="C764" s="10" t="s">
        <v>51</v>
      </c>
      <c r="D764" s="10" t="s">
        <v>139</v>
      </c>
      <c r="E764" s="10" t="s">
        <v>140</v>
      </c>
      <c r="F764" s="10" t="n">
        <v>43229</v>
      </c>
      <c r="G764" s="10" t="s">
        <v>93</v>
      </c>
      <c r="H764" s="10" t="s">
        <v>71</v>
      </c>
      <c r="I764" s="10" t="s">
        <v>72</v>
      </c>
      <c r="J764" s="13" t="n">
        <v>107.982</v>
      </c>
      <c r="K764" s="10" t="n">
        <v>3</v>
      </c>
      <c r="L764" s="14" t="n">
        <v>0.4</v>
      </c>
      <c r="M764" s="15" t="n">
        <v>-26.9955</v>
      </c>
      <c r="N764" s="10" t="str">
        <f aca="false">IF(M764&lt;0,"Loss",IF(M764&lt;50,"Low Profit",IF(M764&lt;200,"Medium Profit","High Profit")))</f>
        <v>Loss</v>
      </c>
      <c r="O764" s="10" t="str">
        <f aca="false">IF(J764&gt;=500,"High Value","Standard")</f>
        <v>Standard</v>
      </c>
      <c r="P764" s="10" t="str">
        <f aca="false">H764&amp;" &gt; "&amp;I764&amp;" ("&amp;K764&amp;" units)"</f>
        <v>Technology &gt; Phones (3 units)</v>
      </c>
      <c r="Q764" s="10" t="str">
        <f aca="false">VLOOKUP(G764,Region_Manager_Table,2,FALSE())</f>
        <v>Priya Menon</v>
      </c>
      <c r="R764" s="10" t="n">
        <f aca="false">INDEX(SLA_Days_Col,MATCH(A764,ShipMode_Col,0))</f>
        <v>6</v>
      </c>
    </row>
    <row r="765" customFormat="false" ht="15" hidden="false" customHeight="false" outlineLevel="0" collapsed="false">
      <c r="A765" s="16" t="s">
        <v>49</v>
      </c>
      <c r="B765" s="16" t="s">
        <v>58</v>
      </c>
      <c r="C765" s="16" t="s">
        <v>51</v>
      </c>
      <c r="D765" s="16" t="s">
        <v>270</v>
      </c>
      <c r="E765" s="16" t="s">
        <v>161</v>
      </c>
      <c r="F765" s="16" t="n">
        <v>71111</v>
      </c>
      <c r="G765" s="16" t="s">
        <v>54</v>
      </c>
      <c r="H765" s="16" t="s">
        <v>62</v>
      </c>
      <c r="I765" s="16" t="s">
        <v>96</v>
      </c>
      <c r="J765" s="17" t="n">
        <v>11.36</v>
      </c>
      <c r="K765" s="16" t="n">
        <v>2</v>
      </c>
      <c r="L765" s="18" t="n">
        <v>0</v>
      </c>
      <c r="M765" s="19" t="n">
        <v>5.3392</v>
      </c>
      <c r="N765" s="16" t="str">
        <f aca="false">IF(M765&lt;0,"Loss",IF(M765&lt;50,"Low Profit",IF(M765&lt;200,"Medium Profit","High Profit")))</f>
        <v>Low Profit</v>
      </c>
      <c r="O765" s="16" t="str">
        <f aca="false">IF(J765&gt;=500,"High Value","Standard")</f>
        <v>Standard</v>
      </c>
      <c r="P765" s="16" t="str">
        <f aca="false">H765&amp;" &gt; "&amp;I765&amp;" ("&amp;K765&amp;" units)"</f>
        <v>Office Supplies &gt; Envelopes (2 units)</v>
      </c>
      <c r="Q765" s="16" t="str">
        <f aca="false">VLOOKUP(G765,Region_Manager_Table,2,FALSE())</f>
        <v>Karthik Iyer</v>
      </c>
      <c r="R765" s="16" t="n">
        <f aca="false">INDEX(SLA_Days_Col,MATCH(A765,ShipMode_Col,0))</f>
        <v>4</v>
      </c>
    </row>
    <row r="766" customFormat="false" ht="15" hidden="false" customHeight="false" outlineLevel="0" collapsed="false">
      <c r="A766" s="10" t="s">
        <v>49</v>
      </c>
      <c r="B766" s="10" t="s">
        <v>58</v>
      </c>
      <c r="C766" s="10" t="s">
        <v>51</v>
      </c>
      <c r="D766" s="10" t="s">
        <v>270</v>
      </c>
      <c r="E766" s="10" t="s">
        <v>161</v>
      </c>
      <c r="F766" s="10" t="n">
        <v>71111</v>
      </c>
      <c r="G766" s="10" t="s">
        <v>54</v>
      </c>
      <c r="H766" s="10" t="s">
        <v>62</v>
      </c>
      <c r="I766" s="10" t="s">
        <v>96</v>
      </c>
      <c r="J766" s="13" t="n">
        <v>50.94</v>
      </c>
      <c r="K766" s="10" t="n">
        <v>3</v>
      </c>
      <c r="L766" s="14" t="n">
        <v>0</v>
      </c>
      <c r="M766" s="15" t="n">
        <v>25.47</v>
      </c>
      <c r="N766" s="10" t="str">
        <f aca="false">IF(M766&lt;0,"Loss",IF(M766&lt;50,"Low Profit",IF(M766&lt;200,"Medium Profit","High Profit")))</f>
        <v>Low Profit</v>
      </c>
      <c r="O766" s="10" t="str">
        <f aca="false">IF(J766&gt;=500,"High Value","Standard")</f>
        <v>Standard</v>
      </c>
      <c r="P766" s="10" t="str">
        <f aca="false">H766&amp;" &gt; "&amp;I766&amp;" ("&amp;K766&amp;" units)"</f>
        <v>Office Supplies &gt; Envelopes (3 units)</v>
      </c>
      <c r="Q766" s="10" t="str">
        <f aca="false">VLOOKUP(G766,Region_Manager_Table,2,FALSE())</f>
        <v>Karthik Iyer</v>
      </c>
      <c r="R766" s="10" t="n">
        <f aca="false">INDEX(SLA_Days_Col,MATCH(A766,ShipMode_Col,0))</f>
        <v>4</v>
      </c>
    </row>
    <row r="767" customFormat="false" ht="15" hidden="false" customHeight="false" outlineLevel="0" collapsed="false">
      <c r="A767" s="16" t="s">
        <v>49</v>
      </c>
      <c r="B767" s="16" t="s">
        <v>58</v>
      </c>
      <c r="C767" s="16" t="s">
        <v>51</v>
      </c>
      <c r="D767" s="16" t="s">
        <v>270</v>
      </c>
      <c r="E767" s="16" t="s">
        <v>161</v>
      </c>
      <c r="F767" s="16" t="n">
        <v>71111</v>
      </c>
      <c r="G767" s="16" t="s">
        <v>54</v>
      </c>
      <c r="H767" s="16" t="s">
        <v>71</v>
      </c>
      <c r="I767" s="16" t="s">
        <v>95</v>
      </c>
      <c r="J767" s="17" t="n">
        <v>646.74</v>
      </c>
      <c r="K767" s="16" t="n">
        <v>6</v>
      </c>
      <c r="L767" s="18" t="n">
        <v>0</v>
      </c>
      <c r="M767" s="19" t="n">
        <v>258.696</v>
      </c>
      <c r="N767" s="16" t="str">
        <f aca="false">IF(M767&lt;0,"Loss",IF(M767&lt;50,"Low Profit",IF(M767&lt;200,"Medium Profit","High Profit")))</f>
        <v>High Profit</v>
      </c>
      <c r="O767" s="16" t="str">
        <f aca="false">IF(J767&gt;=500,"High Value","Standard")</f>
        <v>High Value</v>
      </c>
      <c r="P767" s="16" t="str">
        <f aca="false">H767&amp;" &gt; "&amp;I767&amp;" ("&amp;K767&amp;" units)"</f>
        <v>Technology &gt; Accessories (6 units)</v>
      </c>
      <c r="Q767" s="16" t="str">
        <f aca="false">VLOOKUP(G767,Region_Manager_Table,2,FALSE())</f>
        <v>Karthik Iyer</v>
      </c>
      <c r="R767" s="16" t="n">
        <f aca="false">INDEX(SLA_Days_Col,MATCH(A767,ShipMode_Col,0))</f>
        <v>4</v>
      </c>
    </row>
    <row r="768" customFormat="false" ht="15" hidden="false" customHeight="false" outlineLevel="0" collapsed="false">
      <c r="A768" s="10" t="s">
        <v>49</v>
      </c>
      <c r="B768" s="10" t="s">
        <v>58</v>
      </c>
      <c r="C768" s="10" t="s">
        <v>51</v>
      </c>
      <c r="D768" s="10" t="s">
        <v>270</v>
      </c>
      <c r="E768" s="10" t="s">
        <v>161</v>
      </c>
      <c r="F768" s="10" t="n">
        <v>71111</v>
      </c>
      <c r="G768" s="10" t="s">
        <v>54</v>
      </c>
      <c r="H768" s="10" t="s">
        <v>62</v>
      </c>
      <c r="I768" s="10" t="s">
        <v>73</v>
      </c>
      <c r="J768" s="13" t="n">
        <v>5.64</v>
      </c>
      <c r="K768" s="10" t="n">
        <v>3</v>
      </c>
      <c r="L768" s="14" t="n">
        <v>0</v>
      </c>
      <c r="M768" s="15" t="n">
        <v>2.7072</v>
      </c>
      <c r="N768" s="10" t="str">
        <f aca="false">IF(M768&lt;0,"Loss",IF(M768&lt;50,"Low Profit",IF(M768&lt;200,"Medium Profit","High Profit")))</f>
        <v>Low Profit</v>
      </c>
      <c r="O768" s="10" t="str">
        <f aca="false">IF(J768&gt;=500,"High Value","Standard")</f>
        <v>Standard</v>
      </c>
      <c r="P768" s="10" t="str">
        <f aca="false">H768&amp;" &gt; "&amp;I768&amp;" ("&amp;K768&amp;" units)"</f>
        <v>Office Supplies &gt; Binders (3 units)</v>
      </c>
      <c r="Q768" s="10" t="str">
        <f aca="false">VLOOKUP(G768,Region_Manager_Table,2,FALSE())</f>
        <v>Karthik Iyer</v>
      </c>
      <c r="R768" s="10" t="n">
        <f aca="false">INDEX(SLA_Days_Col,MATCH(A768,ShipMode_Col,0))</f>
        <v>4</v>
      </c>
    </row>
    <row r="769" customFormat="false" ht="15" hidden="false" customHeight="false" outlineLevel="0" collapsed="false">
      <c r="A769" s="16" t="s">
        <v>49</v>
      </c>
      <c r="B769" s="16" t="s">
        <v>58</v>
      </c>
      <c r="C769" s="16" t="s">
        <v>51</v>
      </c>
      <c r="D769" s="16" t="s">
        <v>270</v>
      </c>
      <c r="E769" s="16" t="s">
        <v>161</v>
      </c>
      <c r="F769" s="16" t="n">
        <v>71111</v>
      </c>
      <c r="G769" s="16" t="s">
        <v>54</v>
      </c>
      <c r="H769" s="16" t="s">
        <v>62</v>
      </c>
      <c r="I769" s="16" t="s">
        <v>68</v>
      </c>
      <c r="J769" s="17" t="n">
        <v>572.58</v>
      </c>
      <c r="K769" s="16" t="n">
        <v>6</v>
      </c>
      <c r="L769" s="18" t="n">
        <v>0</v>
      </c>
      <c r="M769" s="19" t="n">
        <v>34.3548</v>
      </c>
      <c r="N769" s="16" t="str">
        <f aca="false">IF(M769&lt;0,"Loss",IF(M769&lt;50,"Low Profit",IF(M769&lt;200,"Medium Profit","High Profit")))</f>
        <v>Low Profit</v>
      </c>
      <c r="O769" s="16" t="str">
        <f aca="false">IF(J769&gt;=500,"High Value","Standard")</f>
        <v>High Value</v>
      </c>
      <c r="P769" s="16" t="str">
        <f aca="false">H769&amp;" &gt; "&amp;I769&amp;" ("&amp;K769&amp;" units)"</f>
        <v>Office Supplies &gt; Storage (6 units)</v>
      </c>
      <c r="Q769" s="16" t="str">
        <f aca="false">VLOOKUP(G769,Region_Manager_Table,2,FALSE())</f>
        <v>Karthik Iyer</v>
      </c>
      <c r="R769" s="16" t="n">
        <f aca="false">INDEX(SLA_Days_Col,MATCH(A769,ShipMode_Col,0))</f>
        <v>4</v>
      </c>
    </row>
    <row r="770" customFormat="false" ht="15" hidden="false" customHeight="false" outlineLevel="0" collapsed="false">
      <c r="A770" s="10" t="s">
        <v>64</v>
      </c>
      <c r="B770" s="10" t="s">
        <v>58</v>
      </c>
      <c r="C770" s="10" t="s">
        <v>51</v>
      </c>
      <c r="D770" s="10" t="s">
        <v>194</v>
      </c>
      <c r="E770" s="10" t="s">
        <v>66</v>
      </c>
      <c r="F770" s="10" t="n">
        <v>33710</v>
      </c>
      <c r="G770" s="10" t="s">
        <v>54</v>
      </c>
      <c r="H770" s="10" t="s">
        <v>55</v>
      </c>
      <c r="I770" s="10" t="s">
        <v>69</v>
      </c>
      <c r="J770" s="13" t="n">
        <v>310.88</v>
      </c>
      <c r="K770" s="10" t="n">
        <v>2</v>
      </c>
      <c r="L770" s="14" t="n">
        <v>0.2</v>
      </c>
      <c r="M770" s="15" t="n">
        <v>23.316</v>
      </c>
      <c r="N770" s="10" t="str">
        <f aca="false">IF(M770&lt;0,"Loss",IF(M770&lt;50,"Low Profit",IF(M770&lt;200,"Medium Profit","High Profit")))</f>
        <v>Low Profit</v>
      </c>
      <c r="O770" s="10" t="str">
        <f aca="false">IF(J770&gt;=500,"High Value","Standard")</f>
        <v>Standard</v>
      </c>
      <c r="P770" s="10" t="str">
        <f aca="false">H770&amp;" &gt; "&amp;I770&amp;" ("&amp;K770&amp;" units)"</f>
        <v>Furniture &gt; Furnishings (2 units)</v>
      </c>
      <c r="Q770" s="10" t="str">
        <f aca="false">VLOOKUP(G770,Region_Manager_Table,2,FALSE())</f>
        <v>Karthik Iyer</v>
      </c>
      <c r="R770" s="10" t="n">
        <f aca="false">INDEX(SLA_Days_Col,MATCH(A770,ShipMode_Col,0))</f>
        <v>6</v>
      </c>
    </row>
    <row r="771" customFormat="false" ht="15" hidden="false" customHeight="false" outlineLevel="0" collapsed="false">
      <c r="A771" s="16" t="s">
        <v>64</v>
      </c>
      <c r="B771" s="16" t="s">
        <v>50</v>
      </c>
      <c r="C771" s="16" t="s">
        <v>51</v>
      </c>
      <c r="D771" s="16" t="s">
        <v>191</v>
      </c>
      <c r="E771" s="16" t="s">
        <v>119</v>
      </c>
      <c r="F771" s="16" t="n">
        <v>22204</v>
      </c>
      <c r="G771" s="16" t="s">
        <v>54</v>
      </c>
      <c r="H771" s="16" t="s">
        <v>55</v>
      </c>
      <c r="I771" s="16" t="s">
        <v>57</v>
      </c>
      <c r="J771" s="17" t="n">
        <v>641.96</v>
      </c>
      <c r="K771" s="16" t="n">
        <v>2</v>
      </c>
      <c r="L771" s="18" t="n">
        <v>0</v>
      </c>
      <c r="M771" s="19" t="n">
        <v>179.7488</v>
      </c>
      <c r="N771" s="16" t="str">
        <f aca="false">IF(M771&lt;0,"Loss",IF(M771&lt;50,"Low Profit",IF(M771&lt;200,"Medium Profit","High Profit")))</f>
        <v>Medium Profit</v>
      </c>
      <c r="O771" s="16" t="str">
        <f aca="false">IF(J771&gt;=500,"High Value","Standard")</f>
        <v>High Value</v>
      </c>
      <c r="P771" s="16" t="str">
        <f aca="false">H771&amp;" &gt; "&amp;I771&amp;" ("&amp;K771&amp;" units)"</f>
        <v>Furniture &gt; Chairs (2 units)</v>
      </c>
      <c r="Q771" s="16" t="str">
        <f aca="false">VLOOKUP(G771,Region_Manager_Table,2,FALSE())</f>
        <v>Karthik Iyer</v>
      </c>
      <c r="R771" s="16" t="n">
        <f aca="false">INDEX(SLA_Days_Col,MATCH(A771,ShipMode_Col,0))</f>
        <v>6</v>
      </c>
    </row>
    <row r="772" customFormat="false" ht="15" hidden="false" customHeight="false" outlineLevel="0" collapsed="false">
      <c r="A772" s="10" t="s">
        <v>64</v>
      </c>
      <c r="B772" s="10" t="s">
        <v>58</v>
      </c>
      <c r="C772" s="10" t="s">
        <v>51</v>
      </c>
      <c r="D772" s="10" t="s">
        <v>210</v>
      </c>
      <c r="E772" s="10" t="s">
        <v>138</v>
      </c>
      <c r="F772" s="10" t="n">
        <v>50315</v>
      </c>
      <c r="G772" s="10" t="s">
        <v>83</v>
      </c>
      <c r="H772" s="10" t="s">
        <v>62</v>
      </c>
      <c r="I772" s="10" t="s">
        <v>73</v>
      </c>
      <c r="J772" s="13" t="n">
        <v>18.28</v>
      </c>
      <c r="K772" s="10" t="n">
        <v>2</v>
      </c>
      <c r="L772" s="14" t="n">
        <v>0</v>
      </c>
      <c r="M772" s="15" t="n">
        <v>9.14</v>
      </c>
      <c r="N772" s="10" t="str">
        <f aca="false">IF(M772&lt;0,"Loss",IF(M772&lt;50,"Low Profit",IF(M772&lt;200,"Medium Profit","High Profit")))</f>
        <v>Low Profit</v>
      </c>
      <c r="O772" s="10" t="str">
        <f aca="false">IF(J772&gt;=500,"High Value","Standard")</f>
        <v>Standard</v>
      </c>
      <c r="P772" s="10" t="str">
        <f aca="false">H772&amp;" &gt; "&amp;I772&amp;" ("&amp;K772&amp;" units)"</f>
        <v>Office Supplies &gt; Binders (2 units)</v>
      </c>
      <c r="Q772" s="10" t="str">
        <f aca="false">VLOOKUP(G772,Region_Manager_Table,2,FALSE())</f>
        <v>Aditya Rao</v>
      </c>
      <c r="R772" s="10" t="n">
        <f aca="false">INDEX(SLA_Days_Col,MATCH(A772,ShipMode_Col,0))</f>
        <v>6</v>
      </c>
    </row>
    <row r="773" customFormat="false" ht="15" hidden="false" customHeight="false" outlineLevel="0" collapsed="false">
      <c r="A773" s="16" t="s">
        <v>64</v>
      </c>
      <c r="B773" s="16" t="s">
        <v>58</v>
      </c>
      <c r="C773" s="16" t="s">
        <v>51</v>
      </c>
      <c r="D773" s="16" t="s">
        <v>210</v>
      </c>
      <c r="E773" s="16" t="s">
        <v>138</v>
      </c>
      <c r="F773" s="16" t="n">
        <v>50315</v>
      </c>
      <c r="G773" s="16" t="s">
        <v>83</v>
      </c>
      <c r="H773" s="16" t="s">
        <v>71</v>
      </c>
      <c r="I773" s="16" t="s">
        <v>72</v>
      </c>
      <c r="J773" s="17" t="n">
        <v>207</v>
      </c>
      <c r="K773" s="16" t="n">
        <v>3</v>
      </c>
      <c r="L773" s="18" t="n">
        <v>0</v>
      </c>
      <c r="M773" s="19" t="n">
        <v>51.75</v>
      </c>
      <c r="N773" s="16" t="str">
        <f aca="false">IF(M773&lt;0,"Loss",IF(M773&lt;50,"Low Profit",IF(M773&lt;200,"Medium Profit","High Profit")))</f>
        <v>Medium Profit</v>
      </c>
      <c r="O773" s="16" t="str">
        <f aca="false">IF(J773&gt;=500,"High Value","Standard")</f>
        <v>Standard</v>
      </c>
      <c r="P773" s="16" t="str">
        <f aca="false">H773&amp;" &gt; "&amp;I773&amp;" ("&amp;K773&amp;" units)"</f>
        <v>Technology &gt; Phones (3 units)</v>
      </c>
      <c r="Q773" s="16" t="str">
        <f aca="false">VLOOKUP(G773,Region_Manager_Table,2,FALSE())</f>
        <v>Aditya Rao</v>
      </c>
      <c r="R773" s="16" t="n">
        <f aca="false">INDEX(SLA_Days_Col,MATCH(A773,ShipMode_Col,0))</f>
        <v>6</v>
      </c>
    </row>
    <row r="774" customFormat="false" ht="15" hidden="false" customHeight="false" outlineLevel="0" collapsed="false">
      <c r="A774" s="10" t="s">
        <v>64</v>
      </c>
      <c r="B774" s="10" t="s">
        <v>58</v>
      </c>
      <c r="C774" s="10" t="s">
        <v>51</v>
      </c>
      <c r="D774" s="10" t="s">
        <v>210</v>
      </c>
      <c r="E774" s="10" t="s">
        <v>138</v>
      </c>
      <c r="F774" s="10" t="n">
        <v>50315</v>
      </c>
      <c r="G774" s="10" t="s">
        <v>83</v>
      </c>
      <c r="H774" s="10" t="s">
        <v>62</v>
      </c>
      <c r="I774" s="10" t="s">
        <v>73</v>
      </c>
      <c r="J774" s="13" t="n">
        <v>32.35</v>
      </c>
      <c r="K774" s="10" t="n">
        <v>5</v>
      </c>
      <c r="L774" s="14" t="n">
        <v>0</v>
      </c>
      <c r="M774" s="15" t="n">
        <v>16.175</v>
      </c>
      <c r="N774" s="10" t="str">
        <f aca="false">IF(M774&lt;0,"Loss",IF(M774&lt;50,"Low Profit",IF(M774&lt;200,"Medium Profit","High Profit")))</f>
        <v>Low Profit</v>
      </c>
      <c r="O774" s="10" t="str">
        <f aca="false">IF(J774&gt;=500,"High Value","Standard")</f>
        <v>Standard</v>
      </c>
      <c r="P774" s="10" t="str">
        <f aca="false">H774&amp;" &gt; "&amp;I774&amp;" ("&amp;K774&amp;" units)"</f>
        <v>Office Supplies &gt; Binders (5 units)</v>
      </c>
      <c r="Q774" s="10" t="str">
        <f aca="false">VLOOKUP(G774,Region_Manager_Table,2,FALSE())</f>
        <v>Aditya Rao</v>
      </c>
      <c r="R774" s="10" t="n">
        <f aca="false">INDEX(SLA_Days_Col,MATCH(A774,ShipMode_Col,0))</f>
        <v>6</v>
      </c>
    </row>
    <row r="775" customFormat="false" ht="15" hidden="false" customHeight="false" outlineLevel="0" collapsed="false">
      <c r="A775" s="16" t="s">
        <v>64</v>
      </c>
      <c r="B775" s="16" t="s">
        <v>58</v>
      </c>
      <c r="C775" s="16" t="s">
        <v>51</v>
      </c>
      <c r="D775" s="16" t="s">
        <v>210</v>
      </c>
      <c r="E775" s="16" t="s">
        <v>138</v>
      </c>
      <c r="F775" s="16" t="n">
        <v>50315</v>
      </c>
      <c r="G775" s="16" t="s">
        <v>83</v>
      </c>
      <c r="H775" s="16" t="s">
        <v>62</v>
      </c>
      <c r="I775" s="16" t="s">
        <v>73</v>
      </c>
      <c r="J775" s="17" t="n">
        <v>7.71</v>
      </c>
      <c r="K775" s="16" t="n">
        <v>1</v>
      </c>
      <c r="L775" s="18" t="n">
        <v>0</v>
      </c>
      <c r="M775" s="19" t="n">
        <v>3.4695</v>
      </c>
      <c r="N775" s="16" t="str">
        <f aca="false">IF(M775&lt;0,"Loss",IF(M775&lt;50,"Low Profit",IF(M775&lt;200,"Medium Profit","High Profit")))</f>
        <v>Low Profit</v>
      </c>
      <c r="O775" s="16" t="str">
        <f aca="false">IF(J775&gt;=500,"High Value","Standard")</f>
        <v>Standard</v>
      </c>
      <c r="P775" s="16" t="str">
        <f aca="false">H775&amp;" &gt; "&amp;I775&amp;" ("&amp;K775&amp;" units)"</f>
        <v>Office Supplies &gt; Binders (1 units)</v>
      </c>
      <c r="Q775" s="16" t="str">
        <f aca="false">VLOOKUP(G775,Region_Manager_Table,2,FALSE())</f>
        <v>Aditya Rao</v>
      </c>
      <c r="R775" s="16" t="n">
        <f aca="false">INDEX(SLA_Days_Col,MATCH(A775,ShipMode_Col,0))</f>
        <v>6</v>
      </c>
    </row>
    <row r="776" customFormat="false" ht="15" hidden="false" customHeight="false" outlineLevel="0" collapsed="false">
      <c r="A776" s="10" t="s">
        <v>64</v>
      </c>
      <c r="B776" s="10" t="s">
        <v>58</v>
      </c>
      <c r="C776" s="10" t="s">
        <v>51</v>
      </c>
      <c r="D776" s="10" t="s">
        <v>210</v>
      </c>
      <c r="E776" s="10" t="s">
        <v>138</v>
      </c>
      <c r="F776" s="10" t="n">
        <v>50315</v>
      </c>
      <c r="G776" s="10" t="s">
        <v>83</v>
      </c>
      <c r="H776" s="10" t="s">
        <v>62</v>
      </c>
      <c r="I776" s="10" t="s">
        <v>70</v>
      </c>
      <c r="J776" s="13" t="n">
        <v>40.3</v>
      </c>
      <c r="K776" s="10" t="n">
        <v>2</v>
      </c>
      <c r="L776" s="14" t="n">
        <v>0</v>
      </c>
      <c r="M776" s="15" t="n">
        <v>10.881</v>
      </c>
      <c r="N776" s="10" t="str">
        <f aca="false">IF(M776&lt;0,"Loss",IF(M776&lt;50,"Low Profit",IF(M776&lt;200,"Medium Profit","High Profit")))</f>
        <v>Low Profit</v>
      </c>
      <c r="O776" s="10" t="str">
        <f aca="false">IF(J776&gt;=500,"High Value","Standard")</f>
        <v>Standard</v>
      </c>
      <c r="P776" s="10" t="str">
        <f aca="false">H776&amp;" &gt; "&amp;I776&amp;" ("&amp;K776&amp;" units)"</f>
        <v>Office Supplies &gt; Art (2 units)</v>
      </c>
      <c r="Q776" s="10" t="str">
        <f aca="false">VLOOKUP(G776,Region_Manager_Table,2,FALSE())</f>
        <v>Aditya Rao</v>
      </c>
      <c r="R776" s="10" t="n">
        <f aca="false">INDEX(SLA_Days_Col,MATCH(A776,ShipMode_Col,0))</f>
        <v>6</v>
      </c>
    </row>
    <row r="777" customFormat="false" ht="15" hidden="false" customHeight="false" outlineLevel="0" collapsed="false">
      <c r="A777" s="16" t="s">
        <v>64</v>
      </c>
      <c r="B777" s="16" t="s">
        <v>58</v>
      </c>
      <c r="C777" s="16" t="s">
        <v>51</v>
      </c>
      <c r="D777" s="16" t="s">
        <v>210</v>
      </c>
      <c r="E777" s="16" t="s">
        <v>138</v>
      </c>
      <c r="F777" s="16" t="n">
        <v>50315</v>
      </c>
      <c r="G777" s="16" t="s">
        <v>83</v>
      </c>
      <c r="H777" s="16" t="s">
        <v>55</v>
      </c>
      <c r="I777" s="16" t="s">
        <v>69</v>
      </c>
      <c r="J777" s="17" t="n">
        <v>34.58</v>
      </c>
      <c r="K777" s="16" t="n">
        <v>7</v>
      </c>
      <c r="L777" s="18" t="n">
        <v>0</v>
      </c>
      <c r="M777" s="19" t="n">
        <v>14.5236</v>
      </c>
      <c r="N777" s="16" t="str">
        <f aca="false">IF(M777&lt;0,"Loss",IF(M777&lt;50,"Low Profit",IF(M777&lt;200,"Medium Profit","High Profit")))</f>
        <v>Low Profit</v>
      </c>
      <c r="O777" s="16" t="str">
        <f aca="false">IF(J777&gt;=500,"High Value","Standard")</f>
        <v>Standard</v>
      </c>
      <c r="P777" s="16" t="str">
        <f aca="false">H777&amp;" &gt; "&amp;I777&amp;" ("&amp;K777&amp;" units)"</f>
        <v>Furniture &gt; Furnishings (7 units)</v>
      </c>
      <c r="Q777" s="16" t="str">
        <f aca="false">VLOOKUP(G777,Region_Manager_Table,2,FALSE())</f>
        <v>Aditya Rao</v>
      </c>
      <c r="R777" s="16" t="n">
        <f aca="false">INDEX(SLA_Days_Col,MATCH(A777,ShipMode_Col,0))</f>
        <v>6</v>
      </c>
    </row>
    <row r="778" customFormat="false" ht="15" hidden="false" customHeight="false" outlineLevel="0" collapsed="false">
      <c r="A778" s="10" t="s">
        <v>64</v>
      </c>
      <c r="B778" s="10" t="s">
        <v>50</v>
      </c>
      <c r="C778" s="10" t="s">
        <v>51</v>
      </c>
      <c r="D778" s="10" t="s">
        <v>184</v>
      </c>
      <c r="E778" s="10" t="s">
        <v>140</v>
      </c>
      <c r="F778" s="10" t="n">
        <v>45231</v>
      </c>
      <c r="G778" s="10" t="s">
        <v>93</v>
      </c>
      <c r="H778" s="10" t="s">
        <v>62</v>
      </c>
      <c r="I778" s="10" t="s">
        <v>70</v>
      </c>
      <c r="J778" s="13" t="n">
        <v>32.76</v>
      </c>
      <c r="K778" s="10" t="n">
        <v>7</v>
      </c>
      <c r="L778" s="14" t="n">
        <v>0.2</v>
      </c>
      <c r="M778" s="15" t="n">
        <v>3.6855</v>
      </c>
      <c r="N778" s="10" t="str">
        <f aca="false">IF(M778&lt;0,"Loss",IF(M778&lt;50,"Low Profit",IF(M778&lt;200,"Medium Profit","High Profit")))</f>
        <v>Low Profit</v>
      </c>
      <c r="O778" s="10" t="str">
        <f aca="false">IF(J778&gt;=500,"High Value","Standard")</f>
        <v>Standard</v>
      </c>
      <c r="P778" s="10" t="str">
        <f aca="false">H778&amp;" &gt; "&amp;I778&amp;" ("&amp;K778&amp;" units)"</f>
        <v>Office Supplies &gt; Art (7 units)</v>
      </c>
      <c r="Q778" s="10" t="str">
        <f aca="false">VLOOKUP(G778,Region_Manager_Table,2,FALSE())</f>
        <v>Priya Menon</v>
      </c>
      <c r="R778" s="10" t="n">
        <f aca="false">INDEX(SLA_Days_Col,MATCH(A778,ShipMode_Col,0))</f>
        <v>6</v>
      </c>
    </row>
    <row r="779" customFormat="false" ht="15" hidden="false" customHeight="false" outlineLevel="0" collapsed="false">
      <c r="A779" s="16" t="s">
        <v>98</v>
      </c>
      <c r="B779" s="16" t="s">
        <v>80</v>
      </c>
      <c r="C779" s="16" t="s">
        <v>51</v>
      </c>
      <c r="D779" s="16" t="s">
        <v>88</v>
      </c>
      <c r="E779" s="16" t="s">
        <v>60</v>
      </c>
      <c r="F779" s="16" t="n">
        <v>94110</v>
      </c>
      <c r="G779" s="16" t="s">
        <v>61</v>
      </c>
      <c r="H779" s="16" t="s">
        <v>55</v>
      </c>
      <c r="I779" s="16" t="s">
        <v>57</v>
      </c>
      <c r="J779" s="17" t="n">
        <v>544.008</v>
      </c>
      <c r="K779" s="16" t="n">
        <v>3</v>
      </c>
      <c r="L779" s="18" t="n">
        <v>0.2</v>
      </c>
      <c r="M779" s="19" t="n">
        <v>40.8006</v>
      </c>
      <c r="N779" s="16" t="str">
        <f aca="false">IF(M779&lt;0,"Loss",IF(M779&lt;50,"Low Profit",IF(M779&lt;200,"Medium Profit","High Profit")))</f>
        <v>Low Profit</v>
      </c>
      <c r="O779" s="16" t="str">
        <f aca="false">IF(J779&gt;=500,"High Value","Standard")</f>
        <v>High Value</v>
      </c>
      <c r="P779" s="16" t="str">
        <f aca="false">H779&amp;" &gt; "&amp;I779&amp;" ("&amp;K779&amp;" units)"</f>
        <v>Furniture &gt; Chairs (3 units)</v>
      </c>
      <c r="Q779" s="16" t="str">
        <f aca="false">VLOOKUP(G779,Region_Manager_Table,2,FALSE())</f>
        <v>Sana Sheikh</v>
      </c>
      <c r="R779" s="16" t="n">
        <f aca="false">INDEX(SLA_Days_Col,MATCH(A779,ShipMode_Col,0))</f>
        <v>2</v>
      </c>
    </row>
    <row r="780" customFormat="false" ht="15" hidden="false" customHeight="false" outlineLevel="0" collapsed="false">
      <c r="A780" s="10" t="s">
        <v>98</v>
      </c>
      <c r="B780" s="10" t="s">
        <v>80</v>
      </c>
      <c r="C780" s="10" t="s">
        <v>51</v>
      </c>
      <c r="D780" s="10" t="s">
        <v>88</v>
      </c>
      <c r="E780" s="10" t="s">
        <v>60</v>
      </c>
      <c r="F780" s="10" t="n">
        <v>94110</v>
      </c>
      <c r="G780" s="10" t="s">
        <v>61</v>
      </c>
      <c r="H780" s="10" t="s">
        <v>62</v>
      </c>
      <c r="I780" s="10" t="s">
        <v>77</v>
      </c>
      <c r="J780" s="13" t="n">
        <v>59.94</v>
      </c>
      <c r="K780" s="10" t="n">
        <v>3</v>
      </c>
      <c r="L780" s="14" t="n">
        <v>0</v>
      </c>
      <c r="M780" s="15" t="n">
        <v>28.1718</v>
      </c>
      <c r="N780" s="10" t="str">
        <f aca="false">IF(M780&lt;0,"Loss",IF(M780&lt;50,"Low Profit",IF(M780&lt;200,"Medium Profit","High Profit")))</f>
        <v>Low Profit</v>
      </c>
      <c r="O780" s="10" t="str">
        <f aca="false">IF(J780&gt;=500,"High Value","Standard")</f>
        <v>Standard</v>
      </c>
      <c r="P780" s="10" t="str">
        <f aca="false">H780&amp;" &gt; "&amp;I780&amp;" ("&amp;K780&amp;" units)"</f>
        <v>Office Supplies &gt; Paper (3 units)</v>
      </c>
      <c r="Q780" s="10" t="str">
        <f aca="false">VLOOKUP(G780,Region_Manager_Table,2,FALSE())</f>
        <v>Sana Sheikh</v>
      </c>
      <c r="R780" s="10" t="n">
        <f aca="false">INDEX(SLA_Days_Col,MATCH(A780,ShipMode_Col,0))</f>
        <v>2</v>
      </c>
    </row>
    <row r="781" customFormat="false" ht="15" hidden="false" customHeight="false" outlineLevel="0" collapsed="false">
      <c r="A781" s="16" t="s">
        <v>98</v>
      </c>
      <c r="B781" s="16" t="s">
        <v>80</v>
      </c>
      <c r="C781" s="16" t="s">
        <v>51</v>
      </c>
      <c r="D781" s="16" t="s">
        <v>88</v>
      </c>
      <c r="E781" s="16" t="s">
        <v>60</v>
      </c>
      <c r="F781" s="16" t="n">
        <v>94110</v>
      </c>
      <c r="G781" s="16" t="s">
        <v>61</v>
      </c>
      <c r="H781" s="16" t="s">
        <v>62</v>
      </c>
      <c r="I781" s="16" t="s">
        <v>77</v>
      </c>
      <c r="J781" s="17" t="n">
        <v>23.92</v>
      </c>
      <c r="K781" s="16" t="n">
        <v>4</v>
      </c>
      <c r="L781" s="18" t="n">
        <v>0</v>
      </c>
      <c r="M781" s="19" t="n">
        <v>11.7208</v>
      </c>
      <c r="N781" s="16" t="str">
        <f aca="false">IF(M781&lt;0,"Loss",IF(M781&lt;50,"Low Profit",IF(M781&lt;200,"Medium Profit","High Profit")))</f>
        <v>Low Profit</v>
      </c>
      <c r="O781" s="16" t="str">
        <f aca="false">IF(J781&gt;=500,"High Value","Standard")</f>
        <v>Standard</v>
      </c>
      <c r="P781" s="16" t="str">
        <f aca="false">H781&amp;" &gt; "&amp;I781&amp;" ("&amp;K781&amp;" units)"</f>
        <v>Office Supplies &gt; Paper (4 units)</v>
      </c>
      <c r="Q781" s="16" t="str">
        <f aca="false">VLOOKUP(G781,Region_Manager_Table,2,FALSE())</f>
        <v>Sana Sheikh</v>
      </c>
      <c r="R781" s="16" t="n">
        <f aca="false">INDEX(SLA_Days_Col,MATCH(A781,ShipMode_Col,0))</f>
        <v>2</v>
      </c>
    </row>
    <row r="782" customFormat="false" ht="15" hidden="false" customHeight="false" outlineLevel="0" collapsed="false">
      <c r="A782" s="10" t="s">
        <v>98</v>
      </c>
      <c r="B782" s="10" t="s">
        <v>80</v>
      </c>
      <c r="C782" s="10" t="s">
        <v>51</v>
      </c>
      <c r="D782" s="10" t="s">
        <v>88</v>
      </c>
      <c r="E782" s="10" t="s">
        <v>60</v>
      </c>
      <c r="F782" s="10" t="n">
        <v>94110</v>
      </c>
      <c r="G782" s="10" t="s">
        <v>61</v>
      </c>
      <c r="H782" s="10" t="s">
        <v>62</v>
      </c>
      <c r="I782" s="10" t="s">
        <v>77</v>
      </c>
      <c r="J782" s="13" t="n">
        <v>4.28</v>
      </c>
      <c r="K782" s="10" t="n">
        <v>1</v>
      </c>
      <c r="L782" s="14" t="n">
        <v>0</v>
      </c>
      <c r="M782" s="15" t="n">
        <v>1.926</v>
      </c>
      <c r="N782" s="10" t="str">
        <f aca="false">IF(M782&lt;0,"Loss",IF(M782&lt;50,"Low Profit",IF(M782&lt;200,"Medium Profit","High Profit")))</f>
        <v>Low Profit</v>
      </c>
      <c r="O782" s="10" t="str">
        <f aca="false">IF(J782&gt;=500,"High Value","Standard")</f>
        <v>Standard</v>
      </c>
      <c r="P782" s="10" t="str">
        <f aca="false">H782&amp;" &gt; "&amp;I782&amp;" ("&amp;K782&amp;" units)"</f>
        <v>Office Supplies &gt; Paper (1 units)</v>
      </c>
      <c r="Q782" s="10" t="str">
        <f aca="false">VLOOKUP(G782,Region_Manager_Table,2,FALSE())</f>
        <v>Sana Sheikh</v>
      </c>
      <c r="R782" s="10" t="n">
        <f aca="false">INDEX(SLA_Days_Col,MATCH(A782,ShipMode_Col,0))</f>
        <v>2</v>
      </c>
    </row>
    <row r="783" customFormat="false" ht="15" hidden="false" customHeight="false" outlineLevel="0" collapsed="false">
      <c r="A783" s="16" t="s">
        <v>49</v>
      </c>
      <c r="B783" s="16" t="s">
        <v>50</v>
      </c>
      <c r="C783" s="16" t="s">
        <v>51</v>
      </c>
      <c r="D783" s="16" t="s">
        <v>139</v>
      </c>
      <c r="E783" s="16" t="s">
        <v>140</v>
      </c>
      <c r="F783" s="16" t="n">
        <v>43229</v>
      </c>
      <c r="G783" s="16" t="s">
        <v>93</v>
      </c>
      <c r="H783" s="16" t="s">
        <v>62</v>
      </c>
      <c r="I783" s="16" t="s">
        <v>73</v>
      </c>
      <c r="J783" s="17" t="n">
        <v>32.07</v>
      </c>
      <c r="K783" s="16" t="n">
        <v>5</v>
      </c>
      <c r="L783" s="18" t="n">
        <v>0.7</v>
      </c>
      <c r="M783" s="19" t="n">
        <v>-22.449</v>
      </c>
      <c r="N783" s="16" t="str">
        <f aca="false">IF(M783&lt;0,"Loss",IF(M783&lt;50,"Low Profit",IF(M783&lt;200,"Medium Profit","High Profit")))</f>
        <v>Loss</v>
      </c>
      <c r="O783" s="16" t="str">
        <f aca="false">IF(J783&gt;=500,"High Value","Standard")</f>
        <v>Standard</v>
      </c>
      <c r="P783" s="16" t="str">
        <f aca="false">H783&amp;" &gt; "&amp;I783&amp;" ("&amp;K783&amp;" units)"</f>
        <v>Office Supplies &gt; Binders (5 units)</v>
      </c>
      <c r="Q783" s="16" t="str">
        <f aca="false">VLOOKUP(G783,Region_Manager_Table,2,FALSE())</f>
        <v>Priya Menon</v>
      </c>
      <c r="R783" s="16" t="n">
        <f aca="false">INDEX(SLA_Days_Col,MATCH(A783,ShipMode_Col,0))</f>
        <v>4</v>
      </c>
    </row>
    <row r="784" customFormat="false" ht="15" hidden="false" customHeight="false" outlineLevel="0" collapsed="false">
      <c r="A784" s="10" t="s">
        <v>49</v>
      </c>
      <c r="B784" s="10" t="s">
        <v>50</v>
      </c>
      <c r="C784" s="10" t="s">
        <v>51</v>
      </c>
      <c r="D784" s="10" t="s">
        <v>139</v>
      </c>
      <c r="E784" s="10" t="s">
        <v>140</v>
      </c>
      <c r="F784" s="10" t="n">
        <v>43229</v>
      </c>
      <c r="G784" s="10" t="s">
        <v>93</v>
      </c>
      <c r="H784" s="10" t="s">
        <v>71</v>
      </c>
      <c r="I784" s="10" t="s">
        <v>95</v>
      </c>
      <c r="J784" s="13" t="n">
        <v>24</v>
      </c>
      <c r="K784" s="10" t="n">
        <v>2</v>
      </c>
      <c r="L784" s="14" t="n">
        <v>0.2</v>
      </c>
      <c r="M784" s="15" t="n">
        <v>-2.7</v>
      </c>
      <c r="N784" s="10" t="str">
        <f aca="false">IF(M784&lt;0,"Loss",IF(M784&lt;50,"Low Profit",IF(M784&lt;200,"Medium Profit","High Profit")))</f>
        <v>Loss</v>
      </c>
      <c r="O784" s="10" t="str">
        <f aca="false">IF(J784&gt;=500,"High Value","Standard")</f>
        <v>Standard</v>
      </c>
      <c r="P784" s="10" t="str">
        <f aca="false">H784&amp;" &gt; "&amp;I784&amp;" ("&amp;K784&amp;" units)"</f>
        <v>Technology &gt; Accessories (2 units)</v>
      </c>
      <c r="Q784" s="10" t="str">
        <f aca="false">VLOOKUP(G784,Region_Manager_Table,2,FALSE())</f>
        <v>Priya Menon</v>
      </c>
      <c r="R784" s="10" t="n">
        <f aca="false">INDEX(SLA_Days_Col,MATCH(A784,ShipMode_Col,0))</f>
        <v>4</v>
      </c>
    </row>
    <row r="785" customFormat="false" ht="15" hidden="false" customHeight="false" outlineLevel="0" collapsed="false">
      <c r="A785" s="16" t="s">
        <v>49</v>
      </c>
      <c r="B785" s="16" t="s">
        <v>50</v>
      </c>
      <c r="C785" s="16" t="s">
        <v>51</v>
      </c>
      <c r="D785" s="16" t="s">
        <v>139</v>
      </c>
      <c r="E785" s="16" t="s">
        <v>140</v>
      </c>
      <c r="F785" s="16" t="n">
        <v>43229</v>
      </c>
      <c r="G785" s="16" t="s">
        <v>93</v>
      </c>
      <c r="H785" s="16" t="s">
        <v>55</v>
      </c>
      <c r="I785" s="16" t="s">
        <v>56</v>
      </c>
      <c r="J785" s="17" t="n">
        <v>35.49</v>
      </c>
      <c r="K785" s="16" t="n">
        <v>1</v>
      </c>
      <c r="L785" s="18" t="n">
        <v>0.5</v>
      </c>
      <c r="M785" s="19" t="n">
        <v>-15.6156</v>
      </c>
      <c r="N785" s="16" t="str">
        <f aca="false">IF(M785&lt;0,"Loss",IF(M785&lt;50,"Low Profit",IF(M785&lt;200,"Medium Profit","High Profit")))</f>
        <v>Loss</v>
      </c>
      <c r="O785" s="16" t="str">
        <f aca="false">IF(J785&gt;=500,"High Value","Standard")</f>
        <v>Standard</v>
      </c>
      <c r="P785" s="16" t="str">
        <f aca="false">H785&amp;" &gt; "&amp;I785&amp;" ("&amp;K785&amp;" units)"</f>
        <v>Furniture &gt; Bookcases (1 units)</v>
      </c>
      <c r="Q785" s="16" t="str">
        <f aca="false">VLOOKUP(G785,Region_Manager_Table,2,FALSE())</f>
        <v>Priya Menon</v>
      </c>
      <c r="R785" s="16" t="n">
        <f aca="false">INDEX(SLA_Days_Col,MATCH(A785,ShipMode_Col,0))</f>
        <v>4</v>
      </c>
    </row>
    <row r="786" customFormat="false" ht="15" hidden="false" customHeight="false" outlineLevel="0" collapsed="false">
      <c r="A786" s="10" t="s">
        <v>49</v>
      </c>
      <c r="B786" s="10" t="s">
        <v>50</v>
      </c>
      <c r="C786" s="10" t="s">
        <v>51</v>
      </c>
      <c r="D786" s="10" t="s">
        <v>139</v>
      </c>
      <c r="E786" s="10" t="s">
        <v>140</v>
      </c>
      <c r="F786" s="10" t="n">
        <v>43229</v>
      </c>
      <c r="G786" s="10" t="s">
        <v>93</v>
      </c>
      <c r="H786" s="10" t="s">
        <v>71</v>
      </c>
      <c r="I786" s="10" t="s">
        <v>95</v>
      </c>
      <c r="J786" s="13" t="n">
        <v>47.984</v>
      </c>
      <c r="K786" s="10" t="n">
        <v>2</v>
      </c>
      <c r="L786" s="14" t="n">
        <v>0.2</v>
      </c>
      <c r="M786" s="15" t="n">
        <v>0.5998</v>
      </c>
      <c r="N786" s="10" t="str">
        <f aca="false">IF(M786&lt;0,"Loss",IF(M786&lt;50,"Low Profit",IF(M786&lt;200,"Medium Profit","High Profit")))</f>
        <v>Low Profit</v>
      </c>
      <c r="O786" s="10" t="str">
        <f aca="false">IF(J786&gt;=500,"High Value","Standard")</f>
        <v>Standard</v>
      </c>
      <c r="P786" s="10" t="str">
        <f aca="false">H786&amp;" &gt; "&amp;I786&amp;" ("&amp;K786&amp;" units)"</f>
        <v>Technology &gt; Accessories (2 units)</v>
      </c>
      <c r="Q786" s="10" t="str">
        <f aca="false">VLOOKUP(G786,Region_Manager_Table,2,FALSE())</f>
        <v>Priya Menon</v>
      </c>
      <c r="R786" s="10" t="n">
        <f aca="false">INDEX(SLA_Days_Col,MATCH(A786,ShipMode_Col,0))</f>
        <v>4</v>
      </c>
    </row>
    <row r="787" customFormat="false" ht="15" hidden="false" customHeight="false" outlineLevel="0" collapsed="false">
      <c r="A787" s="16" t="s">
        <v>64</v>
      </c>
      <c r="B787" s="16" t="s">
        <v>58</v>
      </c>
      <c r="C787" s="16" t="s">
        <v>51</v>
      </c>
      <c r="D787" s="16" t="s">
        <v>126</v>
      </c>
      <c r="E787" s="16" t="s">
        <v>127</v>
      </c>
      <c r="F787" s="16" t="n">
        <v>29203</v>
      </c>
      <c r="G787" s="16" t="s">
        <v>54</v>
      </c>
      <c r="H787" s="16" t="s">
        <v>62</v>
      </c>
      <c r="I787" s="16" t="s">
        <v>96</v>
      </c>
      <c r="J787" s="17" t="n">
        <v>186.69</v>
      </c>
      <c r="K787" s="16" t="n">
        <v>3</v>
      </c>
      <c r="L787" s="18" t="n">
        <v>0</v>
      </c>
      <c r="M787" s="19" t="n">
        <v>87.7443</v>
      </c>
      <c r="N787" s="16" t="str">
        <f aca="false">IF(M787&lt;0,"Loss",IF(M787&lt;50,"Low Profit",IF(M787&lt;200,"Medium Profit","High Profit")))</f>
        <v>Medium Profit</v>
      </c>
      <c r="O787" s="16" t="str">
        <f aca="false">IF(J787&gt;=500,"High Value","Standard")</f>
        <v>Standard</v>
      </c>
      <c r="P787" s="16" t="str">
        <f aca="false">H787&amp;" &gt; "&amp;I787&amp;" ("&amp;K787&amp;" units)"</f>
        <v>Office Supplies &gt; Envelopes (3 units)</v>
      </c>
      <c r="Q787" s="16" t="str">
        <f aca="false">VLOOKUP(G787,Region_Manager_Table,2,FALSE())</f>
        <v>Karthik Iyer</v>
      </c>
      <c r="R787" s="16" t="n">
        <f aca="false">INDEX(SLA_Days_Col,MATCH(A787,ShipMode_Col,0))</f>
        <v>6</v>
      </c>
    </row>
    <row r="788" customFormat="false" ht="15" hidden="false" customHeight="false" outlineLevel="0" collapsed="false">
      <c r="A788" s="10" t="s">
        <v>49</v>
      </c>
      <c r="B788" s="10" t="s">
        <v>50</v>
      </c>
      <c r="C788" s="10" t="s">
        <v>51</v>
      </c>
      <c r="D788" s="10" t="s">
        <v>271</v>
      </c>
      <c r="E788" s="10" t="s">
        <v>60</v>
      </c>
      <c r="F788" s="10" t="n">
        <v>93534</v>
      </c>
      <c r="G788" s="10" t="s">
        <v>61</v>
      </c>
      <c r="H788" s="10" t="s">
        <v>62</v>
      </c>
      <c r="I788" s="10" t="s">
        <v>73</v>
      </c>
      <c r="J788" s="13" t="n">
        <v>17.456</v>
      </c>
      <c r="K788" s="10" t="n">
        <v>2</v>
      </c>
      <c r="L788" s="14" t="n">
        <v>0.2</v>
      </c>
      <c r="M788" s="15" t="n">
        <v>5.8914</v>
      </c>
      <c r="N788" s="10" t="str">
        <f aca="false">IF(M788&lt;0,"Loss",IF(M788&lt;50,"Low Profit",IF(M788&lt;200,"Medium Profit","High Profit")))</f>
        <v>Low Profit</v>
      </c>
      <c r="O788" s="10" t="str">
        <f aca="false">IF(J788&gt;=500,"High Value","Standard")</f>
        <v>Standard</v>
      </c>
      <c r="P788" s="10" t="str">
        <f aca="false">H788&amp;" &gt; "&amp;I788&amp;" ("&amp;K788&amp;" units)"</f>
        <v>Office Supplies &gt; Binders (2 units)</v>
      </c>
      <c r="Q788" s="10" t="str">
        <f aca="false">VLOOKUP(G788,Region_Manager_Table,2,FALSE())</f>
        <v>Sana Sheikh</v>
      </c>
      <c r="R788" s="10" t="n">
        <f aca="false">INDEX(SLA_Days_Col,MATCH(A788,ShipMode_Col,0))</f>
        <v>4</v>
      </c>
    </row>
    <row r="789" customFormat="false" ht="15" hidden="false" customHeight="false" outlineLevel="0" collapsed="false">
      <c r="A789" s="16" t="s">
        <v>64</v>
      </c>
      <c r="B789" s="16" t="s">
        <v>50</v>
      </c>
      <c r="C789" s="16" t="s">
        <v>51</v>
      </c>
      <c r="D789" s="16" t="s">
        <v>271</v>
      </c>
      <c r="E789" s="16" t="s">
        <v>60</v>
      </c>
      <c r="F789" s="16" t="n">
        <v>93534</v>
      </c>
      <c r="G789" s="16" t="s">
        <v>61</v>
      </c>
      <c r="H789" s="16" t="s">
        <v>55</v>
      </c>
      <c r="I789" s="16" t="s">
        <v>57</v>
      </c>
      <c r="J789" s="17" t="n">
        <v>348.928</v>
      </c>
      <c r="K789" s="16" t="n">
        <v>2</v>
      </c>
      <c r="L789" s="18" t="n">
        <v>0.2</v>
      </c>
      <c r="M789" s="19" t="n">
        <v>34.8928</v>
      </c>
      <c r="N789" s="16" t="str">
        <f aca="false">IF(M789&lt;0,"Loss",IF(M789&lt;50,"Low Profit",IF(M789&lt;200,"Medium Profit","High Profit")))</f>
        <v>Low Profit</v>
      </c>
      <c r="O789" s="16" t="str">
        <f aca="false">IF(J789&gt;=500,"High Value","Standard")</f>
        <v>Standard</v>
      </c>
      <c r="P789" s="16" t="str">
        <f aca="false">H789&amp;" &gt; "&amp;I789&amp;" ("&amp;K789&amp;" units)"</f>
        <v>Furniture &gt; Chairs (2 units)</v>
      </c>
      <c r="Q789" s="16" t="str">
        <f aca="false">VLOOKUP(G789,Region_Manager_Table,2,FALSE())</f>
        <v>Sana Sheikh</v>
      </c>
      <c r="R789" s="16" t="n">
        <f aca="false">INDEX(SLA_Days_Col,MATCH(A789,ShipMode_Col,0))</f>
        <v>6</v>
      </c>
    </row>
    <row r="790" customFormat="false" ht="15" hidden="false" customHeight="false" outlineLevel="0" collapsed="false">
      <c r="A790" s="10" t="s">
        <v>64</v>
      </c>
      <c r="B790" s="10" t="s">
        <v>50</v>
      </c>
      <c r="C790" s="10" t="s">
        <v>51</v>
      </c>
      <c r="D790" s="10" t="s">
        <v>218</v>
      </c>
      <c r="E790" s="10" t="s">
        <v>119</v>
      </c>
      <c r="F790" s="10" t="n">
        <v>23223</v>
      </c>
      <c r="G790" s="10" t="s">
        <v>54</v>
      </c>
      <c r="H790" s="10" t="s">
        <v>62</v>
      </c>
      <c r="I790" s="10" t="s">
        <v>73</v>
      </c>
      <c r="J790" s="13" t="n">
        <v>143.96</v>
      </c>
      <c r="K790" s="10" t="n">
        <v>4</v>
      </c>
      <c r="L790" s="14" t="n">
        <v>0</v>
      </c>
      <c r="M790" s="15" t="n">
        <v>69.1008</v>
      </c>
      <c r="N790" s="10" t="str">
        <f aca="false">IF(M790&lt;0,"Loss",IF(M790&lt;50,"Low Profit",IF(M790&lt;200,"Medium Profit","High Profit")))</f>
        <v>Medium Profit</v>
      </c>
      <c r="O790" s="10" t="str">
        <f aca="false">IF(J790&gt;=500,"High Value","Standard")</f>
        <v>Standard</v>
      </c>
      <c r="P790" s="10" t="str">
        <f aca="false">H790&amp;" &gt; "&amp;I790&amp;" ("&amp;K790&amp;" units)"</f>
        <v>Office Supplies &gt; Binders (4 units)</v>
      </c>
      <c r="Q790" s="10" t="str">
        <f aca="false">VLOOKUP(G790,Region_Manager_Table,2,FALSE())</f>
        <v>Karthik Iyer</v>
      </c>
      <c r="R790" s="10" t="n">
        <f aca="false">INDEX(SLA_Days_Col,MATCH(A790,ShipMode_Col,0))</f>
        <v>6</v>
      </c>
    </row>
    <row r="791" customFormat="false" ht="15" hidden="false" customHeight="false" outlineLevel="0" collapsed="false">
      <c r="A791" s="16" t="s">
        <v>64</v>
      </c>
      <c r="B791" s="16" t="s">
        <v>50</v>
      </c>
      <c r="C791" s="16" t="s">
        <v>51</v>
      </c>
      <c r="D791" s="16" t="s">
        <v>218</v>
      </c>
      <c r="E791" s="16" t="s">
        <v>119</v>
      </c>
      <c r="F791" s="16" t="n">
        <v>23223</v>
      </c>
      <c r="G791" s="16" t="s">
        <v>54</v>
      </c>
      <c r="H791" s="16" t="s">
        <v>62</v>
      </c>
      <c r="I791" s="16" t="s">
        <v>68</v>
      </c>
      <c r="J791" s="17" t="n">
        <v>15.42</v>
      </c>
      <c r="K791" s="16" t="n">
        <v>1</v>
      </c>
      <c r="L791" s="18" t="n">
        <v>0</v>
      </c>
      <c r="M791" s="19" t="n">
        <v>4.1634</v>
      </c>
      <c r="N791" s="16" t="str">
        <f aca="false">IF(M791&lt;0,"Loss",IF(M791&lt;50,"Low Profit",IF(M791&lt;200,"Medium Profit","High Profit")))</f>
        <v>Low Profit</v>
      </c>
      <c r="O791" s="16" t="str">
        <f aca="false">IF(J791&gt;=500,"High Value","Standard")</f>
        <v>Standard</v>
      </c>
      <c r="P791" s="16" t="str">
        <f aca="false">H791&amp;" &gt; "&amp;I791&amp;" ("&amp;K791&amp;" units)"</f>
        <v>Office Supplies &gt; Storage (1 units)</v>
      </c>
      <c r="Q791" s="16" t="str">
        <f aca="false">VLOOKUP(G791,Region_Manager_Table,2,FALSE())</f>
        <v>Karthik Iyer</v>
      </c>
      <c r="R791" s="16" t="n">
        <f aca="false">INDEX(SLA_Days_Col,MATCH(A791,ShipMode_Col,0))</f>
        <v>6</v>
      </c>
    </row>
    <row r="792" customFormat="false" ht="15" hidden="false" customHeight="false" outlineLevel="0" collapsed="false">
      <c r="A792" s="10" t="s">
        <v>64</v>
      </c>
      <c r="B792" s="10" t="s">
        <v>50</v>
      </c>
      <c r="C792" s="10" t="s">
        <v>51</v>
      </c>
      <c r="D792" s="10" t="s">
        <v>218</v>
      </c>
      <c r="E792" s="10" t="s">
        <v>119</v>
      </c>
      <c r="F792" s="10" t="n">
        <v>23223</v>
      </c>
      <c r="G792" s="10" t="s">
        <v>54</v>
      </c>
      <c r="H792" s="10" t="s">
        <v>62</v>
      </c>
      <c r="I792" s="10" t="s">
        <v>73</v>
      </c>
      <c r="J792" s="13" t="n">
        <v>43.04</v>
      </c>
      <c r="K792" s="10" t="n">
        <v>8</v>
      </c>
      <c r="L792" s="14" t="n">
        <v>0</v>
      </c>
      <c r="M792" s="15" t="n">
        <v>21.0896</v>
      </c>
      <c r="N792" s="10" t="str">
        <f aca="false">IF(M792&lt;0,"Loss",IF(M792&lt;50,"Low Profit",IF(M792&lt;200,"Medium Profit","High Profit")))</f>
        <v>Low Profit</v>
      </c>
      <c r="O792" s="10" t="str">
        <f aca="false">IF(J792&gt;=500,"High Value","Standard")</f>
        <v>Standard</v>
      </c>
      <c r="P792" s="10" t="str">
        <f aca="false">H792&amp;" &gt; "&amp;I792&amp;" ("&amp;K792&amp;" units)"</f>
        <v>Office Supplies &gt; Binders (8 units)</v>
      </c>
      <c r="Q792" s="10" t="str">
        <f aca="false">VLOOKUP(G792,Region_Manager_Table,2,FALSE())</f>
        <v>Karthik Iyer</v>
      </c>
      <c r="R792" s="10" t="n">
        <f aca="false">INDEX(SLA_Days_Col,MATCH(A792,ShipMode_Col,0))</f>
        <v>6</v>
      </c>
    </row>
    <row r="793" customFormat="false" ht="15" hidden="false" customHeight="false" outlineLevel="0" collapsed="false">
      <c r="A793" s="16" t="s">
        <v>64</v>
      </c>
      <c r="B793" s="16" t="s">
        <v>50</v>
      </c>
      <c r="C793" s="16" t="s">
        <v>51</v>
      </c>
      <c r="D793" s="16" t="s">
        <v>218</v>
      </c>
      <c r="E793" s="16" t="s">
        <v>119</v>
      </c>
      <c r="F793" s="16" t="n">
        <v>23223</v>
      </c>
      <c r="G793" s="16" t="s">
        <v>54</v>
      </c>
      <c r="H793" s="16" t="s">
        <v>55</v>
      </c>
      <c r="I793" s="16" t="s">
        <v>57</v>
      </c>
      <c r="J793" s="17" t="n">
        <v>332.94</v>
      </c>
      <c r="K793" s="16" t="n">
        <v>3</v>
      </c>
      <c r="L793" s="18" t="n">
        <v>0</v>
      </c>
      <c r="M793" s="19" t="n">
        <v>79.9056</v>
      </c>
      <c r="N793" s="16" t="str">
        <f aca="false">IF(M793&lt;0,"Loss",IF(M793&lt;50,"Low Profit",IF(M793&lt;200,"Medium Profit","High Profit")))</f>
        <v>Medium Profit</v>
      </c>
      <c r="O793" s="16" t="str">
        <f aca="false">IF(J793&gt;=500,"High Value","Standard")</f>
        <v>Standard</v>
      </c>
      <c r="P793" s="16" t="str">
        <f aca="false">H793&amp;" &gt; "&amp;I793&amp;" ("&amp;K793&amp;" units)"</f>
        <v>Furniture &gt; Chairs (3 units)</v>
      </c>
      <c r="Q793" s="16" t="str">
        <f aca="false">VLOOKUP(G793,Region_Manager_Table,2,FALSE())</f>
        <v>Karthik Iyer</v>
      </c>
      <c r="R793" s="16" t="n">
        <f aca="false">INDEX(SLA_Days_Col,MATCH(A793,ShipMode_Col,0))</f>
        <v>6</v>
      </c>
    </row>
    <row r="794" customFormat="false" ht="15" hidden="false" customHeight="false" outlineLevel="0" collapsed="false">
      <c r="A794" s="10" t="s">
        <v>204</v>
      </c>
      <c r="B794" s="10" t="s">
        <v>50</v>
      </c>
      <c r="C794" s="10" t="s">
        <v>51</v>
      </c>
      <c r="D794" s="10" t="s">
        <v>272</v>
      </c>
      <c r="E794" s="10" t="s">
        <v>76</v>
      </c>
      <c r="F794" s="10" t="n">
        <v>28806</v>
      </c>
      <c r="G794" s="10" t="s">
        <v>54</v>
      </c>
      <c r="H794" s="10" t="s">
        <v>71</v>
      </c>
      <c r="I794" s="10" t="s">
        <v>72</v>
      </c>
      <c r="J794" s="13" t="n">
        <v>1363.96</v>
      </c>
      <c r="K794" s="10" t="n">
        <v>5</v>
      </c>
      <c r="L794" s="14" t="n">
        <v>0.2</v>
      </c>
      <c r="M794" s="15" t="n">
        <v>85.2475</v>
      </c>
      <c r="N794" s="10" t="str">
        <f aca="false">IF(M794&lt;0,"Loss",IF(M794&lt;50,"Low Profit",IF(M794&lt;200,"Medium Profit","High Profit")))</f>
        <v>Medium Profit</v>
      </c>
      <c r="O794" s="10" t="str">
        <f aca="false">IF(J794&gt;=500,"High Value","Standard")</f>
        <v>High Value</v>
      </c>
      <c r="P794" s="10" t="str">
        <f aca="false">H794&amp;" &gt; "&amp;I794&amp;" ("&amp;K794&amp;" units)"</f>
        <v>Technology &gt; Phones (5 units)</v>
      </c>
      <c r="Q794" s="10" t="str">
        <f aca="false">VLOOKUP(G794,Region_Manager_Table,2,FALSE())</f>
        <v>Karthik Iyer</v>
      </c>
      <c r="R794" s="10" t="n">
        <f aca="false">INDEX(SLA_Days_Col,MATCH(A794,ShipMode_Col,0))</f>
        <v>1</v>
      </c>
    </row>
    <row r="795" customFormat="false" ht="15" hidden="false" customHeight="false" outlineLevel="0" collapsed="false">
      <c r="A795" s="16" t="s">
        <v>64</v>
      </c>
      <c r="B795" s="16" t="s">
        <v>50</v>
      </c>
      <c r="C795" s="16" t="s">
        <v>51</v>
      </c>
      <c r="D795" s="16" t="s">
        <v>88</v>
      </c>
      <c r="E795" s="16" t="s">
        <v>60</v>
      </c>
      <c r="F795" s="16" t="n">
        <v>94110</v>
      </c>
      <c r="G795" s="16" t="s">
        <v>61</v>
      </c>
      <c r="H795" s="16" t="s">
        <v>62</v>
      </c>
      <c r="I795" s="16" t="s">
        <v>63</v>
      </c>
      <c r="J795" s="17" t="n">
        <v>9.96</v>
      </c>
      <c r="K795" s="16" t="n">
        <v>2</v>
      </c>
      <c r="L795" s="18" t="n">
        <v>0</v>
      </c>
      <c r="M795" s="19" t="n">
        <v>4.5816</v>
      </c>
      <c r="N795" s="16" t="str">
        <f aca="false">IF(M795&lt;0,"Loss",IF(M795&lt;50,"Low Profit",IF(M795&lt;200,"Medium Profit","High Profit")))</f>
        <v>Low Profit</v>
      </c>
      <c r="O795" s="16" t="str">
        <f aca="false">IF(J795&gt;=500,"High Value","Standard")</f>
        <v>Standard</v>
      </c>
      <c r="P795" s="16" t="str">
        <f aca="false">H795&amp;" &gt; "&amp;I795&amp;" ("&amp;K795&amp;" units)"</f>
        <v>Office Supplies &gt; Labels (2 units)</v>
      </c>
      <c r="Q795" s="16" t="str">
        <f aca="false">VLOOKUP(G795,Region_Manager_Table,2,FALSE())</f>
        <v>Sana Sheikh</v>
      </c>
      <c r="R795" s="16" t="n">
        <f aca="false">INDEX(SLA_Days_Col,MATCH(A795,ShipMode_Col,0))</f>
        <v>6</v>
      </c>
    </row>
    <row r="796" customFormat="false" ht="15" hidden="false" customHeight="false" outlineLevel="0" collapsed="false">
      <c r="A796" s="10" t="s">
        <v>64</v>
      </c>
      <c r="B796" s="10" t="s">
        <v>50</v>
      </c>
      <c r="C796" s="10" t="s">
        <v>51</v>
      </c>
      <c r="D796" s="10" t="s">
        <v>88</v>
      </c>
      <c r="E796" s="10" t="s">
        <v>60</v>
      </c>
      <c r="F796" s="10" t="n">
        <v>94110</v>
      </c>
      <c r="G796" s="10" t="s">
        <v>61</v>
      </c>
      <c r="H796" s="10" t="s">
        <v>62</v>
      </c>
      <c r="I796" s="10" t="s">
        <v>77</v>
      </c>
      <c r="J796" s="13" t="n">
        <v>21.72</v>
      </c>
      <c r="K796" s="10" t="n">
        <v>4</v>
      </c>
      <c r="L796" s="14" t="n">
        <v>0</v>
      </c>
      <c r="M796" s="15" t="n">
        <v>10.6428</v>
      </c>
      <c r="N796" s="10" t="str">
        <f aca="false">IF(M796&lt;0,"Loss",IF(M796&lt;50,"Low Profit",IF(M796&lt;200,"Medium Profit","High Profit")))</f>
        <v>Low Profit</v>
      </c>
      <c r="O796" s="10" t="str">
        <f aca="false">IF(J796&gt;=500,"High Value","Standard")</f>
        <v>Standard</v>
      </c>
      <c r="P796" s="10" t="str">
        <f aca="false">H796&amp;" &gt; "&amp;I796&amp;" ("&amp;K796&amp;" units)"</f>
        <v>Office Supplies &gt; Paper (4 units)</v>
      </c>
      <c r="Q796" s="10" t="str">
        <f aca="false">VLOOKUP(G796,Region_Manager_Table,2,FALSE())</f>
        <v>Sana Sheikh</v>
      </c>
      <c r="R796" s="10" t="n">
        <f aca="false">INDEX(SLA_Days_Col,MATCH(A796,ShipMode_Col,0))</f>
        <v>6</v>
      </c>
    </row>
    <row r="797" customFormat="false" ht="15" hidden="false" customHeight="false" outlineLevel="0" collapsed="false">
      <c r="A797" s="16" t="s">
        <v>64</v>
      </c>
      <c r="B797" s="16" t="s">
        <v>50</v>
      </c>
      <c r="C797" s="16" t="s">
        <v>51</v>
      </c>
      <c r="D797" s="16" t="s">
        <v>128</v>
      </c>
      <c r="E797" s="16" t="s">
        <v>104</v>
      </c>
      <c r="F797" s="16" t="n">
        <v>55901</v>
      </c>
      <c r="G797" s="16" t="s">
        <v>83</v>
      </c>
      <c r="H797" s="16" t="s">
        <v>62</v>
      </c>
      <c r="I797" s="16" t="s">
        <v>73</v>
      </c>
      <c r="J797" s="17" t="n">
        <v>20.16</v>
      </c>
      <c r="K797" s="16" t="n">
        <v>7</v>
      </c>
      <c r="L797" s="18" t="n">
        <v>0</v>
      </c>
      <c r="M797" s="19" t="n">
        <v>9.8784</v>
      </c>
      <c r="N797" s="16" t="str">
        <f aca="false">IF(M797&lt;0,"Loss",IF(M797&lt;50,"Low Profit",IF(M797&lt;200,"Medium Profit","High Profit")))</f>
        <v>Low Profit</v>
      </c>
      <c r="O797" s="16" t="str">
        <f aca="false">IF(J797&gt;=500,"High Value","Standard")</f>
        <v>Standard</v>
      </c>
      <c r="P797" s="16" t="str">
        <f aca="false">H797&amp;" &gt; "&amp;I797&amp;" ("&amp;K797&amp;" units)"</f>
        <v>Office Supplies &gt; Binders (7 units)</v>
      </c>
      <c r="Q797" s="16" t="str">
        <f aca="false">VLOOKUP(G797,Region_Manager_Table,2,FALSE())</f>
        <v>Aditya Rao</v>
      </c>
      <c r="R797" s="16" t="n">
        <f aca="false">INDEX(SLA_Days_Col,MATCH(A797,ShipMode_Col,0))</f>
        <v>6</v>
      </c>
    </row>
    <row r="798" customFormat="false" ht="15" hidden="false" customHeight="false" outlineLevel="0" collapsed="false">
      <c r="A798" s="10" t="s">
        <v>98</v>
      </c>
      <c r="B798" s="10" t="s">
        <v>58</v>
      </c>
      <c r="C798" s="10" t="s">
        <v>51</v>
      </c>
      <c r="D798" s="10" t="s">
        <v>128</v>
      </c>
      <c r="E798" s="10" t="s">
        <v>112</v>
      </c>
      <c r="F798" s="10" t="n">
        <v>14609</v>
      </c>
      <c r="G798" s="10" t="s">
        <v>93</v>
      </c>
      <c r="H798" s="10" t="s">
        <v>62</v>
      </c>
      <c r="I798" s="10" t="s">
        <v>77</v>
      </c>
      <c r="J798" s="13" t="n">
        <v>132.79</v>
      </c>
      <c r="K798" s="10" t="n">
        <v>7</v>
      </c>
      <c r="L798" s="14" t="n">
        <v>0</v>
      </c>
      <c r="M798" s="15" t="n">
        <v>63.7392</v>
      </c>
      <c r="N798" s="10" t="str">
        <f aca="false">IF(M798&lt;0,"Loss",IF(M798&lt;50,"Low Profit",IF(M798&lt;200,"Medium Profit","High Profit")))</f>
        <v>Medium Profit</v>
      </c>
      <c r="O798" s="10" t="str">
        <f aca="false">IF(J798&gt;=500,"High Value","Standard")</f>
        <v>Standard</v>
      </c>
      <c r="P798" s="10" t="str">
        <f aca="false">H798&amp;" &gt; "&amp;I798&amp;" ("&amp;K798&amp;" units)"</f>
        <v>Office Supplies &gt; Paper (7 units)</v>
      </c>
      <c r="Q798" s="10" t="str">
        <f aca="false">VLOOKUP(G798,Region_Manager_Table,2,FALSE())</f>
        <v>Priya Menon</v>
      </c>
      <c r="R798" s="10" t="n">
        <f aca="false">INDEX(SLA_Days_Col,MATCH(A798,ShipMode_Col,0))</f>
        <v>2</v>
      </c>
    </row>
    <row r="799" customFormat="false" ht="15" hidden="false" customHeight="false" outlineLevel="0" collapsed="false">
      <c r="A799" s="16" t="s">
        <v>98</v>
      </c>
      <c r="B799" s="16" t="s">
        <v>58</v>
      </c>
      <c r="C799" s="16" t="s">
        <v>51</v>
      </c>
      <c r="D799" s="16" t="s">
        <v>128</v>
      </c>
      <c r="E799" s="16" t="s">
        <v>112</v>
      </c>
      <c r="F799" s="16" t="n">
        <v>14609</v>
      </c>
      <c r="G799" s="16" t="s">
        <v>93</v>
      </c>
      <c r="H799" s="16" t="s">
        <v>62</v>
      </c>
      <c r="I799" s="16" t="s">
        <v>77</v>
      </c>
      <c r="J799" s="17" t="n">
        <v>12.96</v>
      </c>
      <c r="K799" s="16" t="n">
        <v>2</v>
      </c>
      <c r="L799" s="18" t="n">
        <v>0</v>
      </c>
      <c r="M799" s="19" t="n">
        <v>6.2208</v>
      </c>
      <c r="N799" s="16" t="str">
        <f aca="false">IF(M799&lt;0,"Loss",IF(M799&lt;50,"Low Profit",IF(M799&lt;200,"Medium Profit","High Profit")))</f>
        <v>Low Profit</v>
      </c>
      <c r="O799" s="16" t="str">
        <f aca="false">IF(J799&gt;=500,"High Value","Standard")</f>
        <v>Standard</v>
      </c>
      <c r="P799" s="16" t="str">
        <f aca="false">H799&amp;" &gt; "&amp;I799&amp;" ("&amp;K799&amp;" units)"</f>
        <v>Office Supplies &gt; Paper (2 units)</v>
      </c>
      <c r="Q799" s="16" t="str">
        <f aca="false">VLOOKUP(G799,Region_Manager_Table,2,FALSE())</f>
        <v>Priya Menon</v>
      </c>
      <c r="R799" s="16" t="n">
        <f aca="false">INDEX(SLA_Days_Col,MATCH(A799,ShipMode_Col,0))</f>
        <v>2</v>
      </c>
    </row>
    <row r="800" customFormat="false" ht="15" hidden="false" customHeight="false" outlineLevel="0" collapsed="false">
      <c r="A800" s="10" t="s">
        <v>98</v>
      </c>
      <c r="B800" s="10" t="s">
        <v>58</v>
      </c>
      <c r="C800" s="10" t="s">
        <v>51</v>
      </c>
      <c r="D800" s="10" t="s">
        <v>128</v>
      </c>
      <c r="E800" s="10" t="s">
        <v>112</v>
      </c>
      <c r="F800" s="10" t="n">
        <v>14609</v>
      </c>
      <c r="G800" s="10" t="s">
        <v>93</v>
      </c>
      <c r="H800" s="10" t="s">
        <v>62</v>
      </c>
      <c r="I800" s="10" t="s">
        <v>63</v>
      </c>
      <c r="J800" s="13" t="n">
        <v>21.56</v>
      </c>
      <c r="K800" s="10" t="n">
        <v>7</v>
      </c>
      <c r="L800" s="14" t="n">
        <v>0</v>
      </c>
      <c r="M800" s="15" t="n">
        <v>10.3488</v>
      </c>
      <c r="N800" s="10" t="str">
        <f aca="false">IF(M800&lt;0,"Loss",IF(M800&lt;50,"Low Profit",IF(M800&lt;200,"Medium Profit","High Profit")))</f>
        <v>Low Profit</v>
      </c>
      <c r="O800" s="10" t="str">
        <f aca="false">IF(J800&gt;=500,"High Value","Standard")</f>
        <v>Standard</v>
      </c>
      <c r="P800" s="10" t="str">
        <f aca="false">H800&amp;" &gt; "&amp;I800&amp;" ("&amp;K800&amp;" units)"</f>
        <v>Office Supplies &gt; Labels (7 units)</v>
      </c>
      <c r="Q800" s="10" t="str">
        <f aca="false">VLOOKUP(G800,Region_Manager_Table,2,FALSE())</f>
        <v>Priya Menon</v>
      </c>
      <c r="R800" s="10" t="n">
        <f aca="false">INDEX(SLA_Days_Col,MATCH(A800,ShipMode_Col,0))</f>
        <v>2</v>
      </c>
    </row>
    <row r="801" customFormat="false" ht="15" hidden="false" customHeight="false" outlineLevel="0" collapsed="false">
      <c r="A801" s="16" t="s">
        <v>64</v>
      </c>
      <c r="B801" s="16" t="s">
        <v>50</v>
      </c>
      <c r="C801" s="16" t="s">
        <v>51</v>
      </c>
      <c r="D801" s="16" t="s">
        <v>273</v>
      </c>
      <c r="E801" s="16" t="s">
        <v>60</v>
      </c>
      <c r="F801" s="16" t="n">
        <v>92530</v>
      </c>
      <c r="G801" s="16" t="s">
        <v>61</v>
      </c>
      <c r="H801" s="16" t="s">
        <v>55</v>
      </c>
      <c r="I801" s="16" t="s">
        <v>57</v>
      </c>
      <c r="J801" s="17" t="n">
        <v>283.92</v>
      </c>
      <c r="K801" s="16" t="n">
        <v>5</v>
      </c>
      <c r="L801" s="18" t="n">
        <v>0.2</v>
      </c>
      <c r="M801" s="19" t="n">
        <v>17.745</v>
      </c>
      <c r="N801" s="16" t="str">
        <f aca="false">IF(M801&lt;0,"Loss",IF(M801&lt;50,"Low Profit",IF(M801&lt;200,"Medium Profit","High Profit")))</f>
        <v>Low Profit</v>
      </c>
      <c r="O801" s="16" t="str">
        <f aca="false">IF(J801&gt;=500,"High Value","Standard")</f>
        <v>Standard</v>
      </c>
      <c r="P801" s="16" t="str">
        <f aca="false">H801&amp;" &gt; "&amp;I801&amp;" ("&amp;K801&amp;" units)"</f>
        <v>Furniture &gt; Chairs (5 units)</v>
      </c>
      <c r="Q801" s="16" t="str">
        <f aca="false">VLOOKUP(G801,Region_Manager_Table,2,FALSE())</f>
        <v>Sana Sheikh</v>
      </c>
      <c r="R801" s="16" t="n">
        <f aca="false">INDEX(SLA_Days_Col,MATCH(A801,ShipMode_Col,0))</f>
        <v>6</v>
      </c>
    </row>
    <row r="802" customFormat="false" ht="15" hidden="false" customHeight="false" outlineLevel="0" collapsed="false">
      <c r="A802" s="10" t="s">
        <v>98</v>
      </c>
      <c r="B802" s="10" t="s">
        <v>58</v>
      </c>
      <c r="C802" s="10" t="s">
        <v>51</v>
      </c>
      <c r="D802" s="10" t="s">
        <v>180</v>
      </c>
      <c r="E802" s="10" t="s">
        <v>60</v>
      </c>
      <c r="F802" s="10" t="n">
        <v>92105</v>
      </c>
      <c r="G802" s="10" t="s">
        <v>61</v>
      </c>
      <c r="H802" s="10" t="s">
        <v>55</v>
      </c>
      <c r="I802" s="10" t="s">
        <v>69</v>
      </c>
      <c r="J802" s="13" t="n">
        <v>22.23</v>
      </c>
      <c r="K802" s="10" t="n">
        <v>1</v>
      </c>
      <c r="L802" s="14" t="n">
        <v>0</v>
      </c>
      <c r="M802" s="15" t="n">
        <v>7.3359</v>
      </c>
      <c r="N802" s="10" t="str">
        <f aca="false">IF(M802&lt;0,"Loss",IF(M802&lt;50,"Low Profit",IF(M802&lt;200,"Medium Profit","High Profit")))</f>
        <v>Low Profit</v>
      </c>
      <c r="O802" s="10" t="str">
        <f aca="false">IF(J802&gt;=500,"High Value","Standard")</f>
        <v>Standard</v>
      </c>
      <c r="P802" s="10" t="str">
        <f aca="false">H802&amp;" &gt; "&amp;I802&amp;" ("&amp;K802&amp;" units)"</f>
        <v>Furniture &gt; Furnishings (1 units)</v>
      </c>
      <c r="Q802" s="10" t="str">
        <f aca="false">VLOOKUP(G802,Region_Manager_Table,2,FALSE())</f>
        <v>Sana Sheikh</v>
      </c>
      <c r="R802" s="10" t="n">
        <f aca="false">INDEX(SLA_Days_Col,MATCH(A802,ShipMode_Col,0))</f>
        <v>2</v>
      </c>
    </row>
    <row r="803" customFormat="false" ht="15" hidden="false" customHeight="false" outlineLevel="0" collapsed="false">
      <c r="A803" s="16" t="s">
        <v>98</v>
      </c>
      <c r="B803" s="16" t="s">
        <v>58</v>
      </c>
      <c r="C803" s="16" t="s">
        <v>51</v>
      </c>
      <c r="D803" s="16" t="s">
        <v>180</v>
      </c>
      <c r="E803" s="16" t="s">
        <v>60</v>
      </c>
      <c r="F803" s="16" t="n">
        <v>92105</v>
      </c>
      <c r="G803" s="16" t="s">
        <v>61</v>
      </c>
      <c r="H803" s="16" t="s">
        <v>71</v>
      </c>
      <c r="I803" s="16" t="s">
        <v>72</v>
      </c>
      <c r="J803" s="17" t="n">
        <v>215.968</v>
      </c>
      <c r="K803" s="16" t="n">
        <v>2</v>
      </c>
      <c r="L803" s="18" t="n">
        <v>0.2</v>
      </c>
      <c r="M803" s="19" t="n">
        <v>18.8972</v>
      </c>
      <c r="N803" s="16" t="str">
        <f aca="false">IF(M803&lt;0,"Loss",IF(M803&lt;50,"Low Profit",IF(M803&lt;200,"Medium Profit","High Profit")))</f>
        <v>Low Profit</v>
      </c>
      <c r="O803" s="16" t="str">
        <f aca="false">IF(J803&gt;=500,"High Value","Standard")</f>
        <v>Standard</v>
      </c>
      <c r="P803" s="16" t="str">
        <f aca="false">H803&amp;" &gt; "&amp;I803&amp;" ("&amp;K803&amp;" units)"</f>
        <v>Technology &gt; Phones (2 units)</v>
      </c>
      <c r="Q803" s="16" t="str">
        <f aca="false">VLOOKUP(G803,Region_Manager_Table,2,FALSE())</f>
        <v>Sana Sheikh</v>
      </c>
      <c r="R803" s="16" t="n">
        <f aca="false">INDEX(SLA_Days_Col,MATCH(A803,ShipMode_Col,0))</f>
        <v>2</v>
      </c>
    </row>
    <row r="804" customFormat="false" ht="15" hidden="false" customHeight="false" outlineLevel="0" collapsed="false">
      <c r="A804" s="10" t="s">
        <v>49</v>
      </c>
      <c r="B804" s="10" t="s">
        <v>58</v>
      </c>
      <c r="C804" s="10" t="s">
        <v>51</v>
      </c>
      <c r="D804" s="10" t="s">
        <v>111</v>
      </c>
      <c r="E804" s="10" t="s">
        <v>112</v>
      </c>
      <c r="F804" s="10" t="n">
        <v>10024</v>
      </c>
      <c r="G804" s="10" t="s">
        <v>93</v>
      </c>
      <c r="H804" s="10" t="s">
        <v>62</v>
      </c>
      <c r="I804" s="10" t="s">
        <v>74</v>
      </c>
      <c r="J804" s="13" t="n">
        <v>355.32</v>
      </c>
      <c r="K804" s="10" t="n">
        <v>9</v>
      </c>
      <c r="L804" s="14" t="n">
        <v>0</v>
      </c>
      <c r="M804" s="15" t="n">
        <v>99.4896</v>
      </c>
      <c r="N804" s="10" t="str">
        <f aca="false">IF(M804&lt;0,"Loss",IF(M804&lt;50,"Low Profit",IF(M804&lt;200,"Medium Profit","High Profit")))</f>
        <v>Medium Profit</v>
      </c>
      <c r="O804" s="10" t="str">
        <f aca="false">IF(J804&gt;=500,"High Value","Standard")</f>
        <v>Standard</v>
      </c>
      <c r="P804" s="10" t="str">
        <f aca="false">H804&amp;" &gt; "&amp;I804&amp;" ("&amp;K804&amp;" units)"</f>
        <v>Office Supplies &gt; Appliances (9 units)</v>
      </c>
      <c r="Q804" s="10" t="str">
        <f aca="false">VLOOKUP(G804,Region_Manager_Table,2,FALSE())</f>
        <v>Priya Menon</v>
      </c>
      <c r="R804" s="10" t="n">
        <f aca="false">INDEX(SLA_Days_Col,MATCH(A804,ShipMode_Col,0))</f>
        <v>4</v>
      </c>
    </row>
    <row r="805" customFormat="false" ht="15" hidden="false" customHeight="false" outlineLevel="0" collapsed="false">
      <c r="A805" s="16" t="s">
        <v>64</v>
      </c>
      <c r="B805" s="16" t="s">
        <v>58</v>
      </c>
      <c r="C805" s="16" t="s">
        <v>51</v>
      </c>
      <c r="D805" s="16" t="s">
        <v>160</v>
      </c>
      <c r="E805" s="16" t="s">
        <v>161</v>
      </c>
      <c r="F805" s="16" t="n">
        <v>71203</v>
      </c>
      <c r="G805" s="16" t="s">
        <v>54</v>
      </c>
      <c r="H805" s="16" t="s">
        <v>62</v>
      </c>
      <c r="I805" s="16" t="s">
        <v>77</v>
      </c>
      <c r="J805" s="17" t="n">
        <v>12.96</v>
      </c>
      <c r="K805" s="16" t="n">
        <v>2</v>
      </c>
      <c r="L805" s="18" t="n">
        <v>0</v>
      </c>
      <c r="M805" s="19" t="n">
        <v>6.2208</v>
      </c>
      <c r="N805" s="16" t="str">
        <f aca="false">IF(M805&lt;0,"Loss",IF(M805&lt;50,"Low Profit",IF(M805&lt;200,"Medium Profit","High Profit")))</f>
        <v>Low Profit</v>
      </c>
      <c r="O805" s="16" t="str">
        <f aca="false">IF(J805&gt;=500,"High Value","Standard")</f>
        <v>Standard</v>
      </c>
      <c r="P805" s="16" t="str">
        <f aca="false">H805&amp;" &gt; "&amp;I805&amp;" ("&amp;K805&amp;" units)"</f>
        <v>Office Supplies &gt; Paper (2 units)</v>
      </c>
      <c r="Q805" s="16" t="str">
        <f aca="false">VLOOKUP(G805,Region_Manager_Table,2,FALSE())</f>
        <v>Karthik Iyer</v>
      </c>
      <c r="R805" s="16" t="n">
        <f aca="false">INDEX(SLA_Days_Col,MATCH(A805,ShipMode_Col,0))</f>
        <v>6</v>
      </c>
    </row>
    <row r="806" customFormat="false" ht="15" hidden="false" customHeight="false" outlineLevel="0" collapsed="false">
      <c r="A806" s="10" t="s">
        <v>98</v>
      </c>
      <c r="B806" s="10" t="s">
        <v>50</v>
      </c>
      <c r="C806" s="10" t="s">
        <v>51</v>
      </c>
      <c r="D806" s="10" t="s">
        <v>88</v>
      </c>
      <c r="E806" s="10" t="s">
        <v>60</v>
      </c>
      <c r="F806" s="10" t="n">
        <v>94122</v>
      </c>
      <c r="G806" s="10" t="s">
        <v>61</v>
      </c>
      <c r="H806" s="10" t="s">
        <v>55</v>
      </c>
      <c r="I806" s="10" t="s">
        <v>69</v>
      </c>
      <c r="J806" s="13" t="n">
        <v>18.28</v>
      </c>
      <c r="K806" s="10" t="n">
        <v>2</v>
      </c>
      <c r="L806" s="14" t="n">
        <v>0</v>
      </c>
      <c r="M806" s="15" t="n">
        <v>6.2152</v>
      </c>
      <c r="N806" s="10" t="str">
        <f aca="false">IF(M806&lt;0,"Loss",IF(M806&lt;50,"Low Profit",IF(M806&lt;200,"Medium Profit","High Profit")))</f>
        <v>Low Profit</v>
      </c>
      <c r="O806" s="10" t="str">
        <f aca="false">IF(J806&gt;=500,"High Value","Standard")</f>
        <v>Standard</v>
      </c>
      <c r="P806" s="10" t="str">
        <f aca="false">H806&amp;" &gt; "&amp;I806&amp;" ("&amp;K806&amp;" units)"</f>
        <v>Furniture &gt; Furnishings (2 units)</v>
      </c>
      <c r="Q806" s="10" t="str">
        <f aca="false">VLOOKUP(G806,Region_Manager_Table,2,FALSE())</f>
        <v>Sana Sheikh</v>
      </c>
      <c r="R806" s="10" t="n">
        <f aca="false">INDEX(SLA_Days_Col,MATCH(A806,ShipMode_Col,0))</f>
        <v>2</v>
      </c>
    </row>
    <row r="807" customFormat="false" ht="15" hidden="false" customHeight="false" outlineLevel="0" collapsed="false">
      <c r="A807" s="16" t="s">
        <v>64</v>
      </c>
      <c r="B807" s="16" t="s">
        <v>50</v>
      </c>
      <c r="C807" s="16" t="s">
        <v>51</v>
      </c>
      <c r="D807" s="16" t="s">
        <v>170</v>
      </c>
      <c r="E807" s="16" t="s">
        <v>134</v>
      </c>
      <c r="F807" s="16" t="n">
        <v>80219</v>
      </c>
      <c r="G807" s="16" t="s">
        <v>61</v>
      </c>
      <c r="H807" s="16" t="s">
        <v>62</v>
      </c>
      <c r="I807" s="16" t="s">
        <v>70</v>
      </c>
      <c r="J807" s="17" t="n">
        <v>43.176</v>
      </c>
      <c r="K807" s="16" t="n">
        <v>3</v>
      </c>
      <c r="L807" s="18" t="n">
        <v>0.2</v>
      </c>
      <c r="M807" s="19" t="n">
        <v>4.3176</v>
      </c>
      <c r="N807" s="16" t="str">
        <f aca="false">IF(M807&lt;0,"Loss",IF(M807&lt;50,"Low Profit",IF(M807&lt;200,"Medium Profit","High Profit")))</f>
        <v>Low Profit</v>
      </c>
      <c r="O807" s="16" t="str">
        <f aca="false">IF(J807&gt;=500,"High Value","Standard")</f>
        <v>Standard</v>
      </c>
      <c r="P807" s="16" t="str">
        <f aca="false">H807&amp;" &gt; "&amp;I807&amp;" ("&amp;K807&amp;" units)"</f>
        <v>Office Supplies &gt; Art (3 units)</v>
      </c>
      <c r="Q807" s="16" t="str">
        <f aca="false">VLOOKUP(G807,Region_Manager_Table,2,FALSE())</f>
        <v>Sana Sheikh</v>
      </c>
      <c r="R807" s="16" t="n">
        <f aca="false">INDEX(SLA_Days_Col,MATCH(A807,ShipMode_Col,0))</f>
        <v>6</v>
      </c>
    </row>
    <row r="808" customFormat="false" ht="15" hidden="false" customHeight="false" outlineLevel="0" collapsed="false">
      <c r="A808" s="10" t="s">
        <v>64</v>
      </c>
      <c r="B808" s="10" t="s">
        <v>50</v>
      </c>
      <c r="C808" s="10" t="s">
        <v>51</v>
      </c>
      <c r="D808" s="10" t="s">
        <v>170</v>
      </c>
      <c r="E808" s="10" t="s">
        <v>134</v>
      </c>
      <c r="F808" s="10" t="n">
        <v>80219</v>
      </c>
      <c r="G808" s="10" t="s">
        <v>61</v>
      </c>
      <c r="H808" s="10" t="s">
        <v>71</v>
      </c>
      <c r="I808" s="10" t="s">
        <v>72</v>
      </c>
      <c r="J808" s="13" t="n">
        <v>1983.968</v>
      </c>
      <c r="K808" s="10" t="n">
        <v>4</v>
      </c>
      <c r="L808" s="14" t="n">
        <v>0.2</v>
      </c>
      <c r="M808" s="15" t="n">
        <v>247.996</v>
      </c>
      <c r="N808" s="10" t="str">
        <f aca="false">IF(M808&lt;0,"Loss",IF(M808&lt;50,"Low Profit",IF(M808&lt;200,"Medium Profit","High Profit")))</f>
        <v>High Profit</v>
      </c>
      <c r="O808" s="10" t="str">
        <f aca="false">IF(J808&gt;=500,"High Value","Standard")</f>
        <v>High Value</v>
      </c>
      <c r="P808" s="10" t="str">
        <f aca="false">H808&amp;" &gt; "&amp;I808&amp;" ("&amp;K808&amp;" units)"</f>
        <v>Technology &gt; Phones (4 units)</v>
      </c>
      <c r="Q808" s="10" t="str">
        <f aca="false">VLOOKUP(G808,Region_Manager_Table,2,FALSE())</f>
        <v>Sana Sheikh</v>
      </c>
      <c r="R808" s="10" t="n">
        <f aca="false">INDEX(SLA_Days_Col,MATCH(A808,ShipMode_Col,0))</f>
        <v>6</v>
      </c>
    </row>
    <row r="809" customFormat="false" ht="15" hidden="false" customHeight="false" outlineLevel="0" collapsed="false">
      <c r="A809" s="16" t="s">
        <v>98</v>
      </c>
      <c r="B809" s="16" t="s">
        <v>50</v>
      </c>
      <c r="C809" s="16" t="s">
        <v>51</v>
      </c>
      <c r="D809" s="16" t="s">
        <v>274</v>
      </c>
      <c r="E809" s="16" t="s">
        <v>90</v>
      </c>
      <c r="F809" s="16" t="n">
        <v>68104</v>
      </c>
      <c r="G809" s="16" t="s">
        <v>83</v>
      </c>
      <c r="H809" s="16" t="s">
        <v>55</v>
      </c>
      <c r="I809" s="16" t="s">
        <v>69</v>
      </c>
      <c r="J809" s="17" t="n">
        <v>28.4</v>
      </c>
      <c r="K809" s="16" t="n">
        <v>2</v>
      </c>
      <c r="L809" s="18" t="n">
        <v>0</v>
      </c>
      <c r="M809" s="19" t="n">
        <v>11.076</v>
      </c>
      <c r="N809" s="16" t="str">
        <f aca="false">IF(M809&lt;0,"Loss",IF(M809&lt;50,"Low Profit",IF(M809&lt;200,"Medium Profit","High Profit")))</f>
        <v>Low Profit</v>
      </c>
      <c r="O809" s="16" t="str">
        <f aca="false">IF(J809&gt;=500,"High Value","Standard")</f>
        <v>Standard</v>
      </c>
      <c r="P809" s="16" t="str">
        <f aca="false">H809&amp;" &gt; "&amp;I809&amp;" ("&amp;K809&amp;" units)"</f>
        <v>Furniture &gt; Furnishings (2 units)</v>
      </c>
      <c r="Q809" s="16" t="str">
        <f aca="false">VLOOKUP(G809,Region_Manager_Table,2,FALSE())</f>
        <v>Aditya Rao</v>
      </c>
      <c r="R809" s="16" t="n">
        <f aca="false">INDEX(SLA_Days_Col,MATCH(A809,ShipMode_Col,0))</f>
        <v>2</v>
      </c>
    </row>
    <row r="810" customFormat="false" ht="15" hidden="false" customHeight="false" outlineLevel="0" collapsed="false">
      <c r="A810" s="10" t="s">
        <v>98</v>
      </c>
      <c r="B810" s="10" t="s">
        <v>50</v>
      </c>
      <c r="C810" s="10" t="s">
        <v>51</v>
      </c>
      <c r="D810" s="10" t="s">
        <v>274</v>
      </c>
      <c r="E810" s="10" t="s">
        <v>90</v>
      </c>
      <c r="F810" s="10" t="n">
        <v>68104</v>
      </c>
      <c r="G810" s="10" t="s">
        <v>83</v>
      </c>
      <c r="H810" s="10" t="s">
        <v>71</v>
      </c>
      <c r="I810" s="10" t="s">
        <v>95</v>
      </c>
      <c r="J810" s="13" t="n">
        <v>149.97</v>
      </c>
      <c r="K810" s="10" t="n">
        <v>3</v>
      </c>
      <c r="L810" s="14" t="n">
        <v>0</v>
      </c>
      <c r="M810" s="15" t="n">
        <v>50.9898</v>
      </c>
      <c r="N810" s="10" t="str">
        <f aca="false">IF(M810&lt;0,"Loss",IF(M810&lt;50,"Low Profit",IF(M810&lt;200,"Medium Profit","High Profit")))</f>
        <v>Medium Profit</v>
      </c>
      <c r="O810" s="10" t="str">
        <f aca="false">IF(J810&gt;=500,"High Value","Standard")</f>
        <v>Standard</v>
      </c>
      <c r="P810" s="10" t="str">
        <f aca="false">H810&amp;" &gt; "&amp;I810&amp;" ("&amp;K810&amp;" units)"</f>
        <v>Technology &gt; Accessories (3 units)</v>
      </c>
      <c r="Q810" s="10" t="str">
        <f aca="false">VLOOKUP(G810,Region_Manager_Table,2,FALSE())</f>
        <v>Aditya Rao</v>
      </c>
      <c r="R810" s="10" t="n">
        <f aca="false">INDEX(SLA_Days_Col,MATCH(A810,ShipMode_Col,0))</f>
        <v>2</v>
      </c>
    </row>
    <row r="811" customFormat="false" ht="15" hidden="false" customHeight="false" outlineLevel="0" collapsed="false">
      <c r="A811" s="16" t="s">
        <v>98</v>
      </c>
      <c r="B811" s="16" t="s">
        <v>50</v>
      </c>
      <c r="C811" s="16" t="s">
        <v>51</v>
      </c>
      <c r="D811" s="16" t="s">
        <v>275</v>
      </c>
      <c r="E811" s="16" t="s">
        <v>79</v>
      </c>
      <c r="F811" s="16" t="n">
        <v>98026</v>
      </c>
      <c r="G811" s="16" t="s">
        <v>61</v>
      </c>
      <c r="H811" s="16" t="s">
        <v>62</v>
      </c>
      <c r="I811" s="16" t="s">
        <v>70</v>
      </c>
      <c r="J811" s="17" t="n">
        <v>11.52</v>
      </c>
      <c r="K811" s="16" t="n">
        <v>4</v>
      </c>
      <c r="L811" s="18" t="n">
        <v>0</v>
      </c>
      <c r="M811" s="19" t="n">
        <v>3.2256</v>
      </c>
      <c r="N811" s="16" t="str">
        <f aca="false">IF(M811&lt;0,"Loss",IF(M811&lt;50,"Low Profit",IF(M811&lt;200,"Medium Profit","High Profit")))</f>
        <v>Low Profit</v>
      </c>
      <c r="O811" s="16" t="str">
        <f aca="false">IF(J811&gt;=500,"High Value","Standard")</f>
        <v>Standard</v>
      </c>
      <c r="P811" s="16" t="str">
        <f aca="false">H811&amp;" &gt; "&amp;I811&amp;" ("&amp;K811&amp;" units)"</f>
        <v>Office Supplies &gt; Art (4 units)</v>
      </c>
      <c r="Q811" s="16" t="str">
        <f aca="false">VLOOKUP(G811,Region_Manager_Table,2,FALSE())</f>
        <v>Sana Sheikh</v>
      </c>
      <c r="R811" s="16" t="n">
        <f aca="false">INDEX(SLA_Days_Col,MATCH(A811,ShipMode_Col,0))</f>
        <v>2</v>
      </c>
    </row>
    <row r="812" customFormat="false" ht="15" hidden="false" customHeight="false" outlineLevel="0" collapsed="false">
      <c r="A812" s="10" t="s">
        <v>98</v>
      </c>
      <c r="B812" s="10" t="s">
        <v>50</v>
      </c>
      <c r="C812" s="10" t="s">
        <v>51</v>
      </c>
      <c r="D812" s="10" t="s">
        <v>275</v>
      </c>
      <c r="E812" s="10" t="s">
        <v>79</v>
      </c>
      <c r="F812" s="10" t="n">
        <v>98026</v>
      </c>
      <c r="G812" s="10" t="s">
        <v>61</v>
      </c>
      <c r="H812" s="10" t="s">
        <v>55</v>
      </c>
      <c r="I812" s="10" t="s">
        <v>67</v>
      </c>
      <c r="J812" s="13" t="n">
        <v>1298.55</v>
      </c>
      <c r="K812" s="10" t="n">
        <v>5</v>
      </c>
      <c r="L812" s="14" t="n">
        <v>0</v>
      </c>
      <c r="M812" s="15" t="n">
        <v>311.652</v>
      </c>
      <c r="N812" s="10" t="str">
        <f aca="false">IF(M812&lt;0,"Loss",IF(M812&lt;50,"Low Profit",IF(M812&lt;200,"Medium Profit","High Profit")))</f>
        <v>High Profit</v>
      </c>
      <c r="O812" s="10" t="str">
        <f aca="false">IF(J812&gt;=500,"High Value","Standard")</f>
        <v>High Value</v>
      </c>
      <c r="P812" s="10" t="str">
        <f aca="false">H812&amp;" &gt; "&amp;I812&amp;" ("&amp;K812&amp;" units)"</f>
        <v>Furniture &gt; Tables (5 units)</v>
      </c>
      <c r="Q812" s="10" t="str">
        <f aca="false">VLOOKUP(G812,Region_Manager_Table,2,FALSE())</f>
        <v>Sana Sheikh</v>
      </c>
      <c r="R812" s="10" t="n">
        <f aca="false">INDEX(SLA_Days_Col,MATCH(A812,ShipMode_Col,0))</f>
        <v>2</v>
      </c>
    </row>
    <row r="813" customFormat="false" ht="15" hidden="false" customHeight="false" outlineLevel="0" collapsed="false">
      <c r="A813" s="16" t="s">
        <v>98</v>
      </c>
      <c r="B813" s="16" t="s">
        <v>50</v>
      </c>
      <c r="C813" s="16" t="s">
        <v>51</v>
      </c>
      <c r="D813" s="16" t="s">
        <v>275</v>
      </c>
      <c r="E813" s="16" t="s">
        <v>79</v>
      </c>
      <c r="F813" s="16" t="n">
        <v>98026</v>
      </c>
      <c r="G813" s="16" t="s">
        <v>61</v>
      </c>
      <c r="H813" s="16" t="s">
        <v>62</v>
      </c>
      <c r="I813" s="16" t="s">
        <v>74</v>
      </c>
      <c r="J813" s="17" t="n">
        <v>213.92</v>
      </c>
      <c r="K813" s="16" t="n">
        <v>4</v>
      </c>
      <c r="L813" s="18" t="n">
        <v>0</v>
      </c>
      <c r="M813" s="19" t="n">
        <v>62.0368</v>
      </c>
      <c r="N813" s="16" t="str">
        <f aca="false">IF(M813&lt;0,"Loss",IF(M813&lt;50,"Low Profit",IF(M813&lt;200,"Medium Profit","High Profit")))</f>
        <v>Medium Profit</v>
      </c>
      <c r="O813" s="16" t="str">
        <f aca="false">IF(J813&gt;=500,"High Value","Standard")</f>
        <v>Standard</v>
      </c>
      <c r="P813" s="16" t="str">
        <f aca="false">H813&amp;" &gt; "&amp;I813&amp;" ("&amp;K813&amp;" units)"</f>
        <v>Office Supplies &gt; Appliances (4 units)</v>
      </c>
      <c r="Q813" s="16" t="str">
        <f aca="false">VLOOKUP(G813,Region_Manager_Table,2,FALSE())</f>
        <v>Sana Sheikh</v>
      </c>
      <c r="R813" s="16" t="n">
        <f aca="false">INDEX(SLA_Days_Col,MATCH(A813,ShipMode_Col,0))</f>
        <v>2</v>
      </c>
    </row>
    <row r="814" customFormat="false" ht="15" hidden="false" customHeight="false" outlineLevel="0" collapsed="false">
      <c r="A814" s="10" t="s">
        <v>98</v>
      </c>
      <c r="B814" s="10" t="s">
        <v>50</v>
      </c>
      <c r="C814" s="10" t="s">
        <v>51</v>
      </c>
      <c r="D814" s="10" t="s">
        <v>275</v>
      </c>
      <c r="E814" s="10" t="s">
        <v>79</v>
      </c>
      <c r="F814" s="10" t="n">
        <v>98026</v>
      </c>
      <c r="G814" s="10" t="s">
        <v>61</v>
      </c>
      <c r="H814" s="10" t="s">
        <v>71</v>
      </c>
      <c r="I814" s="10" t="s">
        <v>95</v>
      </c>
      <c r="J814" s="13" t="n">
        <v>25.78</v>
      </c>
      <c r="K814" s="10" t="n">
        <v>2</v>
      </c>
      <c r="L814" s="14" t="n">
        <v>0</v>
      </c>
      <c r="M814" s="15" t="n">
        <v>2.578</v>
      </c>
      <c r="N814" s="10" t="str">
        <f aca="false">IF(M814&lt;0,"Loss",IF(M814&lt;50,"Low Profit",IF(M814&lt;200,"Medium Profit","High Profit")))</f>
        <v>Low Profit</v>
      </c>
      <c r="O814" s="10" t="str">
        <f aca="false">IF(J814&gt;=500,"High Value","Standard")</f>
        <v>Standard</v>
      </c>
      <c r="P814" s="10" t="str">
        <f aca="false">H814&amp;" &gt; "&amp;I814&amp;" ("&amp;K814&amp;" units)"</f>
        <v>Technology &gt; Accessories (2 units)</v>
      </c>
      <c r="Q814" s="10" t="str">
        <f aca="false">VLOOKUP(G814,Region_Manager_Table,2,FALSE())</f>
        <v>Sana Sheikh</v>
      </c>
      <c r="R814" s="10" t="n">
        <f aca="false">INDEX(SLA_Days_Col,MATCH(A814,ShipMode_Col,0))</f>
        <v>2</v>
      </c>
    </row>
    <row r="815" customFormat="false" ht="15" hidden="false" customHeight="false" outlineLevel="0" collapsed="false">
      <c r="A815" s="16" t="s">
        <v>204</v>
      </c>
      <c r="B815" s="16" t="s">
        <v>50</v>
      </c>
      <c r="C815" s="16" t="s">
        <v>51</v>
      </c>
      <c r="D815" s="16" t="s">
        <v>276</v>
      </c>
      <c r="E815" s="16" t="s">
        <v>60</v>
      </c>
      <c r="F815" s="16" t="n">
        <v>92704</v>
      </c>
      <c r="G815" s="16" t="s">
        <v>61</v>
      </c>
      <c r="H815" s="16" t="s">
        <v>55</v>
      </c>
      <c r="I815" s="16" t="s">
        <v>69</v>
      </c>
      <c r="J815" s="17" t="n">
        <v>18.28</v>
      </c>
      <c r="K815" s="16" t="n">
        <v>2</v>
      </c>
      <c r="L815" s="18" t="n">
        <v>0</v>
      </c>
      <c r="M815" s="19" t="n">
        <v>6.2152</v>
      </c>
      <c r="N815" s="16" t="str">
        <f aca="false">IF(M815&lt;0,"Loss",IF(M815&lt;50,"Low Profit",IF(M815&lt;200,"Medium Profit","High Profit")))</f>
        <v>Low Profit</v>
      </c>
      <c r="O815" s="16" t="str">
        <f aca="false">IF(J815&gt;=500,"High Value","Standard")</f>
        <v>Standard</v>
      </c>
      <c r="P815" s="16" t="str">
        <f aca="false">H815&amp;" &gt; "&amp;I815&amp;" ("&amp;K815&amp;" units)"</f>
        <v>Furniture &gt; Furnishings (2 units)</v>
      </c>
      <c r="Q815" s="16" t="str">
        <f aca="false">VLOOKUP(G815,Region_Manager_Table,2,FALSE())</f>
        <v>Sana Sheikh</v>
      </c>
      <c r="R815" s="16" t="n">
        <f aca="false">INDEX(SLA_Days_Col,MATCH(A815,ShipMode_Col,0))</f>
        <v>1</v>
      </c>
    </row>
    <row r="816" customFormat="false" ht="15" hidden="false" customHeight="false" outlineLevel="0" collapsed="false">
      <c r="A816" s="10" t="s">
        <v>204</v>
      </c>
      <c r="B816" s="10" t="s">
        <v>50</v>
      </c>
      <c r="C816" s="10" t="s">
        <v>51</v>
      </c>
      <c r="D816" s="10" t="s">
        <v>276</v>
      </c>
      <c r="E816" s="10" t="s">
        <v>60</v>
      </c>
      <c r="F816" s="10" t="n">
        <v>92704</v>
      </c>
      <c r="G816" s="10" t="s">
        <v>61</v>
      </c>
      <c r="H816" s="10" t="s">
        <v>71</v>
      </c>
      <c r="I816" s="10" t="s">
        <v>95</v>
      </c>
      <c r="J816" s="13" t="n">
        <v>1399.93</v>
      </c>
      <c r="K816" s="10" t="n">
        <v>7</v>
      </c>
      <c r="L816" s="14" t="n">
        <v>0</v>
      </c>
      <c r="M816" s="15" t="n">
        <v>601.9699</v>
      </c>
      <c r="N816" s="10" t="str">
        <f aca="false">IF(M816&lt;0,"Loss",IF(M816&lt;50,"Low Profit",IF(M816&lt;200,"Medium Profit","High Profit")))</f>
        <v>High Profit</v>
      </c>
      <c r="O816" s="10" t="str">
        <f aca="false">IF(J816&gt;=500,"High Value","Standard")</f>
        <v>High Value</v>
      </c>
      <c r="P816" s="10" t="str">
        <f aca="false">H816&amp;" &gt; "&amp;I816&amp;" ("&amp;K816&amp;" units)"</f>
        <v>Technology &gt; Accessories (7 units)</v>
      </c>
      <c r="Q816" s="10" t="str">
        <f aca="false">VLOOKUP(G816,Region_Manager_Table,2,FALSE())</f>
        <v>Sana Sheikh</v>
      </c>
      <c r="R816" s="10" t="n">
        <f aca="false">INDEX(SLA_Days_Col,MATCH(A816,ShipMode_Col,0))</f>
        <v>1</v>
      </c>
    </row>
    <row r="817" customFormat="false" ht="15" hidden="false" customHeight="false" outlineLevel="0" collapsed="false">
      <c r="A817" s="16" t="s">
        <v>98</v>
      </c>
      <c r="B817" s="16" t="s">
        <v>58</v>
      </c>
      <c r="C817" s="16" t="s">
        <v>51</v>
      </c>
      <c r="D817" s="16" t="s">
        <v>277</v>
      </c>
      <c r="E817" s="16" t="s">
        <v>85</v>
      </c>
      <c r="F817" s="16" t="n">
        <v>53209</v>
      </c>
      <c r="G817" s="16" t="s">
        <v>83</v>
      </c>
      <c r="H817" s="16" t="s">
        <v>62</v>
      </c>
      <c r="I817" s="16" t="s">
        <v>77</v>
      </c>
      <c r="J817" s="17" t="n">
        <v>51.84</v>
      </c>
      <c r="K817" s="16" t="n">
        <v>8</v>
      </c>
      <c r="L817" s="18" t="n">
        <v>0</v>
      </c>
      <c r="M817" s="19" t="n">
        <v>24.8832</v>
      </c>
      <c r="N817" s="16" t="str">
        <f aca="false">IF(M817&lt;0,"Loss",IF(M817&lt;50,"Low Profit",IF(M817&lt;200,"Medium Profit","High Profit")))</f>
        <v>Low Profit</v>
      </c>
      <c r="O817" s="16" t="str">
        <f aca="false">IF(J817&gt;=500,"High Value","Standard")</f>
        <v>Standard</v>
      </c>
      <c r="P817" s="16" t="str">
        <f aca="false">H817&amp;" &gt; "&amp;I817&amp;" ("&amp;K817&amp;" units)"</f>
        <v>Office Supplies &gt; Paper (8 units)</v>
      </c>
      <c r="Q817" s="16" t="str">
        <f aca="false">VLOOKUP(G817,Region_Manager_Table,2,FALSE())</f>
        <v>Aditya Rao</v>
      </c>
      <c r="R817" s="16" t="n">
        <f aca="false">INDEX(SLA_Days_Col,MATCH(A817,ShipMode_Col,0))</f>
        <v>2</v>
      </c>
    </row>
    <row r="818" customFormat="false" ht="15" hidden="false" customHeight="false" outlineLevel="0" collapsed="false">
      <c r="A818" s="10" t="s">
        <v>64</v>
      </c>
      <c r="B818" s="10" t="s">
        <v>50</v>
      </c>
      <c r="C818" s="10" t="s">
        <v>51</v>
      </c>
      <c r="D818" s="10" t="s">
        <v>91</v>
      </c>
      <c r="E818" s="10" t="s">
        <v>92</v>
      </c>
      <c r="F818" s="10" t="n">
        <v>19140</v>
      </c>
      <c r="G818" s="10" t="s">
        <v>93</v>
      </c>
      <c r="H818" s="10" t="s">
        <v>62</v>
      </c>
      <c r="I818" s="10" t="s">
        <v>77</v>
      </c>
      <c r="J818" s="13" t="n">
        <v>5.344</v>
      </c>
      <c r="K818" s="10" t="n">
        <v>1</v>
      </c>
      <c r="L818" s="14" t="n">
        <v>0.2</v>
      </c>
      <c r="M818" s="15" t="n">
        <v>1.8704</v>
      </c>
      <c r="N818" s="10" t="str">
        <f aca="false">IF(M818&lt;0,"Loss",IF(M818&lt;50,"Low Profit",IF(M818&lt;200,"Medium Profit","High Profit")))</f>
        <v>Low Profit</v>
      </c>
      <c r="O818" s="10" t="str">
        <f aca="false">IF(J818&gt;=500,"High Value","Standard")</f>
        <v>Standard</v>
      </c>
      <c r="P818" s="10" t="str">
        <f aca="false">H818&amp;" &gt; "&amp;I818&amp;" ("&amp;K818&amp;" units)"</f>
        <v>Office Supplies &gt; Paper (1 units)</v>
      </c>
      <c r="Q818" s="10" t="str">
        <f aca="false">VLOOKUP(G818,Region_Manager_Table,2,FALSE())</f>
        <v>Priya Menon</v>
      </c>
      <c r="R818" s="10" t="n">
        <f aca="false">INDEX(SLA_Days_Col,MATCH(A818,ShipMode_Col,0))</f>
        <v>6</v>
      </c>
    </row>
    <row r="819" customFormat="false" ht="15" hidden="false" customHeight="false" outlineLevel="0" collapsed="false">
      <c r="A819" s="16" t="s">
        <v>64</v>
      </c>
      <c r="B819" s="16" t="s">
        <v>50</v>
      </c>
      <c r="C819" s="16" t="s">
        <v>51</v>
      </c>
      <c r="D819" s="16" t="s">
        <v>91</v>
      </c>
      <c r="E819" s="16" t="s">
        <v>92</v>
      </c>
      <c r="F819" s="16" t="n">
        <v>19140</v>
      </c>
      <c r="G819" s="16" t="s">
        <v>93</v>
      </c>
      <c r="H819" s="16" t="s">
        <v>62</v>
      </c>
      <c r="I819" s="16" t="s">
        <v>77</v>
      </c>
      <c r="J819" s="17" t="n">
        <v>41.472</v>
      </c>
      <c r="K819" s="16" t="n">
        <v>8</v>
      </c>
      <c r="L819" s="18" t="n">
        <v>0.2</v>
      </c>
      <c r="M819" s="19" t="n">
        <v>14.5152</v>
      </c>
      <c r="N819" s="16" t="str">
        <f aca="false">IF(M819&lt;0,"Loss",IF(M819&lt;50,"Low Profit",IF(M819&lt;200,"Medium Profit","High Profit")))</f>
        <v>Low Profit</v>
      </c>
      <c r="O819" s="16" t="str">
        <f aca="false">IF(J819&gt;=500,"High Value","Standard")</f>
        <v>Standard</v>
      </c>
      <c r="P819" s="16" t="str">
        <f aca="false">H819&amp;" &gt; "&amp;I819&amp;" ("&amp;K819&amp;" units)"</f>
        <v>Office Supplies &gt; Paper (8 units)</v>
      </c>
      <c r="Q819" s="16" t="str">
        <f aca="false">VLOOKUP(G819,Region_Manager_Table,2,FALSE())</f>
        <v>Priya Menon</v>
      </c>
      <c r="R819" s="16" t="n">
        <f aca="false">INDEX(SLA_Days_Col,MATCH(A819,ShipMode_Col,0))</f>
        <v>6</v>
      </c>
    </row>
    <row r="820" customFormat="false" ht="15" hidden="false" customHeight="false" outlineLevel="0" collapsed="false">
      <c r="A820" s="10" t="s">
        <v>64</v>
      </c>
      <c r="B820" s="10" t="s">
        <v>50</v>
      </c>
      <c r="C820" s="10" t="s">
        <v>51</v>
      </c>
      <c r="D820" s="10" t="s">
        <v>91</v>
      </c>
      <c r="E820" s="10" t="s">
        <v>92</v>
      </c>
      <c r="F820" s="10" t="n">
        <v>19140</v>
      </c>
      <c r="G820" s="10" t="s">
        <v>93</v>
      </c>
      <c r="H820" s="10" t="s">
        <v>62</v>
      </c>
      <c r="I820" s="10" t="s">
        <v>73</v>
      </c>
      <c r="J820" s="13" t="n">
        <v>3.168</v>
      </c>
      <c r="K820" s="10" t="n">
        <v>3</v>
      </c>
      <c r="L820" s="14" t="n">
        <v>0.7</v>
      </c>
      <c r="M820" s="15" t="n">
        <v>-2.4288</v>
      </c>
      <c r="N820" s="10" t="str">
        <f aca="false">IF(M820&lt;0,"Loss",IF(M820&lt;50,"Low Profit",IF(M820&lt;200,"Medium Profit","High Profit")))</f>
        <v>Loss</v>
      </c>
      <c r="O820" s="10" t="str">
        <f aca="false">IF(J820&gt;=500,"High Value","Standard")</f>
        <v>Standard</v>
      </c>
      <c r="P820" s="10" t="str">
        <f aca="false">H820&amp;" &gt; "&amp;I820&amp;" ("&amp;K820&amp;" units)"</f>
        <v>Office Supplies &gt; Binders (3 units)</v>
      </c>
      <c r="Q820" s="10" t="str">
        <f aca="false">VLOOKUP(G820,Region_Manager_Table,2,FALSE())</f>
        <v>Priya Menon</v>
      </c>
      <c r="R820" s="10" t="n">
        <f aca="false">INDEX(SLA_Days_Col,MATCH(A820,ShipMode_Col,0))</f>
        <v>6</v>
      </c>
    </row>
    <row r="821" customFormat="false" ht="15" hidden="false" customHeight="false" outlineLevel="0" collapsed="false">
      <c r="A821" s="16" t="s">
        <v>64</v>
      </c>
      <c r="B821" s="16" t="s">
        <v>50</v>
      </c>
      <c r="C821" s="16" t="s">
        <v>51</v>
      </c>
      <c r="D821" s="16" t="s">
        <v>91</v>
      </c>
      <c r="E821" s="16" t="s">
        <v>92</v>
      </c>
      <c r="F821" s="16" t="n">
        <v>19140</v>
      </c>
      <c r="G821" s="16" t="s">
        <v>93</v>
      </c>
      <c r="H821" s="16" t="s">
        <v>55</v>
      </c>
      <c r="I821" s="16" t="s">
        <v>57</v>
      </c>
      <c r="J821" s="17" t="n">
        <v>1228.465</v>
      </c>
      <c r="K821" s="16" t="n">
        <v>5</v>
      </c>
      <c r="L821" s="18" t="n">
        <v>0.3</v>
      </c>
      <c r="M821" s="19" t="n">
        <v>0</v>
      </c>
      <c r="N821" s="16" t="str">
        <f aca="false">IF(M821&lt;0,"Loss",IF(M821&lt;50,"Low Profit",IF(M821&lt;200,"Medium Profit","High Profit")))</f>
        <v>Low Profit</v>
      </c>
      <c r="O821" s="16" t="str">
        <f aca="false">IF(J821&gt;=500,"High Value","Standard")</f>
        <v>High Value</v>
      </c>
      <c r="P821" s="16" t="str">
        <f aca="false">H821&amp;" &gt; "&amp;I821&amp;" ("&amp;K821&amp;" units)"</f>
        <v>Furniture &gt; Chairs (5 units)</v>
      </c>
      <c r="Q821" s="16" t="str">
        <f aca="false">VLOOKUP(G821,Region_Manager_Table,2,FALSE())</f>
        <v>Priya Menon</v>
      </c>
      <c r="R821" s="16" t="n">
        <f aca="false">INDEX(SLA_Days_Col,MATCH(A821,ShipMode_Col,0))</f>
        <v>6</v>
      </c>
    </row>
    <row r="822" customFormat="false" ht="15" hidden="false" customHeight="false" outlineLevel="0" collapsed="false">
      <c r="A822" s="10" t="s">
        <v>64</v>
      </c>
      <c r="B822" s="10" t="s">
        <v>50</v>
      </c>
      <c r="C822" s="10" t="s">
        <v>51</v>
      </c>
      <c r="D822" s="10" t="s">
        <v>91</v>
      </c>
      <c r="E822" s="10" t="s">
        <v>92</v>
      </c>
      <c r="F822" s="10" t="n">
        <v>19140</v>
      </c>
      <c r="G822" s="10" t="s">
        <v>93</v>
      </c>
      <c r="H822" s="10" t="s">
        <v>62</v>
      </c>
      <c r="I822" s="10" t="s">
        <v>73</v>
      </c>
      <c r="J822" s="13" t="n">
        <v>31.086</v>
      </c>
      <c r="K822" s="10" t="n">
        <v>3</v>
      </c>
      <c r="L822" s="14" t="n">
        <v>0.7</v>
      </c>
      <c r="M822" s="15" t="n">
        <v>-22.7964</v>
      </c>
      <c r="N822" s="10" t="str">
        <f aca="false">IF(M822&lt;0,"Loss",IF(M822&lt;50,"Low Profit",IF(M822&lt;200,"Medium Profit","High Profit")))</f>
        <v>Loss</v>
      </c>
      <c r="O822" s="10" t="str">
        <f aca="false">IF(J822&gt;=500,"High Value","Standard")</f>
        <v>Standard</v>
      </c>
      <c r="P822" s="10" t="str">
        <f aca="false">H822&amp;" &gt; "&amp;I822&amp;" ("&amp;K822&amp;" units)"</f>
        <v>Office Supplies &gt; Binders (3 units)</v>
      </c>
      <c r="Q822" s="10" t="str">
        <f aca="false">VLOOKUP(G822,Region_Manager_Table,2,FALSE())</f>
        <v>Priya Menon</v>
      </c>
      <c r="R822" s="10" t="n">
        <f aca="false">INDEX(SLA_Days_Col,MATCH(A822,ShipMode_Col,0))</f>
        <v>6</v>
      </c>
    </row>
    <row r="823" customFormat="false" ht="15" hidden="false" customHeight="false" outlineLevel="0" collapsed="false">
      <c r="A823" s="16" t="s">
        <v>64</v>
      </c>
      <c r="B823" s="16" t="s">
        <v>50</v>
      </c>
      <c r="C823" s="16" t="s">
        <v>51</v>
      </c>
      <c r="D823" s="16" t="s">
        <v>91</v>
      </c>
      <c r="E823" s="16" t="s">
        <v>92</v>
      </c>
      <c r="F823" s="16" t="n">
        <v>19140</v>
      </c>
      <c r="G823" s="16" t="s">
        <v>93</v>
      </c>
      <c r="H823" s="16" t="s">
        <v>62</v>
      </c>
      <c r="I823" s="16" t="s">
        <v>77</v>
      </c>
      <c r="J823" s="17" t="n">
        <v>335.52</v>
      </c>
      <c r="K823" s="16" t="n">
        <v>4</v>
      </c>
      <c r="L823" s="18" t="n">
        <v>0.2</v>
      </c>
      <c r="M823" s="19" t="n">
        <v>117.432</v>
      </c>
      <c r="N823" s="16" t="str">
        <f aca="false">IF(M823&lt;0,"Loss",IF(M823&lt;50,"Low Profit",IF(M823&lt;200,"Medium Profit","High Profit")))</f>
        <v>Medium Profit</v>
      </c>
      <c r="O823" s="16" t="str">
        <f aca="false">IF(J823&gt;=500,"High Value","Standard")</f>
        <v>Standard</v>
      </c>
      <c r="P823" s="16" t="str">
        <f aca="false">H823&amp;" &gt; "&amp;I823&amp;" ("&amp;K823&amp;" units)"</f>
        <v>Office Supplies &gt; Paper (4 units)</v>
      </c>
      <c r="Q823" s="16" t="str">
        <f aca="false">VLOOKUP(G823,Region_Manager_Table,2,FALSE())</f>
        <v>Priya Menon</v>
      </c>
      <c r="R823" s="16" t="n">
        <f aca="false">INDEX(SLA_Days_Col,MATCH(A823,ShipMode_Col,0))</f>
        <v>6</v>
      </c>
    </row>
    <row r="824" customFormat="false" ht="15" hidden="false" customHeight="false" outlineLevel="0" collapsed="false">
      <c r="A824" s="10" t="s">
        <v>64</v>
      </c>
      <c r="B824" s="10" t="s">
        <v>50</v>
      </c>
      <c r="C824" s="10" t="s">
        <v>51</v>
      </c>
      <c r="D824" s="10" t="s">
        <v>188</v>
      </c>
      <c r="E824" s="10" t="s">
        <v>168</v>
      </c>
      <c r="F824" s="10" t="n">
        <v>7109</v>
      </c>
      <c r="G824" s="10" t="s">
        <v>93</v>
      </c>
      <c r="H824" s="10" t="s">
        <v>71</v>
      </c>
      <c r="I824" s="10" t="s">
        <v>95</v>
      </c>
      <c r="J824" s="13" t="n">
        <v>239.97</v>
      </c>
      <c r="K824" s="10" t="n">
        <v>3</v>
      </c>
      <c r="L824" s="14" t="n">
        <v>0</v>
      </c>
      <c r="M824" s="15" t="n">
        <v>71.991</v>
      </c>
      <c r="N824" s="10" t="str">
        <f aca="false">IF(M824&lt;0,"Loss",IF(M824&lt;50,"Low Profit",IF(M824&lt;200,"Medium Profit","High Profit")))</f>
        <v>Medium Profit</v>
      </c>
      <c r="O824" s="10" t="str">
        <f aca="false">IF(J824&gt;=500,"High Value","Standard")</f>
        <v>Standard</v>
      </c>
      <c r="P824" s="10" t="str">
        <f aca="false">H824&amp;" &gt; "&amp;I824&amp;" ("&amp;K824&amp;" units)"</f>
        <v>Technology &gt; Accessories (3 units)</v>
      </c>
      <c r="Q824" s="10" t="str">
        <f aca="false">VLOOKUP(G824,Region_Manager_Table,2,FALSE())</f>
        <v>Priya Menon</v>
      </c>
      <c r="R824" s="10" t="n">
        <f aca="false">INDEX(SLA_Days_Col,MATCH(A824,ShipMode_Col,0))</f>
        <v>6</v>
      </c>
    </row>
    <row r="825" customFormat="false" ht="15" hidden="false" customHeight="false" outlineLevel="0" collapsed="false">
      <c r="A825" s="16" t="s">
        <v>64</v>
      </c>
      <c r="B825" s="16" t="s">
        <v>50</v>
      </c>
      <c r="C825" s="16" t="s">
        <v>51</v>
      </c>
      <c r="D825" s="16" t="s">
        <v>188</v>
      </c>
      <c r="E825" s="16" t="s">
        <v>168</v>
      </c>
      <c r="F825" s="16" t="n">
        <v>7109</v>
      </c>
      <c r="G825" s="16" t="s">
        <v>93</v>
      </c>
      <c r="H825" s="16" t="s">
        <v>62</v>
      </c>
      <c r="I825" s="16" t="s">
        <v>63</v>
      </c>
      <c r="J825" s="17" t="n">
        <v>9.82</v>
      </c>
      <c r="K825" s="16" t="n">
        <v>2</v>
      </c>
      <c r="L825" s="18" t="n">
        <v>0</v>
      </c>
      <c r="M825" s="19" t="n">
        <v>4.8118</v>
      </c>
      <c r="N825" s="16" t="str">
        <f aca="false">IF(M825&lt;0,"Loss",IF(M825&lt;50,"Low Profit",IF(M825&lt;200,"Medium Profit","High Profit")))</f>
        <v>Low Profit</v>
      </c>
      <c r="O825" s="16" t="str">
        <f aca="false">IF(J825&gt;=500,"High Value","Standard")</f>
        <v>Standard</v>
      </c>
      <c r="P825" s="16" t="str">
        <f aca="false">H825&amp;" &gt; "&amp;I825&amp;" ("&amp;K825&amp;" units)"</f>
        <v>Office Supplies &gt; Labels (2 units)</v>
      </c>
      <c r="Q825" s="16" t="str">
        <f aca="false">VLOOKUP(G825,Region_Manager_Table,2,FALSE())</f>
        <v>Priya Menon</v>
      </c>
      <c r="R825" s="16" t="n">
        <f aca="false">INDEX(SLA_Days_Col,MATCH(A825,ShipMode_Col,0))</f>
        <v>6</v>
      </c>
    </row>
    <row r="826" customFormat="false" ht="15" hidden="false" customHeight="false" outlineLevel="0" collapsed="false">
      <c r="A826" s="10" t="s">
        <v>64</v>
      </c>
      <c r="B826" s="10" t="s">
        <v>50</v>
      </c>
      <c r="C826" s="10" t="s">
        <v>51</v>
      </c>
      <c r="D826" s="10" t="s">
        <v>88</v>
      </c>
      <c r="E826" s="10" t="s">
        <v>60</v>
      </c>
      <c r="F826" s="10" t="n">
        <v>94110</v>
      </c>
      <c r="G826" s="10" t="s">
        <v>61</v>
      </c>
      <c r="H826" s="10" t="s">
        <v>71</v>
      </c>
      <c r="I826" s="10" t="s">
        <v>95</v>
      </c>
      <c r="J826" s="13" t="n">
        <v>67.8</v>
      </c>
      <c r="K826" s="10" t="n">
        <v>4</v>
      </c>
      <c r="L826" s="14" t="n">
        <v>0</v>
      </c>
      <c r="M826" s="15" t="n">
        <v>4.068</v>
      </c>
      <c r="N826" s="10" t="str">
        <f aca="false">IF(M826&lt;0,"Loss",IF(M826&lt;50,"Low Profit",IF(M826&lt;200,"Medium Profit","High Profit")))</f>
        <v>Low Profit</v>
      </c>
      <c r="O826" s="10" t="str">
        <f aca="false">IF(J826&gt;=500,"High Value","Standard")</f>
        <v>Standard</v>
      </c>
      <c r="P826" s="10" t="str">
        <f aca="false">H826&amp;" &gt; "&amp;I826&amp;" ("&amp;K826&amp;" units)"</f>
        <v>Technology &gt; Accessories (4 units)</v>
      </c>
      <c r="Q826" s="10" t="str">
        <f aca="false">VLOOKUP(G826,Region_Manager_Table,2,FALSE())</f>
        <v>Sana Sheikh</v>
      </c>
      <c r="R826" s="10" t="n">
        <f aca="false">INDEX(SLA_Days_Col,MATCH(A826,ShipMode_Col,0))</f>
        <v>6</v>
      </c>
    </row>
    <row r="827" customFormat="false" ht="15" hidden="false" customHeight="false" outlineLevel="0" collapsed="false">
      <c r="A827" s="16" t="s">
        <v>64</v>
      </c>
      <c r="B827" s="16" t="s">
        <v>50</v>
      </c>
      <c r="C827" s="16" t="s">
        <v>51</v>
      </c>
      <c r="D827" s="16" t="s">
        <v>88</v>
      </c>
      <c r="E827" s="16" t="s">
        <v>60</v>
      </c>
      <c r="F827" s="16" t="n">
        <v>94110</v>
      </c>
      <c r="G827" s="16" t="s">
        <v>61</v>
      </c>
      <c r="H827" s="16" t="s">
        <v>71</v>
      </c>
      <c r="I827" s="16" t="s">
        <v>95</v>
      </c>
      <c r="J827" s="17" t="n">
        <v>167.97</v>
      </c>
      <c r="K827" s="16" t="n">
        <v>3</v>
      </c>
      <c r="L827" s="18" t="n">
        <v>0</v>
      </c>
      <c r="M827" s="19" t="n">
        <v>40.3128</v>
      </c>
      <c r="N827" s="16" t="str">
        <f aca="false">IF(M827&lt;0,"Loss",IF(M827&lt;50,"Low Profit",IF(M827&lt;200,"Medium Profit","High Profit")))</f>
        <v>Low Profit</v>
      </c>
      <c r="O827" s="16" t="str">
        <f aca="false">IF(J827&gt;=500,"High Value","Standard")</f>
        <v>Standard</v>
      </c>
      <c r="P827" s="16" t="str">
        <f aca="false">H827&amp;" &gt; "&amp;I827&amp;" ("&amp;K827&amp;" units)"</f>
        <v>Technology &gt; Accessories (3 units)</v>
      </c>
      <c r="Q827" s="16" t="str">
        <f aca="false">VLOOKUP(G827,Region_Manager_Table,2,FALSE())</f>
        <v>Sana Sheikh</v>
      </c>
      <c r="R827" s="16" t="n">
        <f aca="false">INDEX(SLA_Days_Col,MATCH(A827,ShipMode_Col,0))</f>
        <v>6</v>
      </c>
    </row>
    <row r="828" customFormat="false" ht="15" hidden="false" customHeight="false" outlineLevel="0" collapsed="false">
      <c r="A828" s="10" t="s">
        <v>64</v>
      </c>
      <c r="B828" s="10" t="s">
        <v>50</v>
      </c>
      <c r="C828" s="10" t="s">
        <v>51</v>
      </c>
      <c r="D828" s="10" t="s">
        <v>179</v>
      </c>
      <c r="E828" s="10" t="s">
        <v>104</v>
      </c>
      <c r="F828" s="10" t="n">
        <v>55044</v>
      </c>
      <c r="G828" s="10" t="s">
        <v>83</v>
      </c>
      <c r="H828" s="10" t="s">
        <v>62</v>
      </c>
      <c r="I828" s="10" t="s">
        <v>113</v>
      </c>
      <c r="J828" s="13" t="n">
        <v>35</v>
      </c>
      <c r="K828" s="10" t="n">
        <v>7</v>
      </c>
      <c r="L828" s="14" t="n">
        <v>0</v>
      </c>
      <c r="M828" s="15" t="n">
        <v>16.8</v>
      </c>
      <c r="N828" s="10" t="str">
        <f aca="false">IF(M828&lt;0,"Loss",IF(M828&lt;50,"Low Profit",IF(M828&lt;200,"Medium Profit","High Profit")))</f>
        <v>Low Profit</v>
      </c>
      <c r="O828" s="10" t="str">
        <f aca="false">IF(J828&gt;=500,"High Value","Standard")</f>
        <v>Standard</v>
      </c>
      <c r="P828" s="10" t="str">
        <f aca="false">H828&amp;" &gt; "&amp;I828&amp;" ("&amp;K828&amp;" units)"</f>
        <v>Office Supplies &gt; Fasteners (7 units)</v>
      </c>
      <c r="Q828" s="10" t="str">
        <f aca="false">VLOOKUP(G828,Region_Manager_Table,2,FALSE())</f>
        <v>Aditya Rao</v>
      </c>
      <c r="R828" s="10" t="n">
        <f aca="false">INDEX(SLA_Days_Col,MATCH(A828,ShipMode_Col,0))</f>
        <v>6</v>
      </c>
    </row>
    <row r="829" customFormat="false" ht="15" hidden="false" customHeight="false" outlineLevel="0" collapsed="false">
      <c r="A829" s="16" t="s">
        <v>64</v>
      </c>
      <c r="B829" s="16" t="s">
        <v>50</v>
      </c>
      <c r="C829" s="16" t="s">
        <v>51</v>
      </c>
      <c r="D829" s="16" t="s">
        <v>179</v>
      </c>
      <c r="E829" s="16" t="s">
        <v>104</v>
      </c>
      <c r="F829" s="16" t="n">
        <v>55044</v>
      </c>
      <c r="G829" s="16" t="s">
        <v>83</v>
      </c>
      <c r="H829" s="16" t="s">
        <v>62</v>
      </c>
      <c r="I829" s="16" t="s">
        <v>146</v>
      </c>
      <c r="J829" s="17" t="n">
        <v>37.24</v>
      </c>
      <c r="K829" s="16" t="n">
        <v>4</v>
      </c>
      <c r="L829" s="18" t="n">
        <v>0</v>
      </c>
      <c r="M829" s="19" t="n">
        <v>10.7996</v>
      </c>
      <c r="N829" s="16" t="str">
        <f aca="false">IF(M829&lt;0,"Loss",IF(M829&lt;50,"Low Profit",IF(M829&lt;200,"Medium Profit","High Profit")))</f>
        <v>Low Profit</v>
      </c>
      <c r="O829" s="16" t="str">
        <f aca="false">IF(J829&gt;=500,"High Value","Standard")</f>
        <v>Standard</v>
      </c>
      <c r="P829" s="16" t="str">
        <f aca="false">H829&amp;" &gt; "&amp;I829&amp;" ("&amp;K829&amp;" units)"</f>
        <v>Office Supplies &gt; Supplies (4 units)</v>
      </c>
      <c r="Q829" s="16" t="str">
        <f aca="false">VLOOKUP(G829,Region_Manager_Table,2,FALSE())</f>
        <v>Aditya Rao</v>
      </c>
      <c r="R829" s="16" t="n">
        <f aca="false">INDEX(SLA_Days_Col,MATCH(A829,ShipMode_Col,0))</f>
        <v>6</v>
      </c>
    </row>
    <row r="830" customFormat="false" ht="15" hidden="false" customHeight="false" outlineLevel="0" collapsed="false">
      <c r="A830" s="10" t="s">
        <v>64</v>
      </c>
      <c r="B830" s="10" t="s">
        <v>50</v>
      </c>
      <c r="C830" s="10" t="s">
        <v>51</v>
      </c>
      <c r="D830" s="10" t="s">
        <v>179</v>
      </c>
      <c r="E830" s="10" t="s">
        <v>104</v>
      </c>
      <c r="F830" s="10" t="n">
        <v>55044</v>
      </c>
      <c r="G830" s="10" t="s">
        <v>83</v>
      </c>
      <c r="H830" s="10" t="s">
        <v>62</v>
      </c>
      <c r="I830" s="10" t="s">
        <v>96</v>
      </c>
      <c r="J830" s="13" t="n">
        <v>15.28</v>
      </c>
      <c r="K830" s="10" t="n">
        <v>2</v>
      </c>
      <c r="L830" s="14" t="n">
        <v>0</v>
      </c>
      <c r="M830" s="15" t="n">
        <v>7.4872</v>
      </c>
      <c r="N830" s="10" t="str">
        <f aca="false">IF(M830&lt;0,"Loss",IF(M830&lt;50,"Low Profit",IF(M830&lt;200,"Medium Profit","High Profit")))</f>
        <v>Low Profit</v>
      </c>
      <c r="O830" s="10" t="str">
        <f aca="false">IF(J830&gt;=500,"High Value","Standard")</f>
        <v>Standard</v>
      </c>
      <c r="P830" s="10" t="str">
        <f aca="false">H830&amp;" &gt; "&amp;I830&amp;" ("&amp;K830&amp;" units)"</f>
        <v>Office Supplies &gt; Envelopes (2 units)</v>
      </c>
      <c r="Q830" s="10" t="str">
        <f aca="false">VLOOKUP(G830,Region_Manager_Table,2,FALSE())</f>
        <v>Aditya Rao</v>
      </c>
      <c r="R830" s="10" t="n">
        <f aca="false">INDEX(SLA_Days_Col,MATCH(A830,ShipMode_Col,0))</f>
        <v>6</v>
      </c>
    </row>
    <row r="831" customFormat="false" ht="15" hidden="false" customHeight="false" outlineLevel="0" collapsed="false">
      <c r="A831" s="16" t="s">
        <v>49</v>
      </c>
      <c r="B831" s="16" t="s">
        <v>50</v>
      </c>
      <c r="C831" s="16" t="s">
        <v>51</v>
      </c>
      <c r="D831" s="16" t="s">
        <v>278</v>
      </c>
      <c r="E831" s="16" t="s">
        <v>53</v>
      </c>
      <c r="F831" s="16" t="n">
        <v>41042</v>
      </c>
      <c r="G831" s="16" t="s">
        <v>54</v>
      </c>
      <c r="H831" s="16" t="s">
        <v>55</v>
      </c>
      <c r="I831" s="16" t="s">
        <v>57</v>
      </c>
      <c r="J831" s="17" t="n">
        <v>301.96</v>
      </c>
      <c r="K831" s="16" t="n">
        <v>2</v>
      </c>
      <c r="L831" s="18" t="n">
        <v>0</v>
      </c>
      <c r="M831" s="19" t="n">
        <v>90.588</v>
      </c>
      <c r="N831" s="16" t="str">
        <f aca="false">IF(M831&lt;0,"Loss",IF(M831&lt;50,"Low Profit",IF(M831&lt;200,"Medium Profit","High Profit")))</f>
        <v>Medium Profit</v>
      </c>
      <c r="O831" s="16" t="str">
        <f aca="false">IF(J831&gt;=500,"High Value","Standard")</f>
        <v>Standard</v>
      </c>
      <c r="P831" s="16" t="str">
        <f aca="false">H831&amp;" &gt; "&amp;I831&amp;" ("&amp;K831&amp;" units)"</f>
        <v>Furniture &gt; Chairs (2 units)</v>
      </c>
      <c r="Q831" s="16" t="str">
        <f aca="false">VLOOKUP(G831,Region_Manager_Table,2,FALSE())</f>
        <v>Karthik Iyer</v>
      </c>
      <c r="R831" s="16" t="n">
        <f aca="false">INDEX(SLA_Days_Col,MATCH(A831,ShipMode_Col,0))</f>
        <v>4</v>
      </c>
    </row>
    <row r="832" customFormat="false" ht="15" hidden="false" customHeight="false" outlineLevel="0" collapsed="false">
      <c r="A832" s="10" t="s">
        <v>49</v>
      </c>
      <c r="B832" s="10" t="s">
        <v>50</v>
      </c>
      <c r="C832" s="10" t="s">
        <v>51</v>
      </c>
      <c r="D832" s="10" t="s">
        <v>278</v>
      </c>
      <c r="E832" s="10" t="s">
        <v>53</v>
      </c>
      <c r="F832" s="10" t="n">
        <v>41042</v>
      </c>
      <c r="G832" s="10" t="s">
        <v>54</v>
      </c>
      <c r="H832" s="10" t="s">
        <v>62</v>
      </c>
      <c r="I832" s="10" t="s">
        <v>74</v>
      </c>
      <c r="J832" s="13" t="n">
        <v>180.66</v>
      </c>
      <c r="K832" s="10" t="n">
        <v>3</v>
      </c>
      <c r="L832" s="14" t="n">
        <v>0</v>
      </c>
      <c r="M832" s="15" t="n">
        <v>50.5848</v>
      </c>
      <c r="N832" s="10" t="str">
        <f aca="false">IF(M832&lt;0,"Loss",IF(M832&lt;50,"Low Profit",IF(M832&lt;200,"Medium Profit","High Profit")))</f>
        <v>Medium Profit</v>
      </c>
      <c r="O832" s="10" t="str">
        <f aca="false">IF(J832&gt;=500,"High Value","Standard")</f>
        <v>Standard</v>
      </c>
      <c r="P832" s="10" t="str">
        <f aca="false">H832&amp;" &gt; "&amp;I832&amp;" ("&amp;K832&amp;" units)"</f>
        <v>Office Supplies &gt; Appliances (3 units)</v>
      </c>
      <c r="Q832" s="10" t="str">
        <f aca="false">VLOOKUP(G832,Region_Manager_Table,2,FALSE())</f>
        <v>Karthik Iyer</v>
      </c>
      <c r="R832" s="10" t="n">
        <f aca="false">INDEX(SLA_Days_Col,MATCH(A832,ShipMode_Col,0))</f>
        <v>4</v>
      </c>
    </row>
    <row r="833" customFormat="false" ht="15" hidden="false" customHeight="false" outlineLevel="0" collapsed="false">
      <c r="A833" s="16" t="s">
        <v>49</v>
      </c>
      <c r="B833" s="16" t="s">
        <v>50</v>
      </c>
      <c r="C833" s="16" t="s">
        <v>51</v>
      </c>
      <c r="D833" s="16" t="s">
        <v>278</v>
      </c>
      <c r="E833" s="16" t="s">
        <v>53</v>
      </c>
      <c r="F833" s="16" t="n">
        <v>41042</v>
      </c>
      <c r="G833" s="16" t="s">
        <v>54</v>
      </c>
      <c r="H833" s="16" t="s">
        <v>71</v>
      </c>
      <c r="I833" s="16" t="s">
        <v>72</v>
      </c>
      <c r="J833" s="17" t="n">
        <v>191.98</v>
      </c>
      <c r="K833" s="16" t="n">
        <v>2</v>
      </c>
      <c r="L833" s="18" t="n">
        <v>0</v>
      </c>
      <c r="M833" s="19" t="n">
        <v>51.8346</v>
      </c>
      <c r="N833" s="16" t="str">
        <f aca="false">IF(M833&lt;0,"Loss",IF(M833&lt;50,"Low Profit",IF(M833&lt;200,"Medium Profit","High Profit")))</f>
        <v>Medium Profit</v>
      </c>
      <c r="O833" s="16" t="str">
        <f aca="false">IF(J833&gt;=500,"High Value","Standard")</f>
        <v>Standard</v>
      </c>
      <c r="P833" s="16" t="str">
        <f aca="false">H833&amp;" &gt; "&amp;I833&amp;" ("&amp;K833&amp;" units)"</f>
        <v>Technology &gt; Phones (2 units)</v>
      </c>
      <c r="Q833" s="16" t="str">
        <f aca="false">VLOOKUP(G833,Region_Manager_Table,2,FALSE())</f>
        <v>Karthik Iyer</v>
      </c>
      <c r="R833" s="16" t="n">
        <f aca="false">INDEX(SLA_Days_Col,MATCH(A833,ShipMode_Col,0))</f>
        <v>4</v>
      </c>
    </row>
    <row r="834" customFormat="false" ht="15" hidden="false" customHeight="false" outlineLevel="0" collapsed="false">
      <c r="A834" s="10" t="s">
        <v>49</v>
      </c>
      <c r="B834" s="10" t="s">
        <v>50</v>
      </c>
      <c r="C834" s="10" t="s">
        <v>51</v>
      </c>
      <c r="D834" s="10" t="s">
        <v>278</v>
      </c>
      <c r="E834" s="10" t="s">
        <v>53</v>
      </c>
      <c r="F834" s="10" t="n">
        <v>41042</v>
      </c>
      <c r="G834" s="10" t="s">
        <v>54</v>
      </c>
      <c r="H834" s="10" t="s">
        <v>71</v>
      </c>
      <c r="I834" s="10" t="s">
        <v>72</v>
      </c>
      <c r="J834" s="13" t="n">
        <v>65.99</v>
      </c>
      <c r="K834" s="10" t="n">
        <v>1</v>
      </c>
      <c r="L834" s="14" t="n">
        <v>0</v>
      </c>
      <c r="M834" s="15" t="n">
        <v>17.1574</v>
      </c>
      <c r="N834" s="10" t="str">
        <f aca="false">IF(M834&lt;0,"Loss",IF(M834&lt;50,"Low Profit",IF(M834&lt;200,"Medium Profit","High Profit")))</f>
        <v>Low Profit</v>
      </c>
      <c r="O834" s="10" t="str">
        <f aca="false">IF(J834&gt;=500,"High Value","Standard")</f>
        <v>Standard</v>
      </c>
      <c r="P834" s="10" t="str">
        <f aca="false">H834&amp;" &gt; "&amp;I834&amp;" ("&amp;K834&amp;" units)"</f>
        <v>Technology &gt; Phones (1 units)</v>
      </c>
      <c r="Q834" s="10" t="str">
        <f aca="false">VLOOKUP(G834,Region_Manager_Table,2,FALSE())</f>
        <v>Karthik Iyer</v>
      </c>
      <c r="R834" s="10" t="n">
        <f aca="false">INDEX(SLA_Days_Col,MATCH(A834,ShipMode_Col,0))</f>
        <v>4</v>
      </c>
    </row>
    <row r="835" customFormat="false" ht="15" hidden="false" customHeight="false" outlineLevel="0" collapsed="false">
      <c r="A835" s="16" t="s">
        <v>64</v>
      </c>
      <c r="B835" s="16" t="s">
        <v>58</v>
      </c>
      <c r="C835" s="16" t="s">
        <v>51</v>
      </c>
      <c r="D835" s="16" t="s">
        <v>177</v>
      </c>
      <c r="E835" s="16" t="s">
        <v>66</v>
      </c>
      <c r="F835" s="16" t="n">
        <v>33614</v>
      </c>
      <c r="G835" s="16" t="s">
        <v>54</v>
      </c>
      <c r="H835" s="16" t="s">
        <v>62</v>
      </c>
      <c r="I835" s="16" t="s">
        <v>70</v>
      </c>
      <c r="J835" s="17" t="n">
        <v>35.216</v>
      </c>
      <c r="K835" s="16" t="n">
        <v>2</v>
      </c>
      <c r="L835" s="18" t="n">
        <v>0.2</v>
      </c>
      <c r="M835" s="19" t="n">
        <v>2.6412</v>
      </c>
      <c r="N835" s="16" t="str">
        <f aca="false">IF(M835&lt;0,"Loss",IF(M835&lt;50,"Low Profit",IF(M835&lt;200,"Medium Profit","High Profit")))</f>
        <v>Low Profit</v>
      </c>
      <c r="O835" s="16" t="str">
        <f aca="false">IF(J835&gt;=500,"High Value","Standard")</f>
        <v>Standard</v>
      </c>
      <c r="P835" s="16" t="str">
        <f aca="false">H835&amp;" &gt; "&amp;I835&amp;" ("&amp;K835&amp;" units)"</f>
        <v>Office Supplies &gt; Art (2 units)</v>
      </c>
      <c r="Q835" s="16" t="str">
        <f aca="false">VLOOKUP(G835,Region_Manager_Table,2,FALSE())</f>
        <v>Karthik Iyer</v>
      </c>
      <c r="R835" s="16" t="n">
        <f aca="false">INDEX(SLA_Days_Col,MATCH(A835,ShipMode_Col,0))</f>
        <v>6</v>
      </c>
    </row>
    <row r="836" customFormat="false" ht="15" hidden="false" customHeight="false" outlineLevel="0" collapsed="false">
      <c r="A836" s="10" t="s">
        <v>64</v>
      </c>
      <c r="B836" s="10" t="s">
        <v>58</v>
      </c>
      <c r="C836" s="10" t="s">
        <v>51</v>
      </c>
      <c r="D836" s="10" t="s">
        <v>177</v>
      </c>
      <c r="E836" s="10" t="s">
        <v>66</v>
      </c>
      <c r="F836" s="10" t="n">
        <v>33614</v>
      </c>
      <c r="G836" s="10" t="s">
        <v>54</v>
      </c>
      <c r="H836" s="10" t="s">
        <v>62</v>
      </c>
      <c r="I836" s="10" t="s">
        <v>74</v>
      </c>
      <c r="J836" s="13" t="n">
        <v>23.696</v>
      </c>
      <c r="K836" s="10" t="n">
        <v>2</v>
      </c>
      <c r="L836" s="14" t="n">
        <v>0.2</v>
      </c>
      <c r="M836" s="15" t="n">
        <v>6.5164</v>
      </c>
      <c r="N836" s="10" t="str">
        <f aca="false">IF(M836&lt;0,"Loss",IF(M836&lt;50,"Low Profit",IF(M836&lt;200,"Medium Profit","High Profit")))</f>
        <v>Low Profit</v>
      </c>
      <c r="O836" s="10" t="str">
        <f aca="false">IF(J836&gt;=500,"High Value","Standard")</f>
        <v>Standard</v>
      </c>
      <c r="P836" s="10" t="str">
        <f aca="false">H836&amp;" &gt; "&amp;I836&amp;" ("&amp;K836&amp;" units)"</f>
        <v>Office Supplies &gt; Appliances (2 units)</v>
      </c>
      <c r="Q836" s="10" t="str">
        <f aca="false">VLOOKUP(G836,Region_Manager_Table,2,FALSE())</f>
        <v>Karthik Iyer</v>
      </c>
      <c r="R836" s="10" t="n">
        <f aca="false">INDEX(SLA_Days_Col,MATCH(A836,ShipMode_Col,0))</f>
        <v>6</v>
      </c>
    </row>
    <row r="837" customFormat="false" ht="15" hidden="false" customHeight="false" outlineLevel="0" collapsed="false">
      <c r="A837" s="16" t="s">
        <v>64</v>
      </c>
      <c r="B837" s="16" t="s">
        <v>58</v>
      </c>
      <c r="C837" s="16" t="s">
        <v>51</v>
      </c>
      <c r="D837" s="16" t="s">
        <v>177</v>
      </c>
      <c r="E837" s="16" t="s">
        <v>66</v>
      </c>
      <c r="F837" s="16" t="n">
        <v>33614</v>
      </c>
      <c r="G837" s="16" t="s">
        <v>54</v>
      </c>
      <c r="H837" s="16" t="s">
        <v>71</v>
      </c>
      <c r="I837" s="16" t="s">
        <v>159</v>
      </c>
      <c r="J837" s="17" t="n">
        <v>265.475</v>
      </c>
      <c r="K837" s="16" t="n">
        <v>1</v>
      </c>
      <c r="L837" s="18" t="n">
        <v>0.5</v>
      </c>
      <c r="M837" s="19" t="n">
        <v>-111.4995</v>
      </c>
      <c r="N837" s="16" t="str">
        <f aca="false">IF(M837&lt;0,"Loss",IF(M837&lt;50,"Low Profit",IF(M837&lt;200,"Medium Profit","High Profit")))</f>
        <v>Loss</v>
      </c>
      <c r="O837" s="16" t="str">
        <f aca="false">IF(J837&gt;=500,"High Value","Standard")</f>
        <v>Standard</v>
      </c>
      <c r="P837" s="16" t="str">
        <f aca="false">H837&amp;" &gt; "&amp;I837&amp;" ("&amp;K837&amp;" units)"</f>
        <v>Technology &gt; Machines (1 units)</v>
      </c>
      <c r="Q837" s="16" t="str">
        <f aca="false">VLOOKUP(G837,Region_Manager_Table,2,FALSE())</f>
        <v>Karthik Iyer</v>
      </c>
      <c r="R837" s="16" t="n">
        <f aca="false">INDEX(SLA_Days_Col,MATCH(A837,ShipMode_Col,0))</f>
        <v>6</v>
      </c>
    </row>
    <row r="838" customFormat="false" ht="15" hidden="false" customHeight="false" outlineLevel="0" collapsed="false">
      <c r="A838" s="10" t="s">
        <v>49</v>
      </c>
      <c r="B838" s="10" t="s">
        <v>50</v>
      </c>
      <c r="C838" s="10" t="s">
        <v>51</v>
      </c>
      <c r="D838" s="10" t="s">
        <v>258</v>
      </c>
      <c r="E838" s="10" t="s">
        <v>82</v>
      </c>
      <c r="F838" s="10" t="n">
        <v>75701</v>
      </c>
      <c r="G838" s="10" t="s">
        <v>83</v>
      </c>
      <c r="H838" s="10" t="s">
        <v>62</v>
      </c>
      <c r="I838" s="10" t="s">
        <v>73</v>
      </c>
      <c r="J838" s="13" t="n">
        <v>51.184</v>
      </c>
      <c r="K838" s="10" t="n">
        <v>4</v>
      </c>
      <c r="L838" s="14" t="n">
        <v>0.8</v>
      </c>
      <c r="M838" s="15" t="n">
        <v>-79.3352</v>
      </c>
      <c r="N838" s="10" t="str">
        <f aca="false">IF(M838&lt;0,"Loss",IF(M838&lt;50,"Low Profit",IF(M838&lt;200,"Medium Profit","High Profit")))</f>
        <v>Loss</v>
      </c>
      <c r="O838" s="10" t="str">
        <f aca="false">IF(J838&gt;=500,"High Value","Standard")</f>
        <v>Standard</v>
      </c>
      <c r="P838" s="10" t="str">
        <f aca="false">H838&amp;" &gt; "&amp;I838&amp;" ("&amp;K838&amp;" units)"</f>
        <v>Office Supplies &gt; Binders (4 units)</v>
      </c>
      <c r="Q838" s="10" t="str">
        <f aca="false">VLOOKUP(G838,Region_Manager_Table,2,FALSE())</f>
        <v>Aditya Rao</v>
      </c>
      <c r="R838" s="10" t="n">
        <f aca="false">INDEX(SLA_Days_Col,MATCH(A838,ShipMode_Col,0))</f>
        <v>4</v>
      </c>
    </row>
    <row r="839" customFormat="false" ht="15" hidden="false" customHeight="false" outlineLevel="0" collapsed="false">
      <c r="A839" s="16" t="s">
        <v>64</v>
      </c>
      <c r="B839" s="16" t="s">
        <v>80</v>
      </c>
      <c r="C839" s="16" t="s">
        <v>51</v>
      </c>
      <c r="D839" s="16" t="s">
        <v>126</v>
      </c>
      <c r="E839" s="16" t="s">
        <v>122</v>
      </c>
      <c r="F839" s="16" t="n">
        <v>38401</v>
      </c>
      <c r="G839" s="16" t="s">
        <v>54</v>
      </c>
      <c r="H839" s="16" t="s">
        <v>62</v>
      </c>
      <c r="I839" s="16" t="s">
        <v>77</v>
      </c>
      <c r="J839" s="17" t="n">
        <v>9.664</v>
      </c>
      <c r="K839" s="16" t="n">
        <v>2</v>
      </c>
      <c r="L839" s="18" t="n">
        <v>0.2</v>
      </c>
      <c r="M839" s="19" t="n">
        <v>3.2616</v>
      </c>
      <c r="N839" s="16" t="str">
        <f aca="false">IF(M839&lt;0,"Loss",IF(M839&lt;50,"Low Profit",IF(M839&lt;200,"Medium Profit","High Profit")))</f>
        <v>Low Profit</v>
      </c>
      <c r="O839" s="16" t="str">
        <f aca="false">IF(J839&gt;=500,"High Value","Standard")</f>
        <v>Standard</v>
      </c>
      <c r="P839" s="16" t="str">
        <f aca="false">H839&amp;" &gt; "&amp;I839&amp;" ("&amp;K839&amp;" units)"</f>
        <v>Office Supplies &gt; Paper (2 units)</v>
      </c>
      <c r="Q839" s="16" t="str">
        <f aca="false">VLOOKUP(G839,Region_Manager_Table,2,FALSE())</f>
        <v>Karthik Iyer</v>
      </c>
      <c r="R839" s="16" t="n">
        <f aca="false">INDEX(SLA_Days_Col,MATCH(A839,ShipMode_Col,0))</f>
        <v>6</v>
      </c>
    </row>
    <row r="840" customFormat="false" ht="15" hidden="false" customHeight="false" outlineLevel="0" collapsed="false">
      <c r="A840" s="10" t="s">
        <v>64</v>
      </c>
      <c r="B840" s="10" t="s">
        <v>58</v>
      </c>
      <c r="C840" s="10" t="s">
        <v>51</v>
      </c>
      <c r="D840" s="10" t="s">
        <v>81</v>
      </c>
      <c r="E840" s="10" t="s">
        <v>82</v>
      </c>
      <c r="F840" s="10" t="n">
        <v>76106</v>
      </c>
      <c r="G840" s="10" t="s">
        <v>83</v>
      </c>
      <c r="H840" s="10" t="s">
        <v>71</v>
      </c>
      <c r="I840" s="10" t="s">
        <v>72</v>
      </c>
      <c r="J840" s="13" t="n">
        <v>21.072</v>
      </c>
      <c r="K840" s="10" t="n">
        <v>3</v>
      </c>
      <c r="L840" s="14" t="n">
        <v>0.2</v>
      </c>
      <c r="M840" s="15" t="n">
        <v>1.5804</v>
      </c>
      <c r="N840" s="10" t="str">
        <f aca="false">IF(M840&lt;0,"Loss",IF(M840&lt;50,"Low Profit",IF(M840&lt;200,"Medium Profit","High Profit")))</f>
        <v>Low Profit</v>
      </c>
      <c r="O840" s="10" t="str">
        <f aca="false">IF(J840&gt;=500,"High Value","Standard")</f>
        <v>Standard</v>
      </c>
      <c r="P840" s="10" t="str">
        <f aca="false">H840&amp;" &gt; "&amp;I840&amp;" ("&amp;K840&amp;" units)"</f>
        <v>Technology &gt; Phones (3 units)</v>
      </c>
      <c r="Q840" s="10" t="str">
        <f aca="false">VLOOKUP(G840,Region_Manager_Table,2,FALSE())</f>
        <v>Aditya Rao</v>
      </c>
      <c r="R840" s="10" t="n">
        <f aca="false">INDEX(SLA_Days_Col,MATCH(A840,ShipMode_Col,0))</f>
        <v>6</v>
      </c>
    </row>
    <row r="841" customFormat="false" ht="15" hidden="false" customHeight="false" outlineLevel="0" collapsed="false">
      <c r="A841" s="16" t="s">
        <v>64</v>
      </c>
      <c r="B841" s="16" t="s">
        <v>58</v>
      </c>
      <c r="C841" s="16" t="s">
        <v>51</v>
      </c>
      <c r="D841" s="16" t="s">
        <v>111</v>
      </c>
      <c r="E841" s="16" t="s">
        <v>112</v>
      </c>
      <c r="F841" s="16" t="n">
        <v>10035</v>
      </c>
      <c r="G841" s="16" t="s">
        <v>93</v>
      </c>
      <c r="H841" s="16" t="s">
        <v>62</v>
      </c>
      <c r="I841" s="16" t="s">
        <v>70</v>
      </c>
      <c r="J841" s="17" t="n">
        <v>60.45</v>
      </c>
      <c r="K841" s="16" t="n">
        <v>3</v>
      </c>
      <c r="L841" s="18" t="n">
        <v>0</v>
      </c>
      <c r="M841" s="19" t="n">
        <v>16.3215</v>
      </c>
      <c r="N841" s="16" t="str">
        <f aca="false">IF(M841&lt;0,"Loss",IF(M841&lt;50,"Low Profit",IF(M841&lt;200,"Medium Profit","High Profit")))</f>
        <v>Low Profit</v>
      </c>
      <c r="O841" s="16" t="str">
        <f aca="false">IF(J841&gt;=500,"High Value","Standard")</f>
        <v>Standard</v>
      </c>
      <c r="P841" s="16" t="str">
        <f aca="false">H841&amp;" &gt; "&amp;I841&amp;" ("&amp;K841&amp;" units)"</f>
        <v>Office Supplies &gt; Art (3 units)</v>
      </c>
      <c r="Q841" s="16" t="str">
        <f aca="false">VLOOKUP(G841,Region_Manager_Table,2,FALSE())</f>
        <v>Priya Menon</v>
      </c>
      <c r="R841" s="16" t="n">
        <f aca="false">INDEX(SLA_Days_Col,MATCH(A841,ShipMode_Col,0))</f>
        <v>6</v>
      </c>
    </row>
    <row r="842" customFormat="false" ht="15" hidden="false" customHeight="false" outlineLevel="0" collapsed="false">
      <c r="A842" s="10" t="s">
        <v>64</v>
      </c>
      <c r="B842" s="10" t="s">
        <v>58</v>
      </c>
      <c r="C842" s="10" t="s">
        <v>51</v>
      </c>
      <c r="D842" s="10" t="s">
        <v>111</v>
      </c>
      <c r="E842" s="10" t="s">
        <v>112</v>
      </c>
      <c r="F842" s="10" t="n">
        <v>10035</v>
      </c>
      <c r="G842" s="10" t="s">
        <v>93</v>
      </c>
      <c r="H842" s="10" t="s">
        <v>62</v>
      </c>
      <c r="I842" s="10" t="s">
        <v>70</v>
      </c>
      <c r="J842" s="13" t="n">
        <v>11.52</v>
      </c>
      <c r="K842" s="10" t="n">
        <v>4</v>
      </c>
      <c r="L842" s="14" t="n">
        <v>0</v>
      </c>
      <c r="M842" s="15" t="n">
        <v>3.3408</v>
      </c>
      <c r="N842" s="10" t="str">
        <f aca="false">IF(M842&lt;0,"Loss",IF(M842&lt;50,"Low Profit",IF(M842&lt;200,"Medium Profit","High Profit")))</f>
        <v>Low Profit</v>
      </c>
      <c r="O842" s="10" t="str">
        <f aca="false">IF(J842&gt;=500,"High Value","Standard")</f>
        <v>Standard</v>
      </c>
      <c r="P842" s="10" t="str">
        <f aca="false">H842&amp;" &gt; "&amp;I842&amp;" ("&amp;K842&amp;" units)"</f>
        <v>Office Supplies &gt; Art (4 units)</v>
      </c>
      <c r="Q842" s="10" t="str">
        <f aca="false">VLOOKUP(G842,Region_Manager_Table,2,FALSE())</f>
        <v>Priya Menon</v>
      </c>
      <c r="R842" s="10" t="n">
        <f aca="false">INDEX(SLA_Days_Col,MATCH(A842,ShipMode_Col,0))</f>
        <v>6</v>
      </c>
    </row>
    <row r="843" customFormat="false" ht="15" hidden="false" customHeight="false" outlineLevel="0" collapsed="false">
      <c r="A843" s="16" t="s">
        <v>64</v>
      </c>
      <c r="B843" s="16" t="s">
        <v>58</v>
      </c>
      <c r="C843" s="16" t="s">
        <v>51</v>
      </c>
      <c r="D843" s="16" t="s">
        <v>111</v>
      </c>
      <c r="E843" s="16" t="s">
        <v>112</v>
      </c>
      <c r="F843" s="16" t="n">
        <v>10035</v>
      </c>
      <c r="G843" s="16" t="s">
        <v>93</v>
      </c>
      <c r="H843" s="16" t="s">
        <v>55</v>
      </c>
      <c r="I843" s="16" t="s">
        <v>56</v>
      </c>
      <c r="J843" s="17" t="n">
        <v>186.048</v>
      </c>
      <c r="K843" s="16" t="n">
        <v>4</v>
      </c>
      <c r="L843" s="18" t="n">
        <v>0.2</v>
      </c>
      <c r="M843" s="19" t="n">
        <v>9.3024</v>
      </c>
      <c r="N843" s="16" t="str">
        <f aca="false">IF(M843&lt;0,"Loss",IF(M843&lt;50,"Low Profit",IF(M843&lt;200,"Medium Profit","High Profit")))</f>
        <v>Low Profit</v>
      </c>
      <c r="O843" s="16" t="str">
        <f aca="false">IF(J843&gt;=500,"High Value","Standard")</f>
        <v>Standard</v>
      </c>
      <c r="P843" s="16" t="str">
        <f aca="false">H843&amp;" &gt; "&amp;I843&amp;" ("&amp;K843&amp;" units)"</f>
        <v>Furniture &gt; Bookcases (4 units)</v>
      </c>
      <c r="Q843" s="16" t="str">
        <f aca="false">VLOOKUP(G843,Region_Manager_Table,2,FALSE())</f>
        <v>Priya Menon</v>
      </c>
      <c r="R843" s="16" t="n">
        <f aca="false">INDEX(SLA_Days_Col,MATCH(A843,ShipMode_Col,0))</f>
        <v>6</v>
      </c>
    </row>
    <row r="844" customFormat="false" ht="15" hidden="false" customHeight="false" outlineLevel="0" collapsed="false">
      <c r="A844" s="10" t="s">
        <v>98</v>
      </c>
      <c r="B844" s="10" t="s">
        <v>58</v>
      </c>
      <c r="C844" s="10" t="s">
        <v>51</v>
      </c>
      <c r="D844" s="10" t="s">
        <v>59</v>
      </c>
      <c r="E844" s="10" t="s">
        <v>60</v>
      </c>
      <c r="F844" s="10" t="n">
        <v>90036</v>
      </c>
      <c r="G844" s="10" t="s">
        <v>61</v>
      </c>
      <c r="H844" s="10" t="s">
        <v>62</v>
      </c>
      <c r="I844" s="10" t="s">
        <v>73</v>
      </c>
      <c r="J844" s="13" t="n">
        <v>37.44</v>
      </c>
      <c r="K844" s="10" t="n">
        <v>4</v>
      </c>
      <c r="L844" s="14" t="n">
        <v>0.2</v>
      </c>
      <c r="M844" s="15" t="n">
        <v>11.7</v>
      </c>
      <c r="N844" s="10" t="str">
        <f aca="false">IF(M844&lt;0,"Loss",IF(M844&lt;50,"Low Profit",IF(M844&lt;200,"Medium Profit","High Profit")))</f>
        <v>Low Profit</v>
      </c>
      <c r="O844" s="10" t="str">
        <f aca="false">IF(J844&gt;=500,"High Value","Standard")</f>
        <v>Standard</v>
      </c>
      <c r="P844" s="10" t="str">
        <f aca="false">H844&amp;" &gt; "&amp;I844&amp;" ("&amp;K844&amp;" units)"</f>
        <v>Office Supplies &gt; Binders (4 units)</v>
      </c>
      <c r="Q844" s="10" t="str">
        <f aca="false">VLOOKUP(G844,Region_Manager_Table,2,FALSE())</f>
        <v>Sana Sheikh</v>
      </c>
      <c r="R844" s="10" t="n">
        <f aca="false">INDEX(SLA_Days_Col,MATCH(A844,ShipMode_Col,0))</f>
        <v>2</v>
      </c>
    </row>
    <row r="845" customFormat="false" ht="15" hidden="false" customHeight="false" outlineLevel="0" collapsed="false">
      <c r="A845" s="16" t="s">
        <v>98</v>
      </c>
      <c r="B845" s="16" t="s">
        <v>58</v>
      </c>
      <c r="C845" s="16" t="s">
        <v>51</v>
      </c>
      <c r="D845" s="16" t="s">
        <v>59</v>
      </c>
      <c r="E845" s="16" t="s">
        <v>60</v>
      </c>
      <c r="F845" s="16" t="n">
        <v>90036</v>
      </c>
      <c r="G845" s="16" t="s">
        <v>61</v>
      </c>
      <c r="H845" s="16" t="s">
        <v>62</v>
      </c>
      <c r="I845" s="16" t="s">
        <v>73</v>
      </c>
      <c r="J845" s="17" t="n">
        <v>26.976</v>
      </c>
      <c r="K845" s="16" t="n">
        <v>4</v>
      </c>
      <c r="L845" s="18" t="n">
        <v>0.2</v>
      </c>
      <c r="M845" s="19" t="n">
        <v>8.7672</v>
      </c>
      <c r="N845" s="16" t="str">
        <f aca="false">IF(M845&lt;0,"Loss",IF(M845&lt;50,"Low Profit",IF(M845&lt;200,"Medium Profit","High Profit")))</f>
        <v>Low Profit</v>
      </c>
      <c r="O845" s="16" t="str">
        <f aca="false">IF(J845&gt;=500,"High Value","Standard")</f>
        <v>Standard</v>
      </c>
      <c r="P845" s="16" t="str">
        <f aca="false">H845&amp;" &gt; "&amp;I845&amp;" ("&amp;K845&amp;" units)"</f>
        <v>Office Supplies &gt; Binders (4 units)</v>
      </c>
      <c r="Q845" s="16" t="str">
        <f aca="false">VLOOKUP(G845,Region_Manager_Table,2,FALSE())</f>
        <v>Sana Sheikh</v>
      </c>
      <c r="R845" s="16" t="n">
        <f aca="false">INDEX(SLA_Days_Col,MATCH(A845,ShipMode_Col,0))</f>
        <v>2</v>
      </c>
    </row>
    <row r="846" customFormat="false" ht="15" hidden="false" customHeight="false" outlineLevel="0" collapsed="false">
      <c r="A846" s="10" t="s">
        <v>98</v>
      </c>
      <c r="B846" s="10" t="s">
        <v>58</v>
      </c>
      <c r="C846" s="10" t="s">
        <v>51</v>
      </c>
      <c r="D846" s="10" t="s">
        <v>59</v>
      </c>
      <c r="E846" s="10" t="s">
        <v>60</v>
      </c>
      <c r="F846" s="10" t="n">
        <v>90036</v>
      </c>
      <c r="G846" s="10" t="s">
        <v>61</v>
      </c>
      <c r="H846" s="10" t="s">
        <v>62</v>
      </c>
      <c r="I846" s="10" t="s">
        <v>146</v>
      </c>
      <c r="J846" s="13" t="n">
        <v>11.36</v>
      </c>
      <c r="K846" s="10" t="n">
        <v>2</v>
      </c>
      <c r="L846" s="14" t="n">
        <v>0</v>
      </c>
      <c r="M846" s="15" t="n">
        <v>3.2944</v>
      </c>
      <c r="N846" s="10" t="str">
        <f aca="false">IF(M846&lt;0,"Loss",IF(M846&lt;50,"Low Profit",IF(M846&lt;200,"Medium Profit","High Profit")))</f>
        <v>Low Profit</v>
      </c>
      <c r="O846" s="10" t="str">
        <f aca="false">IF(J846&gt;=500,"High Value","Standard")</f>
        <v>Standard</v>
      </c>
      <c r="P846" s="10" t="str">
        <f aca="false">H846&amp;" &gt; "&amp;I846&amp;" ("&amp;K846&amp;" units)"</f>
        <v>Office Supplies &gt; Supplies (2 units)</v>
      </c>
      <c r="Q846" s="10" t="str">
        <f aca="false">VLOOKUP(G846,Region_Manager_Table,2,FALSE())</f>
        <v>Sana Sheikh</v>
      </c>
      <c r="R846" s="10" t="n">
        <f aca="false">INDEX(SLA_Days_Col,MATCH(A846,ShipMode_Col,0))</f>
        <v>2</v>
      </c>
    </row>
    <row r="847" customFormat="false" ht="15" hidden="false" customHeight="false" outlineLevel="0" collapsed="false">
      <c r="A847" s="16" t="s">
        <v>98</v>
      </c>
      <c r="B847" s="16" t="s">
        <v>58</v>
      </c>
      <c r="C847" s="16" t="s">
        <v>51</v>
      </c>
      <c r="D847" s="16" t="s">
        <v>59</v>
      </c>
      <c r="E847" s="16" t="s">
        <v>60</v>
      </c>
      <c r="F847" s="16" t="n">
        <v>90036</v>
      </c>
      <c r="G847" s="16" t="s">
        <v>61</v>
      </c>
      <c r="H847" s="16" t="s">
        <v>62</v>
      </c>
      <c r="I847" s="16" t="s">
        <v>63</v>
      </c>
      <c r="J847" s="17" t="n">
        <v>14.62</v>
      </c>
      <c r="K847" s="16" t="n">
        <v>2</v>
      </c>
      <c r="L847" s="18" t="n">
        <v>0</v>
      </c>
      <c r="M847" s="19" t="n">
        <v>6.8714</v>
      </c>
      <c r="N847" s="16" t="str">
        <f aca="false">IF(M847&lt;0,"Loss",IF(M847&lt;50,"Low Profit",IF(M847&lt;200,"Medium Profit","High Profit")))</f>
        <v>Low Profit</v>
      </c>
      <c r="O847" s="16" t="str">
        <f aca="false">IF(J847&gt;=500,"High Value","Standard")</f>
        <v>Standard</v>
      </c>
      <c r="P847" s="16" t="str">
        <f aca="false">H847&amp;" &gt; "&amp;I847&amp;" ("&amp;K847&amp;" units)"</f>
        <v>Office Supplies &gt; Labels (2 units)</v>
      </c>
      <c r="Q847" s="16" t="str">
        <f aca="false">VLOOKUP(G847,Region_Manager_Table,2,FALSE())</f>
        <v>Sana Sheikh</v>
      </c>
      <c r="R847" s="16" t="n">
        <f aca="false">INDEX(SLA_Days_Col,MATCH(A847,ShipMode_Col,0))</f>
        <v>2</v>
      </c>
    </row>
    <row r="848" customFormat="false" ht="15" hidden="false" customHeight="false" outlineLevel="0" collapsed="false">
      <c r="A848" s="10" t="s">
        <v>64</v>
      </c>
      <c r="B848" s="10" t="s">
        <v>50</v>
      </c>
      <c r="C848" s="10" t="s">
        <v>51</v>
      </c>
      <c r="D848" s="10" t="s">
        <v>219</v>
      </c>
      <c r="E848" s="10" t="s">
        <v>53</v>
      </c>
      <c r="F848" s="10" t="n">
        <v>40214</v>
      </c>
      <c r="G848" s="10" t="s">
        <v>54</v>
      </c>
      <c r="H848" s="10" t="s">
        <v>71</v>
      </c>
      <c r="I848" s="10" t="s">
        <v>72</v>
      </c>
      <c r="J848" s="13" t="n">
        <v>83.72</v>
      </c>
      <c r="K848" s="10" t="n">
        <v>7</v>
      </c>
      <c r="L848" s="14" t="n">
        <v>0</v>
      </c>
      <c r="M848" s="15" t="n">
        <v>23.4416</v>
      </c>
      <c r="N848" s="10" t="str">
        <f aca="false">IF(M848&lt;0,"Loss",IF(M848&lt;50,"Low Profit",IF(M848&lt;200,"Medium Profit","High Profit")))</f>
        <v>Low Profit</v>
      </c>
      <c r="O848" s="10" t="str">
        <f aca="false">IF(J848&gt;=500,"High Value","Standard")</f>
        <v>Standard</v>
      </c>
      <c r="P848" s="10" t="str">
        <f aca="false">H848&amp;" &gt; "&amp;I848&amp;" ("&amp;K848&amp;" units)"</f>
        <v>Technology &gt; Phones (7 units)</v>
      </c>
      <c r="Q848" s="10" t="str">
        <f aca="false">VLOOKUP(G848,Region_Manager_Table,2,FALSE())</f>
        <v>Karthik Iyer</v>
      </c>
      <c r="R848" s="10" t="n">
        <f aca="false">INDEX(SLA_Days_Col,MATCH(A848,ShipMode_Col,0))</f>
        <v>6</v>
      </c>
    </row>
    <row r="849" customFormat="false" ht="15" hidden="false" customHeight="false" outlineLevel="0" collapsed="false">
      <c r="A849" s="16" t="s">
        <v>64</v>
      </c>
      <c r="B849" s="16" t="s">
        <v>50</v>
      </c>
      <c r="C849" s="16" t="s">
        <v>51</v>
      </c>
      <c r="D849" s="16" t="s">
        <v>219</v>
      </c>
      <c r="E849" s="16" t="s">
        <v>53</v>
      </c>
      <c r="F849" s="16" t="n">
        <v>40214</v>
      </c>
      <c r="G849" s="16" t="s">
        <v>54</v>
      </c>
      <c r="H849" s="16" t="s">
        <v>55</v>
      </c>
      <c r="I849" s="16" t="s">
        <v>57</v>
      </c>
      <c r="J849" s="17" t="n">
        <v>287.94</v>
      </c>
      <c r="K849" s="16" t="n">
        <v>3</v>
      </c>
      <c r="L849" s="18" t="n">
        <v>0</v>
      </c>
      <c r="M849" s="19" t="n">
        <v>77.7438</v>
      </c>
      <c r="N849" s="16" t="str">
        <f aca="false">IF(M849&lt;0,"Loss",IF(M849&lt;50,"Low Profit",IF(M849&lt;200,"Medium Profit","High Profit")))</f>
        <v>Medium Profit</v>
      </c>
      <c r="O849" s="16" t="str">
        <f aca="false">IF(J849&gt;=500,"High Value","Standard")</f>
        <v>Standard</v>
      </c>
      <c r="P849" s="16" t="str">
        <f aca="false">H849&amp;" &gt; "&amp;I849&amp;" ("&amp;K849&amp;" units)"</f>
        <v>Furniture &gt; Chairs (3 units)</v>
      </c>
      <c r="Q849" s="16" t="str">
        <f aca="false">VLOOKUP(G849,Region_Manager_Table,2,FALSE())</f>
        <v>Karthik Iyer</v>
      </c>
      <c r="R849" s="16" t="n">
        <f aca="false">INDEX(SLA_Days_Col,MATCH(A849,ShipMode_Col,0))</f>
        <v>6</v>
      </c>
    </row>
    <row r="850" customFormat="false" ht="15" hidden="false" customHeight="false" outlineLevel="0" collapsed="false">
      <c r="A850" s="10" t="s">
        <v>64</v>
      </c>
      <c r="B850" s="10" t="s">
        <v>50</v>
      </c>
      <c r="C850" s="10" t="s">
        <v>51</v>
      </c>
      <c r="D850" s="10" t="s">
        <v>279</v>
      </c>
      <c r="E850" s="10" t="s">
        <v>140</v>
      </c>
      <c r="F850" s="10" t="n">
        <v>44052</v>
      </c>
      <c r="G850" s="10" t="s">
        <v>93</v>
      </c>
      <c r="H850" s="10" t="s">
        <v>55</v>
      </c>
      <c r="I850" s="10" t="s">
        <v>69</v>
      </c>
      <c r="J850" s="13" t="n">
        <v>48.896</v>
      </c>
      <c r="K850" s="10" t="n">
        <v>4</v>
      </c>
      <c r="L850" s="14" t="n">
        <v>0.2</v>
      </c>
      <c r="M850" s="15" t="n">
        <v>8.5568</v>
      </c>
      <c r="N850" s="10" t="str">
        <f aca="false">IF(M850&lt;0,"Loss",IF(M850&lt;50,"Low Profit",IF(M850&lt;200,"Medium Profit","High Profit")))</f>
        <v>Low Profit</v>
      </c>
      <c r="O850" s="10" t="str">
        <f aca="false">IF(J850&gt;=500,"High Value","Standard")</f>
        <v>Standard</v>
      </c>
      <c r="P850" s="10" t="str">
        <f aca="false">H850&amp;" &gt; "&amp;I850&amp;" ("&amp;K850&amp;" units)"</f>
        <v>Furniture &gt; Furnishings (4 units)</v>
      </c>
      <c r="Q850" s="10" t="str">
        <f aca="false">VLOOKUP(G850,Region_Manager_Table,2,FALSE())</f>
        <v>Priya Menon</v>
      </c>
      <c r="R850" s="10" t="n">
        <f aca="false">INDEX(SLA_Days_Col,MATCH(A850,ShipMode_Col,0))</f>
        <v>6</v>
      </c>
    </row>
    <row r="851" customFormat="false" ht="15" hidden="false" customHeight="false" outlineLevel="0" collapsed="false">
      <c r="A851" s="16" t="s">
        <v>64</v>
      </c>
      <c r="B851" s="16" t="s">
        <v>58</v>
      </c>
      <c r="C851" s="16" t="s">
        <v>51</v>
      </c>
      <c r="D851" s="16" t="s">
        <v>280</v>
      </c>
      <c r="E851" s="16" t="s">
        <v>168</v>
      </c>
      <c r="F851" s="16" t="n">
        <v>7036</v>
      </c>
      <c r="G851" s="16" t="s">
        <v>93</v>
      </c>
      <c r="H851" s="16" t="s">
        <v>71</v>
      </c>
      <c r="I851" s="16" t="s">
        <v>95</v>
      </c>
      <c r="J851" s="17" t="n">
        <v>115.36</v>
      </c>
      <c r="K851" s="16" t="n">
        <v>7</v>
      </c>
      <c r="L851" s="18" t="n">
        <v>0</v>
      </c>
      <c r="M851" s="19" t="n">
        <v>49.6048</v>
      </c>
      <c r="N851" s="16" t="str">
        <f aca="false">IF(M851&lt;0,"Loss",IF(M851&lt;50,"Low Profit",IF(M851&lt;200,"Medium Profit","High Profit")))</f>
        <v>Low Profit</v>
      </c>
      <c r="O851" s="16" t="str">
        <f aca="false">IF(J851&gt;=500,"High Value","Standard")</f>
        <v>Standard</v>
      </c>
      <c r="P851" s="16" t="str">
        <f aca="false">H851&amp;" &gt; "&amp;I851&amp;" ("&amp;K851&amp;" units)"</f>
        <v>Technology &gt; Accessories (7 units)</v>
      </c>
      <c r="Q851" s="16" t="str">
        <f aca="false">VLOOKUP(G851,Region_Manager_Table,2,FALSE())</f>
        <v>Priya Menon</v>
      </c>
      <c r="R851" s="16" t="n">
        <f aca="false">INDEX(SLA_Days_Col,MATCH(A851,ShipMode_Col,0))</f>
        <v>6</v>
      </c>
    </row>
    <row r="852" customFormat="false" ht="15" hidden="false" customHeight="false" outlineLevel="0" collapsed="false">
      <c r="A852" s="10" t="s">
        <v>49</v>
      </c>
      <c r="B852" s="10" t="s">
        <v>58</v>
      </c>
      <c r="C852" s="10" t="s">
        <v>51</v>
      </c>
      <c r="D852" s="10" t="s">
        <v>281</v>
      </c>
      <c r="E852" s="10" t="s">
        <v>60</v>
      </c>
      <c r="F852" s="10" t="n">
        <v>93905</v>
      </c>
      <c r="G852" s="10" t="s">
        <v>61</v>
      </c>
      <c r="H852" s="10" t="s">
        <v>62</v>
      </c>
      <c r="I852" s="10" t="s">
        <v>70</v>
      </c>
      <c r="J852" s="13" t="n">
        <v>5.16</v>
      </c>
      <c r="K852" s="10" t="n">
        <v>2</v>
      </c>
      <c r="L852" s="14" t="n">
        <v>0</v>
      </c>
      <c r="M852" s="15" t="n">
        <v>1.3416</v>
      </c>
      <c r="N852" s="10" t="str">
        <f aca="false">IF(M852&lt;0,"Loss",IF(M852&lt;50,"Low Profit",IF(M852&lt;200,"Medium Profit","High Profit")))</f>
        <v>Low Profit</v>
      </c>
      <c r="O852" s="10" t="str">
        <f aca="false">IF(J852&gt;=500,"High Value","Standard")</f>
        <v>Standard</v>
      </c>
      <c r="P852" s="10" t="str">
        <f aca="false">H852&amp;" &gt; "&amp;I852&amp;" ("&amp;K852&amp;" units)"</f>
        <v>Office Supplies &gt; Art (2 units)</v>
      </c>
      <c r="Q852" s="10" t="str">
        <f aca="false">VLOOKUP(G852,Region_Manager_Table,2,FALSE())</f>
        <v>Sana Sheikh</v>
      </c>
      <c r="R852" s="10" t="n">
        <f aca="false">INDEX(SLA_Days_Col,MATCH(A852,ShipMode_Col,0))</f>
        <v>4</v>
      </c>
    </row>
    <row r="853" customFormat="false" ht="15" hidden="false" customHeight="false" outlineLevel="0" collapsed="false">
      <c r="A853" s="16" t="s">
        <v>49</v>
      </c>
      <c r="B853" s="16" t="s">
        <v>58</v>
      </c>
      <c r="C853" s="16" t="s">
        <v>51</v>
      </c>
      <c r="D853" s="16" t="s">
        <v>281</v>
      </c>
      <c r="E853" s="16" t="s">
        <v>60</v>
      </c>
      <c r="F853" s="16" t="n">
        <v>93905</v>
      </c>
      <c r="G853" s="16" t="s">
        <v>61</v>
      </c>
      <c r="H853" s="16" t="s">
        <v>62</v>
      </c>
      <c r="I853" s="16" t="s">
        <v>77</v>
      </c>
      <c r="J853" s="17" t="n">
        <v>38.88</v>
      </c>
      <c r="K853" s="16" t="n">
        <v>6</v>
      </c>
      <c r="L853" s="18" t="n">
        <v>0</v>
      </c>
      <c r="M853" s="19" t="n">
        <v>18.6624</v>
      </c>
      <c r="N853" s="16" t="str">
        <f aca="false">IF(M853&lt;0,"Loss",IF(M853&lt;50,"Low Profit",IF(M853&lt;200,"Medium Profit","High Profit")))</f>
        <v>Low Profit</v>
      </c>
      <c r="O853" s="16" t="str">
        <f aca="false">IF(J853&gt;=500,"High Value","Standard")</f>
        <v>Standard</v>
      </c>
      <c r="P853" s="16" t="str">
        <f aca="false">H853&amp;" &gt; "&amp;I853&amp;" ("&amp;K853&amp;" units)"</f>
        <v>Office Supplies &gt; Paper (6 units)</v>
      </c>
      <c r="Q853" s="16" t="str">
        <f aca="false">VLOOKUP(G853,Region_Manager_Table,2,FALSE())</f>
        <v>Sana Sheikh</v>
      </c>
      <c r="R853" s="16" t="n">
        <f aca="false">INDEX(SLA_Days_Col,MATCH(A853,ShipMode_Col,0))</f>
        <v>4</v>
      </c>
    </row>
    <row r="854" customFormat="false" ht="15" hidden="false" customHeight="false" outlineLevel="0" collapsed="false">
      <c r="A854" s="10" t="s">
        <v>64</v>
      </c>
      <c r="B854" s="10" t="s">
        <v>50</v>
      </c>
      <c r="C854" s="10" t="s">
        <v>51</v>
      </c>
      <c r="D854" s="10" t="s">
        <v>120</v>
      </c>
      <c r="E854" s="10" t="s">
        <v>221</v>
      </c>
      <c r="F854" s="10" t="n">
        <v>39212</v>
      </c>
      <c r="G854" s="10" t="s">
        <v>54</v>
      </c>
      <c r="H854" s="10" t="s">
        <v>62</v>
      </c>
      <c r="I854" s="10" t="s">
        <v>70</v>
      </c>
      <c r="J854" s="13" t="n">
        <v>185.88</v>
      </c>
      <c r="K854" s="10" t="n">
        <v>6</v>
      </c>
      <c r="L854" s="14" t="n">
        <v>0</v>
      </c>
      <c r="M854" s="15" t="n">
        <v>50.1876</v>
      </c>
      <c r="N854" s="10" t="str">
        <f aca="false">IF(M854&lt;0,"Loss",IF(M854&lt;50,"Low Profit",IF(M854&lt;200,"Medium Profit","High Profit")))</f>
        <v>Medium Profit</v>
      </c>
      <c r="O854" s="10" t="str">
        <f aca="false">IF(J854&gt;=500,"High Value","Standard")</f>
        <v>Standard</v>
      </c>
      <c r="P854" s="10" t="str">
        <f aca="false">H854&amp;" &gt; "&amp;I854&amp;" ("&amp;K854&amp;" units)"</f>
        <v>Office Supplies &gt; Art (6 units)</v>
      </c>
      <c r="Q854" s="10" t="str">
        <f aca="false">VLOOKUP(G854,Region_Manager_Table,2,FALSE())</f>
        <v>Karthik Iyer</v>
      </c>
      <c r="R854" s="10" t="n">
        <f aca="false">INDEX(SLA_Days_Col,MATCH(A854,ShipMode_Col,0))</f>
        <v>6</v>
      </c>
    </row>
    <row r="855" customFormat="false" ht="15" hidden="false" customHeight="false" outlineLevel="0" collapsed="false">
      <c r="A855" s="16" t="s">
        <v>64</v>
      </c>
      <c r="B855" s="16" t="s">
        <v>50</v>
      </c>
      <c r="C855" s="16" t="s">
        <v>51</v>
      </c>
      <c r="D855" s="16" t="s">
        <v>111</v>
      </c>
      <c r="E855" s="16" t="s">
        <v>112</v>
      </c>
      <c r="F855" s="16" t="n">
        <v>10035</v>
      </c>
      <c r="G855" s="16" t="s">
        <v>93</v>
      </c>
      <c r="H855" s="16" t="s">
        <v>55</v>
      </c>
      <c r="I855" s="16" t="s">
        <v>69</v>
      </c>
      <c r="J855" s="17" t="n">
        <v>44.46</v>
      </c>
      <c r="K855" s="16" t="n">
        <v>2</v>
      </c>
      <c r="L855" s="18" t="n">
        <v>0</v>
      </c>
      <c r="M855" s="19" t="n">
        <v>14.6718</v>
      </c>
      <c r="N855" s="16" t="str">
        <f aca="false">IF(M855&lt;0,"Loss",IF(M855&lt;50,"Low Profit",IF(M855&lt;200,"Medium Profit","High Profit")))</f>
        <v>Low Profit</v>
      </c>
      <c r="O855" s="16" t="str">
        <f aca="false">IF(J855&gt;=500,"High Value","Standard")</f>
        <v>Standard</v>
      </c>
      <c r="P855" s="16" t="str">
        <f aca="false">H855&amp;" &gt; "&amp;I855&amp;" ("&amp;K855&amp;" units)"</f>
        <v>Furniture &gt; Furnishings (2 units)</v>
      </c>
      <c r="Q855" s="16" t="str">
        <f aca="false">VLOOKUP(G855,Region_Manager_Table,2,FALSE())</f>
        <v>Priya Menon</v>
      </c>
      <c r="R855" s="16" t="n">
        <f aca="false">INDEX(SLA_Days_Col,MATCH(A855,ShipMode_Col,0))</f>
        <v>6</v>
      </c>
    </row>
    <row r="856" customFormat="false" ht="15" hidden="false" customHeight="false" outlineLevel="0" collapsed="false">
      <c r="A856" s="10" t="s">
        <v>64</v>
      </c>
      <c r="B856" s="10" t="s">
        <v>50</v>
      </c>
      <c r="C856" s="10" t="s">
        <v>51</v>
      </c>
      <c r="D856" s="10" t="s">
        <v>111</v>
      </c>
      <c r="E856" s="10" t="s">
        <v>112</v>
      </c>
      <c r="F856" s="10" t="n">
        <v>10035</v>
      </c>
      <c r="G856" s="10" t="s">
        <v>93</v>
      </c>
      <c r="H856" s="10" t="s">
        <v>62</v>
      </c>
      <c r="I856" s="10" t="s">
        <v>68</v>
      </c>
      <c r="J856" s="13" t="n">
        <v>242.94</v>
      </c>
      <c r="K856" s="10" t="n">
        <v>3</v>
      </c>
      <c r="L856" s="14" t="n">
        <v>0</v>
      </c>
      <c r="M856" s="15" t="n">
        <v>9.7176</v>
      </c>
      <c r="N856" s="10" t="str">
        <f aca="false">IF(M856&lt;0,"Loss",IF(M856&lt;50,"Low Profit",IF(M856&lt;200,"Medium Profit","High Profit")))</f>
        <v>Low Profit</v>
      </c>
      <c r="O856" s="10" t="str">
        <f aca="false">IF(J856&gt;=500,"High Value","Standard")</f>
        <v>Standard</v>
      </c>
      <c r="P856" s="10" t="str">
        <f aca="false">H856&amp;" &gt; "&amp;I856&amp;" ("&amp;K856&amp;" units)"</f>
        <v>Office Supplies &gt; Storage (3 units)</v>
      </c>
      <c r="Q856" s="10" t="str">
        <f aca="false">VLOOKUP(G856,Region_Manager_Table,2,FALSE())</f>
        <v>Priya Menon</v>
      </c>
      <c r="R856" s="10" t="n">
        <f aca="false">INDEX(SLA_Days_Col,MATCH(A856,ShipMode_Col,0))</f>
        <v>6</v>
      </c>
    </row>
    <row r="857" customFormat="false" ht="15" hidden="false" customHeight="false" outlineLevel="0" collapsed="false">
      <c r="A857" s="16" t="s">
        <v>64</v>
      </c>
      <c r="B857" s="16" t="s">
        <v>50</v>
      </c>
      <c r="C857" s="16" t="s">
        <v>51</v>
      </c>
      <c r="D857" s="16" t="s">
        <v>111</v>
      </c>
      <c r="E857" s="16" t="s">
        <v>112</v>
      </c>
      <c r="F857" s="16" t="n">
        <v>10035</v>
      </c>
      <c r="G857" s="16" t="s">
        <v>93</v>
      </c>
      <c r="H857" s="16" t="s">
        <v>62</v>
      </c>
      <c r="I857" s="16" t="s">
        <v>77</v>
      </c>
      <c r="J857" s="17" t="n">
        <v>39.96</v>
      </c>
      <c r="K857" s="16" t="n">
        <v>2</v>
      </c>
      <c r="L857" s="18" t="n">
        <v>0</v>
      </c>
      <c r="M857" s="19" t="n">
        <v>18.7812</v>
      </c>
      <c r="N857" s="16" t="str">
        <f aca="false">IF(M857&lt;0,"Loss",IF(M857&lt;50,"Low Profit",IF(M857&lt;200,"Medium Profit","High Profit")))</f>
        <v>Low Profit</v>
      </c>
      <c r="O857" s="16" t="str">
        <f aca="false">IF(J857&gt;=500,"High Value","Standard")</f>
        <v>Standard</v>
      </c>
      <c r="P857" s="16" t="str">
        <f aca="false">H857&amp;" &gt; "&amp;I857&amp;" ("&amp;K857&amp;" units)"</f>
        <v>Office Supplies &gt; Paper (2 units)</v>
      </c>
      <c r="Q857" s="16" t="str">
        <f aca="false">VLOOKUP(G857,Region_Manager_Table,2,FALSE())</f>
        <v>Priya Menon</v>
      </c>
      <c r="R857" s="16" t="n">
        <f aca="false">INDEX(SLA_Days_Col,MATCH(A857,ShipMode_Col,0))</f>
        <v>6</v>
      </c>
    </row>
    <row r="858" customFormat="false" ht="15" hidden="false" customHeight="false" outlineLevel="0" collapsed="false">
      <c r="A858" s="10" t="s">
        <v>64</v>
      </c>
      <c r="B858" s="10" t="s">
        <v>50</v>
      </c>
      <c r="C858" s="10" t="s">
        <v>51</v>
      </c>
      <c r="D858" s="10" t="s">
        <v>111</v>
      </c>
      <c r="E858" s="10" t="s">
        <v>112</v>
      </c>
      <c r="F858" s="10" t="n">
        <v>10035</v>
      </c>
      <c r="G858" s="10" t="s">
        <v>93</v>
      </c>
      <c r="H858" s="10" t="s">
        <v>62</v>
      </c>
      <c r="I858" s="10" t="s">
        <v>146</v>
      </c>
      <c r="J858" s="13" t="n">
        <v>102.3</v>
      </c>
      <c r="K858" s="10" t="n">
        <v>10</v>
      </c>
      <c r="L858" s="14" t="n">
        <v>0</v>
      </c>
      <c r="M858" s="15" t="n">
        <v>26.598</v>
      </c>
      <c r="N858" s="10" t="str">
        <f aca="false">IF(M858&lt;0,"Loss",IF(M858&lt;50,"Low Profit",IF(M858&lt;200,"Medium Profit","High Profit")))</f>
        <v>Low Profit</v>
      </c>
      <c r="O858" s="10" t="str">
        <f aca="false">IF(J858&gt;=500,"High Value","Standard")</f>
        <v>Standard</v>
      </c>
      <c r="P858" s="10" t="str">
        <f aca="false">H858&amp;" &gt; "&amp;I858&amp;" ("&amp;K858&amp;" units)"</f>
        <v>Office Supplies &gt; Supplies (10 units)</v>
      </c>
      <c r="Q858" s="10" t="str">
        <f aca="false">VLOOKUP(G858,Region_Manager_Table,2,FALSE())</f>
        <v>Priya Menon</v>
      </c>
      <c r="R858" s="10" t="n">
        <f aca="false">INDEX(SLA_Days_Col,MATCH(A858,ShipMode_Col,0))</f>
        <v>6</v>
      </c>
    </row>
    <row r="859" customFormat="false" ht="15" hidden="false" customHeight="false" outlineLevel="0" collapsed="false">
      <c r="A859" s="16" t="s">
        <v>64</v>
      </c>
      <c r="B859" s="16" t="s">
        <v>50</v>
      </c>
      <c r="C859" s="16" t="s">
        <v>51</v>
      </c>
      <c r="D859" s="16" t="s">
        <v>111</v>
      </c>
      <c r="E859" s="16" t="s">
        <v>112</v>
      </c>
      <c r="F859" s="16" t="n">
        <v>10035</v>
      </c>
      <c r="G859" s="16" t="s">
        <v>93</v>
      </c>
      <c r="H859" s="16" t="s">
        <v>62</v>
      </c>
      <c r="I859" s="16" t="s">
        <v>68</v>
      </c>
      <c r="J859" s="17" t="n">
        <v>21.36</v>
      </c>
      <c r="K859" s="16" t="n">
        <v>2</v>
      </c>
      <c r="L859" s="18" t="n">
        <v>0</v>
      </c>
      <c r="M859" s="19" t="n">
        <v>5.7672</v>
      </c>
      <c r="N859" s="16" t="str">
        <f aca="false">IF(M859&lt;0,"Loss",IF(M859&lt;50,"Low Profit",IF(M859&lt;200,"Medium Profit","High Profit")))</f>
        <v>Low Profit</v>
      </c>
      <c r="O859" s="16" t="str">
        <f aca="false">IF(J859&gt;=500,"High Value","Standard")</f>
        <v>Standard</v>
      </c>
      <c r="P859" s="16" t="str">
        <f aca="false">H859&amp;" &gt; "&amp;I859&amp;" ("&amp;K859&amp;" units)"</f>
        <v>Office Supplies &gt; Storage (2 units)</v>
      </c>
      <c r="Q859" s="16" t="str">
        <f aca="false">VLOOKUP(G859,Region_Manager_Table,2,FALSE())</f>
        <v>Priya Menon</v>
      </c>
      <c r="R859" s="16" t="n">
        <f aca="false">INDEX(SLA_Days_Col,MATCH(A859,ShipMode_Col,0))</f>
        <v>6</v>
      </c>
    </row>
    <row r="860" customFormat="false" ht="15" hidden="false" customHeight="false" outlineLevel="0" collapsed="false">
      <c r="A860" s="10" t="s">
        <v>64</v>
      </c>
      <c r="B860" s="10" t="s">
        <v>80</v>
      </c>
      <c r="C860" s="10" t="s">
        <v>51</v>
      </c>
      <c r="D860" s="10" t="s">
        <v>282</v>
      </c>
      <c r="E860" s="10" t="s">
        <v>168</v>
      </c>
      <c r="F860" s="10" t="n">
        <v>8901</v>
      </c>
      <c r="G860" s="10" t="s">
        <v>93</v>
      </c>
      <c r="H860" s="10" t="s">
        <v>62</v>
      </c>
      <c r="I860" s="10" t="s">
        <v>77</v>
      </c>
      <c r="J860" s="13" t="n">
        <v>7.61</v>
      </c>
      <c r="K860" s="10" t="n">
        <v>1</v>
      </c>
      <c r="L860" s="14" t="n">
        <v>0</v>
      </c>
      <c r="M860" s="15" t="n">
        <v>3.5767</v>
      </c>
      <c r="N860" s="10" t="str">
        <f aca="false">IF(M860&lt;0,"Loss",IF(M860&lt;50,"Low Profit",IF(M860&lt;200,"Medium Profit","High Profit")))</f>
        <v>Low Profit</v>
      </c>
      <c r="O860" s="10" t="str">
        <f aca="false">IF(J860&gt;=500,"High Value","Standard")</f>
        <v>Standard</v>
      </c>
      <c r="P860" s="10" t="str">
        <f aca="false">H860&amp;" &gt; "&amp;I860&amp;" ("&amp;K860&amp;" units)"</f>
        <v>Office Supplies &gt; Paper (1 units)</v>
      </c>
      <c r="Q860" s="10" t="str">
        <f aca="false">VLOOKUP(G860,Region_Manager_Table,2,FALSE())</f>
        <v>Priya Menon</v>
      </c>
      <c r="R860" s="10" t="n">
        <f aca="false">INDEX(SLA_Days_Col,MATCH(A860,ShipMode_Col,0))</f>
        <v>6</v>
      </c>
    </row>
    <row r="861" customFormat="false" ht="15" hidden="false" customHeight="false" outlineLevel="0" collapsed="false">
      <c r="A861" s="16" t="s">
        <v>64</v>
      </c>
      <c r="B861" s="16" t="s">
        <v>80</v>
      </c>
      <c r="C861" s="16" t="s">
        <v>51</v>
      </c>
      <c r="D861" s="16" t="s">
        <v>282</v>
      </c>
      <c r="E861" s="16" t="s">
        <v>168</v>
      </c>
      <c r="F861" s="16" t="n">
        <v>8901</v>
      </c>
      <c r="G861" s="16" t="s">
        <v>93</v>
      </c>
      <c r="H861" s="16" t="s">
        <v>62</v>
      </c>
      <c r="I861" s="16" t="s">
        <v>113</v>
      </c>
      <c r="J861" s="17" t="n">
        <v>7.16</v>
      </c>
      <c r="K861" s="16" t="n">
        <v>2</v>
      </c>
      <c r="L861" s="18" t="n">
        <v>0</v>
      </c>
      <c r="M861" s="19" t="n">
        <v>3.58</v>
      </c>
      <c r="N861" s="16" t="str">
        <f aca="false">IF(M861&lt;0,"Loss",IF(M861&lt;50,"Low Profit",IF(M861&lt;200,"Medium Profit","High Profit")))</f>
        <v>Low Profit</v>
      </c>
      <c r="O861" s="16" t="str">
        <f aca="false">IF(J861&gt;=500,"High Value","Standard")</f>
        <v>Standard</v>
      </c>
      <c r="P861" s="16" t="str">
        <f aca="false">H861&amp;" &gt; "&amp;I861&amp;" ("&amp;K861&amp;" units)"</f>
        <v>Office Supplies &gt; Fasteners (2 units)</v>
      </c>
      <c r="Q861" s="16" t="str">
        <f aca="false">VLOOKUP(G861,Region_Manager_Table,2,FALSE())</f>
        <v>Priya Menon</v>
      </c>
      <c r="R861" s="16" t="n">
        <f aca="false">INDEX(SLA_Days_Col,MATCH(A861,ShipMode_Col,0))</f>
        <v>6</v>
      </c>
    </row>
    <row r="862" customFormat="false" ht="15" hidden="false" customHeight="false" outlineLevel="0" collapsed="false">
      <c r="A862" s="10" t="s">
        <v>64</v>
      </c>
      <c r="B862" s="10" t="s">
        <v>50</v>
      </c>
      <c r="C862" s="10" t="s">
        <v>51</v>
      </c>
      <c r="D862" s="10" t="s">
        <v>88</v>
      </c>
      <c r="E862" s="10" t="s">
        <v>60</v>
      </c>
      <c r="F862" s="10" t="n">
        <v>94122</v>
      </c>
      <c r="G862" s="10" t="s">
        <v>61</v>
      </c>
      <c r="H862" s="10" t="s">
        <v>62</v>
      </c>
      <c r="I862" s="10" t="s">
        <v>146</v>
      </c>
      <c r="J862" s="13" t="n">
        <v>7.36</v>
      </c>
      <c r="K862" s="10" t="n">
        <v>2</v>
      </c>
      <c r="L862" s="14" t="n">
        <v>0</v>
      </c>
      <c r="M862" s="15" t="n">
        <v>0.1472</v>
      </c>
      <c r="N862" s="10" t="str">
        <f aca="false">IF(M862&lt;0,"Loss",IF(M862&lt;50,"Low Profit",IF(M862&lt;200,"Medium Profit","High Profit")))</f>
        <v>Low Profit</v>
      </c>
      <c r="O862" s="10" t="str">
        <f aca="false">IF(J862&gt;=500,"High Value","Standard")</f>
        <v>Standard</v>
      </c>
      <c r="P862" s="10" t="str">
        <f aca="false">H862&amp;" &gt; "&amp;I862&amp;" ("&amp;K862&amp;" units)"</f>
        <v>Office Supplies &gt; Supplies (2 units)</v>
      </c>
      <c r="Q862" s="10" t="str">
        <f aca="false">VLOOKUP(G862,Region_Manager_Table,2,FALSE())</f>
        <v>Sana Sheikh</v>
      </c>
      <c r="R862" s="10" t="n">
        <f aca="false">INDEX(SLA_Days_Col,MATCH(A862,ShipMode_Col,0))</f>
        <v>6</v>
      </c>
    </row>
    <row r="863" customFormat="false" ht="15" hidden="false" customHeight="false" outlineLevel="0" collapsed="false">
      <c r="A863" s="16" t="s">
        <v>64</v>
      </c>
      <c r="B863" s="16" t="s">
        <v>50</v>
      </c>
      <c r="C863" s="16" t="s">
        <v>51</v>
      </c>
      <c r="D863" s="16" t="s">
        <v>88</v>
      </c>
      <c r="E863" s="16" t="s">
        <v>60</v>
      </c>
      <c r="F863" s="16" t="n">
        <v>94122</v>
      </c>
      <c r="G863" s="16" t="s">
        <v>61</v>
      </c>
      <c r="H863" s="16" t="s">
        <v>62</v>
      </c>
      <c r="I863" s="16" t="s">
        <v>70</v>
      </c>
      <c r="J863" s="17" t="n">
        <v>23.1</v>
      </c>
      <c r="K863" s="16" t="n">
        <v>2</v>
      </c>
      <c r="L863" s="18" t="n">
        <v>0</v>
      </c>
      <c r="M863" s="19" t="n">
        <v>10.626</v>
      </c>
      <c r="N863" s="16" t="str">
        <f aca="false">IF(M863&lt;0,"Loss",IF(M863&lt;50,"Low Profit",IF(M863&lt;200,"Medium Profit","High Profit")))</f>
        <v>Low Profit</v>
      </c>
      <c r="O863" s="16" t="str">
        <f aca="false">IF(J863&gt;=500,"High Value","Standard")</f>
        <v>Standard</v>
      </c>
      <c r="P863" s="16" t="str">
        <f aca="false">H863&amp;" &gt; "&amp;I863&amp;" ("&amp;K863&amp;" units)"</f>
        <v>Office Supplies &gt; Art (2 units)</v>
      </c>
      <c r="Q863" s="16" t="str">
        <f aca="false">VLOOKUP(G863,Region_Manager_Table,2,FALSE())</f>
        <v>Sana Sheikh</v>
      </c>
      <c r="R863" s="16" t="n">
        <f aca="false">INDEX(SLA_Days_Col,MATCH(A863,ShipMode_Col,0))</f>
        <v>6</v>
      </c>
    </row>
    <row r="864" customFormat="false" ht="15" hidden="false" customHeight="false" outlineLevel="0" collapsed="false">
      <c r="A864" s="10" t="s">
        <v>49</v>
      </c>
      <c r="B864" s="10" t="s">
        <v>58</v>
      </c>
      <c r="C864" s="10" t="s">
        <v>51</v>
      </c>
      <c r="D864" s="10" t="s">
        <v>225</v>
      </c>
      <c r="E864" s="10" t="s">
        <v>66</v>
      </c>
      <c r="F864" s="10" t="n">
        <v>32216</v>
      </c>
      <c r="G864" s="10" t="s">
        <v>54</v>
      </c>
      <c r="H864" s="10" t="s">
        <v>71</v>
      </c>
      <c r="I864" s="10" t="s">
        <v>95</v>
      </c>
      <c r="J864" s="13" t="n">
        <v>191.472</v>
      </c>
      <c r="K864" s="10" t="n">
        <v>6</v>
      </c>
      <c r="L864" s="14" t="n">
        <v>0.2</v>
      </c>
      <c r="M864" s="15" t="n">
        <v>40.6878</v>
      </c>
      <c r="N864" s="10" t="str">
        <f aca="false">IF(M864&lt;0,"Loss",IF(M864&lt;50,"Low Profit",IF(M864&lt;200,"Medium Profit","High Profit")))</f>
        <v>Low Profit</v>
      </c>
      <c r="O864" s="10" t="str">
        <f aca="false">IF(J864&gt;=500,"High Value","Standard")</f>
        <v>Standard</v>
      </c>
      <c r="P864" s="10" t="str">
        <f aca="false">H864&amp;" &gt; "&amp;I864&amp;" ("&amp;K864&amp;" units)"</f>
        <v>Technology &gt; Accessories (6 units)</v>
      </c>
      <c r="Q864" s="10" t="str">
        <f aca="false">VLOOKUP(G864,Region_Manager_Table,2,FALSE())</f>
        <v>Karthik Iyer</v>
      </c>
      <c r="R864" s="10" t="n">
        <f aca="false">INDEX(SLA_Days_Col,MATCH(A864,ShipMode_Col,0))</f>
        <v>4</v>
      </c>
    </row>
    <row r="865" customFormat="false" ht="15" hidden="false" customHeight="false" outlineLevel="0" collapsed="false">
      <c r="A865" s="16" t="s">
        <v>49</v>
      </c>
      <c r="B865" s="16" t="s">
        <v>58</v>
      </c>
      <c r="C865" s="16" t="s">
        <v>51</v>
      </c>
      <c r="D865" s="16" t="s">
        <v>225</v>
      </c>
      <c r="E865" s="16" t="s">
        <v>66</v>
      </c>
      <c r="F865" s="16" t="n">
        <v>32216</v>
      </c>
      <c r="G865" s="16" t="s">
        <v>54</v>
      </c>
      <c r="H865" s="16" t="s">
        <v>62</v>
      </c>
      <c r="I865" s="16" t="s">
        <v>70</v>
      </c>
      <c r="J865" s="17" t="n">
        <v>5.248</v>
      </c>
      <c r="K865" s="16" t="n">
        <v>2</v>
      </c>
      <c r="L865" s="18" t="n">
        <v>0.2</v>
      </c>
      <c r="M865" s="19" t="n">
        <v>0.5904</v>
      </c>
      <c r="N865" s="16" t="str">
        <f aca="false">IF(M865&lt;0,"Loss",IF(M865&lt;50,"Low Profit",IF(M865&lt;200,"Medium Profit","High Profit")))</f>
        <v>Low Profit</v>
      </c>
      <c r="O865" s="16" t="str">
        <f aca="false">IF(J865&gt;=500,"High Value","Standard")</f>
        <v>Standard</v>
      </c>
      <c r="P865" s="16" t="str">
        <f aca="false">H865&amp;" &gt; "&amp;I865&amp;" ("&amp;K865&amp;" units)"</f>
        <v>Office Supplies &gt; Art (2 units)</v>
      </c>
      <c r="Q865" s="16" t="str">
        <f aca="false">VLOOKUP(G865,Region_Manager_Table,2,FALSE())</f>
        <v>Karthik Iyer</v>
      </c>
      <c r="R865" s="16" t="n">
        <f aca="false">INDEX(SLA_Days_Col,MATCH(A865,ShipMode_Col,0))</f>
        <v>4</v>
      </c>
    </row>
    <row r="866" customFormat="false" ht="15" hidden="false" customHeight="false" outlineLevel="0" collapsed="false">
      <c r="A866" s="10" t="s">
        <v>49</v>
      </c>
      <c r="B866" s="10" t="s">
        <v>58</v>
      </c>
      <c r="C866" s="10" t="s">
        <v>51</v>
      </c>
      <c r="D866" s="10" t="s">
        <v>225</v>
      </c>
      <c r="E866" s="10" t="s">
        <v>66</v>
      </c>
      <c r="F866" s="10" t="n">
        <v>32216</v>
      </c>
      <c r="G866" s="10" t="s">
        <v>54</v>
      </c>
      <c r="H866" s="10" t="s">
        <v>71</v>
      </c>
      <c r="I866" s="10" t="s">
        <v>72</v>
      </c>
      <c r="J866" s="13" t="n">
        <v>59.184</v>
      </c>
      <c r="K866" s="10" t="n">
        <v>2</v>
      </c>
      <c r="L866" s="14" t="n">
        <v>0.2</v>
      </c>
      <c r="M866" s="15" t="n">
        <v>5.1786</v>
      </c>
      <c r="N866" s="10" t="str">
        <f aca="false">IF(M866&lt;0,"Loss",IF(M866&lt;50,"Low Profit",IF(M866&lt;200,"Medium Profit","High Profit")))</f>
        <v>Low Profit</v>
      </c>
      <c r="O866" s="10" t="str">
        <f aca="false">IF(J866&gt;=500,"High Value","Standard")</f>
        <v>Standard</v>
      </c>
      <c r="P866" s="10" t="str">
        <f aca="false">H866&amp;" &gt; "&amp;I866&amp;" ("&amp;K866&amp;" units)"</f>
        <v>Technology &gt; Phones (2 units)</v>
      </c>
      <c r="Q866" s="10" t="str">
        <f aca="false">VLOOKUP(G866,Region_Manager_Table,2,FALSE())</f>
        <v>Karthik Iyer</v>
      </c>
      <c r="R866" s="10" t="n">
        <f aca="false">INDEX(SLA_Days_Col,MATCH(A866,ShipMode_Col,0))</f>
        <v>4</v>
      </c>
    </row>
    <row r="867" customFormat="false" ht="15" hidden="false" customHeight="false" outlineLevel="0" collapsed="false">
      <c r="A867" s="16" t="s">
        <v>64</v>
      </c>
      <c r="B867" s="16" t="s">
        <v>58</v>
      </c>
      <c r="C867" s="16" t="s">
        <v>51</v>
      </c>
      <c r="D867" s="16" t="s">
        <v>118</v>
      </c>
      <c r="E867" s="16" t="s">
        <v>119</v>
      </c>
      <c r="F867" s="16" t="n">
        <v>22153</v>
      </c>
      <c r="G867" s="16" t="s">
        <v>54</v>
      </c>
      <c r="H867" s="16" t="s">
        <v>62</v>
      </c>
      <c r="I867" s="16" t="s">
        <v>63</v>
      </c>
      <c r="J867" s="17" t="n">
        <v>2.89</v>
      </c>
      <c r="K867" s="16" t="n">
        <v>1</v>
      </c>
      <c r="L867" s="18" t="n">
        <v>0</v>
      </c>
      <c r="M867" s="19" t="n">
        <v>1.3583</v>
      </c>
      <c r="N867" s="16" t="str">
        <f aca="false">IF(M867&lt;0,"Loss",IF(M867&lt;50,"Low Profit",IF(M867&lt;200,"Medium Profit","High Profit")))</f>
        <v>Low Profit</v>
      </c>
      <c r="O867" s="16" t="str">
        <f aca="false">IF(J867&gt;=500,"High Value","Standard")</f>
        <v>Standard</v>
      </c>
      <c r="P867" s="16" t="str">
        <f aca="false">H867&amp;" &gt; "&amp;I867&amp;" ("&amp;K867&amp;" units)"</f>
        <v>Office Supplies &gt; Labels (1 units)</v>
      </c>
      <c r="Q867" s="16" t="str">
        <f aca="false">VLOOKUP(G867,Region_Manager_Table,2,FALSE())</f>
        <v>Karthik Iyer</v>
      </c>
      <c r="R867" s="16" t="n">
        <f aca="false">INDEX(SLA_Days_Col,MATCH(A867,ShipMode_Col,0))</f>
        <v>6</v>
      </c>
    </row>
    <row r="868" customFormat="false" ht="15" hidden="false" customHeight="false" outlineLevel="0" collapsed="false">
      <c r="A868" s="10" t="s">
        <v>64</v>
      </c>
      <c r="B868" s="10" t="s">
        <v>58</v>
      </c>
      <c r="C868" s="10" t="s">
        <v>51</v>
      </c>
      <c r="D868" s="10" t="s">
        <v>118</v>
      </c>
      <c r="E868" s="10" t="s">
        <v>119</v>
      </c>
      <c r="F868" s="10" t="n">
        <v>22153</v>
      </c>
      <c r="G868" s="10" t="s">
        <v>54</v>
      </c>
      <c r="H868" s="10" t="s">
        <v>55</v>
      </c>
      <c r="I868" s="10" t="s">
        <v>69</v>
      </c>
      <c r="J868" s="13" t="n">
        <v>51.94</v>
      </c>
      <c r="K868" s="10" t="n">
        <v>1</v>
      </c>
      <c r="L868" s="14" t="n">
        <v>0</v>
      </c>
      <c r="M868" s="15" t="n">
        <v>21.2954</v>
      </c>
      <c r="N868" s="10" t="str">
        <f aca="false">IF(M868&lt;0,"Loss",IF(M868&lt;50,"Low Profit",IF(M868&lt;200,"Medium Profit","High Profit")))</f>
        <v>Low Profit</v>
      </c>
      <c r="O868" s="10" t="str">
        <f aca="false">IF(J868&gt;=500,"High Value","Standard")</f>
        <v>Standard</v>
      </c>
      <c r="P868" s="10" t="str">
        <f aca="false">H868&amp;" &gt; "&amp;I868&amp;" ("&amp;K868&amp;" units)"</f>
        <v>Furniture &gt; Furnishings (1 units)</v>
      </c>
      <c r="Q868" s="10" t="str">
        <f aca="false">VLOOKUP(G868,Region_Manager_Table,2,FALSE())</f>
        <v>Karthik Iyer</v>
      </c>
      <c r="R868" s="10" t="n">
        <f aca="false">INDEX(SLA_Days_Col,MATCH(A868,ShipMode_Col,0))</f>
        <v>6</v>
      </c>
    </row>
    <row r="869" customFormat="false" ht="15" hidden="false" customHeight="false" outlineLevel="0" collapsed="false">
      <c r="A869" s="16" t="s">
        <v>98</v>
      </c>
      <c r="B869" s="16" t="s">
        <v>58</v>
      </c>
      <c r="C869" s="16" t="s">
        <v>51</v>
      </c>
      <c r="D869" s="16" t="s">
        <v>91</v>
      </c>
      <c r="E869" s="16" t="s">
        <v>92</v>
      </c>
      <c r="F869" s="16" t="n">
        <v>19140</v>
      </c>
      <c r="G869" s="16" t="s">
        <v>93</v>
      </c>
      <c r="H869" s="16" t="s">
        <v>62</v>
      </c>
      <c r="I869" s="16" t="s">
        <v>63</v>
      </c>
      <c r="J869" s="17" t="n">
        <v>15.936</v>
      </c>
      <c r="K869" s="16" t="n">
        <v>4</v>
      </c>
      <c r="L869" s="18" t="n">
        <v>0.2</v>
      </c>
      <c r="M869" s="19" t="n">
        <v>5.1792</v>
      </c>
      <c r="N869" s="16" t="str">
        <f aca="false">IF(M869&lt;0,"Loss",IF(M869&lt;50,"Low Profit",IF(M869&lt;200,"Medium Profit","High Profit")))</f>
        <v>Low Profit</v>
      </c>
      <c r="O869" s="16" t="str">
        <f aca="false">IF(J869&gt;=500,"High Value","Standard")</f>
        <v>Standard</v>
      </c>
      <c r="P869" s="16" t="str">
        <f aca="false">H869&amp;" &gt; "&amp;I869&amp;" ("&amp;K869&amp;" units)"</f>
        <v>Office Supplies &gt; Labels (4 units)</v>
      </c>
      <c r="Q869" s="16" t="str">
        <f aca="false">VLOOKUP(G869,Region_Manager_Table,2,FALSE())</f>
        <v>Priya Menon</v>
      </c>
      <c r="R869" s="16" t="n">
        <f aca="false">INDEX(SLA_Days_Col,MATCH(A869,ShipMode_Col,0))</f>
        <v>2</v>
      </c>
    </row>
    <row r="870" customFormat="false" ht="15" hidden="false" customHeight="false" outlineLevel="0" collapsed="false">
      <c r="A870" s="10" t="s">
        <v>64</v>
      </c>
      <c r="B870" s="10" t="s">
        <v>58</v>
      </c>
      <c r="C870" s="10" t="s">
        <v>51</v>
      </c>
      <c r="D870" s="10" t="s">
        <v>271</v>
      </c>
      <c r="E870" s="10" t="s">
        <v>92</v>
      </c>
      <c r="F870" s="10" t="n">
        <v>17602</v>
      </c>
      <c r="G870" s="10" t="s">
        <v>93</v>
      </c>
      <c r="H870" s="10" t="s">
        <v>62</v>
      </c>
      <c r="I870" s="10" t="s">
        <v>73</v>
      </c>
      <c r="J870" s="13" t="n">
        <v>44.91</v>
      </c>
      <c r="K870" s="10" t="n">
        <v>6</v>
      </c>
      <c r="L870" s="14" t="n">
        <v>0.7</v>
      </c>
      <c r="M870" s="15" t="n">
        <v>-35.928</v>
      </c>
      <c r="N870" s="10" t="str">
        <f aca="false">IF(M870&lt;0,"Loss",IF(M870&lt;50,"Low Profit",IF(M870&lt;200,"Medium Profit","High Profit")))</f>
        <v>Loss</v>
      </c>
      <c r="O870" s="10" t="str">
        <f aca="false">IF(J870&gt;=500,"High Value","Standard")</f>
        <v>Standard</v>
      </c>
      <c r="P870" s="10" t="str">
        <f aca="false">H870&amp;" &gt; "&amp;I870&amp;" ("&amp;K870&amp;" units)"</f>
        <v>Office Supplies &gt; Binders (6 units)</v>
      </c>
      <c r="Q870" s="10" t="str">
        <f aca="false">VLOOKUP(G870,Region_Manager_Table,2,FALSE())</f>
        <v>Priya Menon</v>
      </c>
      <c r="R870" s="10" t="n">
        <f aca="false">INDEX(SLA_Days_Col,MATCH(A870,ShipMode_Col,0))</f>
        <v>6</v>
      </c>
    </row>
    <row r="871" customFormat="false" ht="15" hidden="false" customHeight="false" outlineLevel="0" collapsed="false">
      <c r="A871" s="16" t="s">
        <v>98</v>
      </c>
      <c r="B871" s="16" t="s">
        <v>80</v>
      </c>
      <c r="C871" s="16" t="s">
        <v>51</v>
      </c>
      <c r="D871" s="16" t="s">
        <v>91</v>
      </c>
      <c r="E871" s="16" t="s">
        <v>92</v>
      </c>
      <c r="F871" s="16" t="n">
        <v>19143</v>
      </c>
      <c r="G871" s="16" t="s">
        <v>93</v>
      </c>
      <c r="H871" s="16" t="s">
        <v>62</v>
      </c>
      <c r="I871" s="16" t="s">
        <v>73</v>
      </c>
      <c r="J871" s="17" t="n">
        <v>1141.47</v>
      </c>
      <c r="K871" s="16" t="n">
        <v>5</v>
      </c>
      <c r="L871" s="18" t="n">
        <v>0.7</v>
      </c>
      <c r="M871" s="19" t="n">
        <v>-760.98</v>
      </c>
      <c r="N871" s="16" t="str">
        <f aca="false">IF(M871&lt;0,"Loss",IF(M871&lt;50,"Low Profit",IF(M871&lt;200,"Medium Profit","High Profit")))</f>
        <v>Loss</v>
      </c>
      <c r="O871" s="16" t="str">
        <f aca="false">IF(J871&gt;=500,"High Value","Standard")</f>
        <v>High Value</v>
      </c>
      <c r="P871" s="16" t="str">
        <f aca="false">H871&amp;" &gt; "&amp;I871&amp;" ("&amp;K871&amp;" units)"</f>
        <v>Office Supplies &gt; Binders (5 units)</v>
      </c>
      <c r="Q871" s="16" t="str">
        <f aca="false">VLOOKUP(G871,Region_Manager_Table,2,FALSE())</f>
        <v>Priya Menon</v>
      </c>
      <c r="R871" s="16" t="n">
        <f aca="false">INDEX(SLA_Days_Col,MATCH(A871,ShipMode_Col,0))</f>
        <v>2</v>
      </c>
    </row>
    <row r="872" customFormat="false" ht="15" hidden="false" customHeight="false" outlineLevel="0" collapsed="false">
      <c r="A872" s="10" t="s">
        <v>98</v>
      </c>
      <c r="B872" s="10" t="s">
        <v>80</v>
      </c>
      <c r="C872" s="10" t="s">
        <v>51</v>
      </c>
      <c r="D872" s="10" t="s">
        <v>91</v>
      </c>
      <c r="E872" s="10" t="s">
        <v>92</v>
      </c>
      <c r="F872" s="10" t="n">
        <v>19143</v>
      </c>
      <c r="G872" s="10" t="s">
        <v>93</v>
      </c>
      <c r="H872" s="10" t="s">
        <v>71</v>
      </c>
      <c r="I872" s="10" t="s">
        <v>72</v>
      </c>
      <c r="J872" s="13" t="n">
        <v>280.782</v>
      </c>
      <c r="K872" s="10" t="n">
        <v>3</v>
      </c>
      <c r="L872" s="14" t="n">
        <v>0.4</v>
      </c>
      <c r="M872" s="15" t="n">
        <v>-46.797</v>
      </c>
      <c r="N872" s="10" t="str">
        <f aca="false">IF(M872&lt;0,"Loss",IF(M872&lt;50,"Low Profit",IF(M872&lt;200,"Medium Profit","High Profit")))</f>
        <v>Loss</v>
      </c>
      <c r="O872" s="10" t="str">
        <f aca="false">IF(J872&gt;=500,"High Value","Standard")</f>
        <v>Standard</v>
      </c>
      <c r="P872" s="10" t="str">
        <f aca="false">H872&amp;" &gt; "&amp;I872&amp;" ("&amp;K872&amp;" units)"</f>
        <v>Technology &gt; Phones (3 units)</v>
      </c>
      <c r="Q872" s="10" t="str">
        <f aca="false">VLOOKUP(G872,Region_Manager_Table,2,FALSE())</f>
        <v>Priya Menon</v>
      </c>
      <c r="R872" s="10" t="n">
        <f aca="false">INDEX(SLA_Days_Col,MATCH(A872,ShipMode_Col,0))</f>
        <v>2</v>
      </c>
    </row>
    <row r="873" customFormat="false" ht="15" hidden="false" customHeight="false" outlineLevel="0" collapsed="false">
      <c r="A873" s="16" t="s">
        <v>98</v>
      </c>
      <c r="B873" s="16" t="s">
        <v>50</v>
      </c>
      <c r="C873" s="16" t="s">
        <v>51</v>
      </c>
      <c r="D873" s="16" t="s">
        <v>75</v>
      </c>
      <c r="E873" s="16" t="s">
        <v>283</v>
      </c>
      <c r="F873" s="16" t="n">
        <v>3301</v>
      </c>
      <c r="G873" s="16" t="s">
        <v>93</v>
      </c>
      <c r="H873" s="16" t="s">
        <v>62</v>
      </c>
      <c r="I873" s="16" t="s">
        <v>77</v>
      </c>
      <c r="J873" s="17" t="n">
        <v>34.44</v>
      </c>
      <c r="K873" s="16" t="n">
        <v>3</v>
      </c>
      <c r="L873" s="18" t="n">
        <v>0</v>
      </c>
      <c r="M873" s="19" t="n">
        <v>17.22</v>
      </c>
      <c r="N873" s="16" t="str">
        <f aca="false">IF(M873&lt;0,"Loss",IF(M873&lt;50,"Low Profit",IF(M873&lt;200,"Medium Profit","High Profit")))</f>
        <v>Low Profit</v>
      </c>
      <c r="O873" s="16" t="str">
        <f aca="false">IF(J873&gt;=500,"High Value","Standard")</f>
        <v>Standard</v>
      </c>
      <c r="P873" s="16" t="str">
        <f aca="false">H873&amp;" &gt; "&amp;I873&amp;" ("&amp;K873&amp;" units)"</f>
        <v>Office Supplies &gt; Paper (3 units)</v>
      </c>
      <c r="Q873" s="16" t="str">
        <f aca="false">VLOOKUP(G873,Region_Manager_Table,2,FALSE())</f>
        <v>Priya Menon</v>
      </c>
      <c r="R873" s="16" t="n">
        <f aca="false">INDEX(SLA_Days_Col,MATCH(A873,ShipMode_Col,0))</f>
        <v>2</v>
      </c>
    </row>
    <row r="874" customFormat="false" ht="15" hidden="false" customHeight="false" outlineLevel="0" collapsed="false">
      <c r="A874" s="10" t="s">
        <v>64</v>
      </c>
      <c r="B874" s="10" t="s">
        <v>50</v>
      </c>
      <c r="C874" s="10" t="s">
        <v>51</v>
      </c>
      <c r="D874" s="10" t="s">
        <v>111</v>
      </c>
      <c r="E874" s="10" t="s">
        <v>112</v>
      </c>
      <c r="F874" s="10" t="n">
        <v>10009</v>
      </c>
      <c r="G874" s="10" t="s">
        <v>93</v>
      </c>
      <c r="H874" s="10" t="s">
        <v>62</v>
      </c>
      <c r="I874" s="10" t="s">
        <v>77</v>
      </c>
      <c r="J874" s="13" t="n">
        <v>11.36</v>
      </c>
      <c r="K874" s="10" t="n">
        <v>2</v>
      </c>
      <c r="L874" s="14" t="n">
        <v>0</v>
      </c>
      <c r="M874" s="15" t="n">
        <v>5.2256</v>
      </c>
      <c r="N874" s="10" t="str">
        <f aca="false">IF(M874&lt;0,"Loss",IF(M874&lt;50,"Low Profit",IF(M874&lt;200,"Medium Profit","High Profit")))</f>
        <v>Low Profit</v>
      </c>
      <c r="O874" s="10" t="str">
        <f aca="false">IF(J874&gt;=500,"High Value","Standard")</f>
        <v>Standard</v>
      </c>
      <c r="P874" s="10" t="str">
        <f aca="false">H874&amp;" &gt; "&amp;I874&amp;" ("&amp;K874&amp;" units)"</f>
        <v>Office Supplies &gt; Paper (2 units)</v>
      </c>
      <c r="Q874" s="10" t="str">
        <f aca="false">VLOOKUP(G874,Region_Manager_Table,2,FALSE())</f>
        <v>Priya Menon</v>
      </c>
      <c r="R874" s="10" t="n">
        <f aca="false">INDEX(SLA_Days_Col,MATCH(A874,ShipMode_Col,0))</f>
        <v>6</v>
      </c>
    </row>
    <row r="875" customFormat="false" ht="15" hidden="false" customHeight="false" outlineLevel="0" collapsed="false">
      <c r="A875" s="16" t="s">
        <v>64</v>
      </c>
      <c r="B875" s="16" t="s">
        <v>50</v>
      </c>
      <c r="C875" s="16" t="s">
        <v>51</v>
      </c>
      <c r="D875" s="16" t="s">
        <v>111</v>
      </c>
      <c r="E875" s="16" t="s">
        <v>112</v>
      </c>
      <c r="F875" s="16" t="n">
        <v>10009</v>
      </c>
      <c r="G875" s="16" t="s">
        <v>93</v>
      </c>
      <c r="H875" s="16" t="s">
        <v>62</v>
      </c>
      <c r="I875" s="16" t="s">
        <v>73</v>
      </c>
      <c r="J875" s="17" t="n">
        <v>106.344</v>
      </c>
      <c r="K875" s="16" t="n">
        <v>7</v>
      </c>
      <c r="L875" s="18" t="n">
        <v>0.2</v>
      </c>
      <c r="M875" s="19" t="n">
        <v>37.2204</v>
      </c>
      <c r="N875" s="16" t="str">
        <f aca="false">IF(M875&lt;0,"Loss",IF(M875&lt;50,"Low Profit",IF(M875&lt;200,"Medium Profit","High Profit")))</f>
        <v>Low Profit</v>
      </c>
      <c r="O875" s="16" t="str">
        <f aca="false">IF(J875&gt;=500,"High Value","Standard")</f>
        <v>Standard</v>
      </c>
      <c r="P875" s="16" t="str">
        <f aca="false">H875&amp;" &gt; "&amp;I875&amp;" ("&amp;K875&amp;" units)"</f>
        <v>Office Supplies &gt; Binders (7 units)</v>
      </c>
      <c r="Q875" s="16" t="str">
        <f aca="false">VLOOKUP(G875,Region_Manager_Table,2,FALSE())</f>
        <v>Priya Menon</v>
      </c>
      <c r="R875" s="16" t="n">
        <f aca="false">INDEX(SLA_Days_Col,MATCH(A875,ShipMode_Col,0))</f>
        <v>6</v>
      </c>
    </row>
    <row r="876" customFormat="false" ht="15" hidden="false" customHeight="false" outlineLevel="0" collapsed="false">
      <c r="A876" s="10" t="s">
        <v>64</v>
      </c>
      <c r="B876" s="10" t="s">
        <v>50</v>
      </c>
      <c r="C876" s="10" t="s">
        <v>51</v>
      </c>
      <c r="D876" s="10" t="s">
        <v>135</v>
      </c>
      <c r="E876" s="10" t="s">
        <v>76</v>
      </c>
      <c r="F876" s="10" t="n">
        <v>28205</v>
      </c>
      <c r="G876" s="10" t="s">
        <v>54</v>
      </c>
      <c r="H876" s="10" t="s">
        <v>62</v>
      </c>
      <c r="I876" s="10" t="s">
        <v>77</v>
      </c>
      <c r="J876" s="13" t="n">
        <v>192.16</v>
      </c>
      <c r="K876" s="10" t="n">
        <v>5</v>
      </c>
      <c r="L876" s="14" t="n">
        <v>0.2</v>
      </c>
      <c r="M876" s="15" t="n">
        <v>67.256</v>
      </c>
      <c r="N876" s="10" t="str">
        <f aca="false">IF(M876&lt;0,"Loss",IF(M876&lt;50,"Low Profit",IF(M876&lt;200,"Medium Profit","High Profit")))</f>
        <v>Medium Profit</v>
      </c>
      <c r="O876" s="10" t="str">
        <f aca="false">IF(J876&gt;=500,"High Value","Standard")</f>
        <v>Standard</v>
      </c>
      <c r="P876" s="10" t="str">
        <f aca="false">H876&amp;" &gt; "&amp;I876&amp;" ("&amp;K876&amp;" units)"</f>
        <v>Office Supplies &gt; Paper (5 units)</v>
      </c>
      <c r="Q876" s="10" t="str">
        <f aca="false">VLOOKUP(G876,Region_Manager_Table,2,FALSE())</f>
        <v>Karthik Iyer</v>
      </c>
      <c r="R876" s="10" t="n">
        <f aca="false">INDEX(SLA_Days_Col,MATCH(A876,ShipMode_Col,0))</f>
        <v>6</v>
      </c>
    </row>
    <row r="877" customFormat="false" ht="15" hidden="false" customHeight="false" outlineLevel="0" collapsed="false">
      <c r="A877" s="16" t="s">
        <v>64</v>
      </c>
      <c r="B877" s="16" t="s">
        <v>80</v>
      </c>
      <c r="C877" s="16" t="s">
        <v>51</v>
      </c>
      <c r="D877" s="16" t="s">
        <v>75</v>
      </c>
      <c r="E877" s="16" t="s">
        <v>283</v>
      </c>
      <c r="F877" s="16" t="n">
        <v>3301</v>
      </c>
      <c r="G877" s="16" t="s">
        <v>93</v>
      </c>
      <c r="H877" s="16" t="s">
        <v>55</v>
      </c>
      <c r="I877" s="16" t="s">
        <v>69</v>
      </c>
      <c r="J877" s="17" t="n">
        <v>322.59</v>
      </c>
      <c r="K877" s="16" t="n">
        <v>3</v>
      </c>
      <c r="L877" s="18" t="n">
        <v>0</v>
      </c>
      <c r="M877" s="19" t="n">
        <v>64.518</v>
      </c>
      <c r="N877" s="16" t="str">
        <f aca="false">IF(M877&lt;0,"Loss",IF(M877&lt;50,"Low Profit",IF(M877&lt;200,"Medium Profit","High Profit")))</f>
        <v>Medium Profit</v>
      </c>
      <c r="O877" s="16" t="str">
        <f aca="false">IF(J877&gt;=500,"High Value","Standard")</f>
        <v>Standard</v>
      </c>
      <c r="P877" s="16" t="str">
        <f aca="false">H877&amp;" &gt; "&amp;I877&amp;" ("&amp;K877&amp;" units)"</f>
        <v>Furniture &gt; Furnishings (3 units)</v>
      </c>
      <c r="Q877" s="16" t="str">
        <f aca="false">VLOOKUP(G877,Region_Manager_Table,2,FALSE())</f>
        <v>Priya Menon</v>
      </c>
      <c r="R877" s="16" t="n">
        <f aca="false">INDEX(SLA_Days_Col,MATCH(A877,ShipMode_Col,0))</f>
        <v>6</v>
      </c>
    </row>
    <row r="878" customFormat="false" ht="15" hidden="false" customHeight="false" outlineLevel="0" collapsed="false">
      <c r="A878" s="10" t="s">
        <v>64</v>
      </c>
      <c r="B878" s="10" t="s">
        <v>80</v>
      </c>
      <c r="C878" s="10" t="s">
        <v>51</v>
      </c>
      <c r="D878" s="10" t="s">
        <v>75</v>
      </c>
      <c r="E878" s="10" t="s">
        <v>283</v>
      </c>
      <c r="F878" s="10" t="n">
        <v>3301</v>
      </c>
      <c r="G878" s="10" t="s">
        <v>93</v>
      </c>
      <c r="H878" s="10" t="s">
        <v>71</v>
      </c>
      <c r="I878" s="10" t="s">
        <v>95</v>
      </c>
      <c r="J878" s="13" t="n">
        <v>29.99</v>
      </c>
      <c r="K878" s="10" t="n">
        <v>1</v>
      </c>
      <c r="L878" s="14" t="n">
        <v>0</v>
      </c>
      <c r="M878" s="15" t="n">
        <v>13.1956</v>
      </c>
      <c r="N878" s="10" t="str">
        <f aca="false">IF(M878&lt;0,"Loss",IF(M878&lt;50,"Low Profit",IF(M878&lt;200,"Medium Profit","High Profit")))</f>
        <v>Low Profit</v>
      </c>
      <c r="O878" s="10" t="str">
        <f aca="false">IF(J878&gt;=500,"High Value","Standard")</f>
        <v>Standard</v>
      </c>
      <c r="P878" s="10" t="str">
        <f aca="false">H878&amp;" &gt; "&amp;I878&amp;" ("&amp;K878&amp;" units)"</f>
        <v>Technology &gt; Accessories (1 units)</v>
      </c>
      <c r="Q878" s="10" t="str">
        <f aca="false">VLOOKUP(G878,Region_Manager_Table,2,FALSE())</f>
        <v>Priya Menon</v>
      </c>
      <c r="R878" s="10" t="n">
        <f aca="false">INDEX(SLA_Days_Col,MATCH(A878,ShipMode_Col,0))</f>
        <v>6</v>
      </c>
    </row>
    <row r="879" customFormat="false" ht="15" hidden="false" customHeight="false" outlineLevel="0" collapsed="false">
      <c r="A879" s="16" t="s">
        <v>64</v>
      </c>
      <c r="B879" s="16" t="s">
        <v>80</v>
      </c>
      <c r="C879" s="16" t="s">
        <v>51</v>
      </c>
      <c r="D879" s="16" t="s">
        <v>75</v>
      </c>
      <c r="E879" s="16" t="s">
        <v>283</v>
      </c>
      <c r="F879" s="16" t="n">
        <v>3301</v>
      </c>
      <c r="G879" s="16" t="s">
        <v>93</v>
      </c>
      <c r="H879" s="16" t="s">
        <v>71</v>
      </c>
      <c r="I879" s="16" t="s">
        <v>95</v>
      </c>
      <c r="J879" s="17" t="n">
        <v>371.97</v>
      </c>
      <c r="K879" s="16" t="n">
        <v>3</v>
      </c>
      <c r="L879" s="18" t="n">
        <v>0</v>
      </c>
      <c r="M879" s="19" t="n">
        <v>66.9546</v>
      </c>
      <c r="N879" s="16" t="str">
        <f aca="false">IF(M879&lt;0,"Loss",IF(M879&lt;50,"Low Profit",IF(M879&lt;200,"Medium Profit","High Profit")))</f>
        <v>Medium Profit</v>
      </c>
      <c r="O879" s="16" t="str">
        <f aca="false">IF(J879&gt;=500,"High Value","Standard")</f>
        <v>Standard</v>
      </c>
      <c r="P879" s="16" t="str">
        <f aca="false">H879&amp;" &gt; "&amp;I879&amp;" ("&amp;K879&amp;" units)"</f>
        <v>Technology &gt; Accessories (3 units)</v>
      </c>
      <c r="Q879" s="16" t="str">
        <f aca="false">VLOOKUP(G879,Region_Manager_Table,2,FALSE())</f>
        <v>Priya Menon</v>
      </c>
      <c r="R879" s="16" t="n">
        <f aca="false">INDEX(SLA_Days_Col,MATCH(A879,ShipMode_Col,0))</f>
        <v>6</v>
      </c>
    </row>
    <row r="880" customFormat="false" ht="15" hidden="false" customHeight="false" outlineLevel="0" collapsed="false">
      <c r="A880" s="10" t="s">
        <v>64</v>
      </c>
      <c r="B880" s="10" t="s">
        <v>80</v>
      </c>
      <c r="C880" s="10" t="s">
        <v>51</v>
      </c>
      <c r="D880" s="10" t="s">
        <v>91</v>
      </c>
      <c r="E880" s="10" t="s">
        <v>92</v>
      </c>
      <c r="F880" s="10" t="n">
        <v>19120</v>
      </c>
      <c r="G880" s="10" t="s">
        <v>93</v>
      </c>
      <c r="H880" s="10" t="s">
        <v>62</v>
      </c>
      <c r="I880" s="10" t="s">
        <v>73</v>
      </c>
      <c r="J880" s="13" t="n">
        <v>5.892</v>
      </c>
      <c r="K880" s="10" t="n">
        <v>4</v>
      </c>
      <c r="L880" s="14" t="n">
        <v>0.7</v>
      </c>
      <c r="M880" s="15" t="n">
        <v>-4.1244</v>
      </c>
      <c r="N880" s="10" t="str">
        <f aca="false">IF(M880&lt;0,"Loss",IF(M880&lt;50,"Low Profit",IF(M880&lt;200,"Medium Profit","High Profit")))</f>
        <v>Loss</v>
      </c>
      <c r="O880" s="10" t="str">
        <f aca="false">IF(J880&gt;=500,"High Value","Standard")</f>
        <v>Standard</v>
      </c>
      <c r="P880" s="10" t="str">
        <f aca="false">H880&amp;" &gt; "&amp;I880&amp;" ("&amp;K880&amp;" units)"</f>
        <v>Office Supplies &gt; Binders (4 units)</v>
      </c>
      <c r="Q880" s="10" t="str">
        <f aca="false">VLOOKUP(G880,Region_Manager_Table,2,FALSE())</f>
        <v>Priya Menon</v>
      </c>
      <c r="R880" s="10" t="n">
        <f aca="false">INDEX(SLA_Days_Col,MATCH(A880,ShipMode_Col,0))</f>
        <v>6</v>
      </c>
    </row>
    <row r="881" customFormat="false" ht="15" hidden="false" customHeight="false" outlineLevel="0" collapsed="false">
      <c r="A881" s="16" t="s">
        <v>49</v>
      </c>
      <c r="B881" s="16" t="s">
        <v>80</v>
      </c>
      <c r="C881" s="16" t="s">
        <v>51</v>
      </c>
      <c r="D881" s="16" t="s">
        <v>111</v>
      </c>
      <c r="E881" s="16" t="s">
        <v>112</v>
      </c>
      <c r="F881" s="16" t="n">
        <v>10024</v>
      </c>
      <c r="G881" s="16" t="s">
        <v>93</v>
      </c>
      <c r="H881" s="16" t="s">
        <v>62</v>
      </c>
      <c r="I881" s="16" t="s">
        <v>73</v>
      </c>
      <c r="J881" s="17" t="n">
        <v>68.472</v>
      </c>
      <c r="K881" s="16" t="n">
        <v>3</v>
      </c>
      <c r="L881" s="18" t="n">
        <v>0.2</v>
      </c>
      <c r="M881" s="19" t="n">
        <v>23.1093</v>
      </c>
      <c r="N881" s="16" t="str">
        <f aca="false">IF(M881&lt;0,"Loss",IF(M881&lt;50,"Low Profit",IF(M881&lt;200,"Medium Profit","High Profit")))</f>
        <v>Low Profit</v>
      </c>
      <c r="O881" s="16" t="str">
        <f aca="false">IF(J881&gt;=500,"High Value","Standard")</f>
        <v>Standard</v>
      </c>
      <c r="P881" s="16" t="str">
        <f aca="false">H881&amp;" &gt; "&amp;I881&amp;" ("&amp;K881&amp;" units)"</f>
        <v>Office Supplies &gt; Binders (3 units)</v>
      </c>
      <c r="Q881" s="16" t="str">
        <f aca="false">VLOOKUP(G881,Region_Manager_Table,2,FALSE())</f>
        <v>Priya Menon</v>
      </c>
      <c r="R881" s="16" t="n">
        <f aca="false">INDEX(SLA_Days_Col,MATCH(A881,ShipMode_Col,0))</f>
        <v>4</v>
      </c>
    </row>
    <row r="882" customFormat="false" ht="15" hidden="false" customHeight="false" outlineLevel="0" collapsed="false">
      <c r="A882" s="10" t="s">
        <v>49</v>
      </c>
      <c r="B882" s="10" t="s">
        <v>80</v>
      </c>
      <c r="C882" s="10" t="s">
        <v>51</v>
      </c>
      <c r="D882" s="10" t="s">
        <v>111</v>
      </c>
      <c r="E882" s="10" t="s">
        <v>112</v>
      </c>
      <c r="F882" s="10" t="n">
        <v>10024</v>
      </c>
      <c r="G882" s="10" t="s">
        <v>93</v>
      </c>
      <c r="H882" s="10" t="s">
        <v>55</v>
      </c>
      <c r="I882" s="10" t="s">
        <v>57</v>
      </c>
      <c r="J882" s="13" t="n">
        <v>1242.9</v>
      </c>
      <c r="K882" s="10" t="n">
        <v>5</v>
      </c>
      <c r="L882" s="14" t="n">
        <v>0.1</v>
      </c>
      <c r="M882" s="15" t="n">
        <v>262.39</v>
      </c>
      <c r="N882" s="10" t="str">
        <f aca="false">IF(M882&lt;0,"Loss",IF(M882&lt;50,"Low Profit",IF(M882&lt;200,"Medium Profit","High Profit")))</f>
        <v>High Profit</v>
      </c>
      <c r="O882" s="10" t="str">
        <f aca="false">IF(J882&gt;=500,"High Value","Standard")</f>
        <v>High Value</v>
      </c>
      <c r="P882" s="10" t="str">
        <f aca="false">H882&amp;" &gt; "&amp;I882&amp;" ("&amp;K882&amp;" units)"</f>
        <v>Furniture &gt; Chairs (5 units)</v>
      </c>
      <c r="Q882" s="10" t="str">
        <f aca="false">VLOOKUP(G882,Region_Manager_Table,2,FALSE())</f>
        <v>Priya Menon</v>
      </c>
      <c r="R882" s="10" t="n">
        <f aca="false">INDEX(SLA_Days_Col,MATCH(A882,ShipMode_Col,0))</f>
        <v>4</v>
      </c>
    </row>
    <row r="883" customFormat="false" ht="15" hidden="false" customHeight="false" outlineLevel="0" collapsed="false">
      <c r="A883" s="16" t="s">
        <v>64</v>
      </c>
      <c r="B883" s="16" t="s">
        <v>50</v>
      </c>
      <c r="C883" s="16" t="s">
        <v>51</v>
      </c>
      <c r="D883" s="16" t="s">
        <v>118</v>
      </c>
      <c r="E883" s="16" t="s">
        <v>119</v>
      </c>
      <c r="F883" s="16" t="n">
        <v>22153</v>
      </c>
      <c r="G883" s="16" t="s">
        <v>54</v>
      </c>
      <c r="H883" s="16" t="s">
        <v>62</v>
      </c>
      <c r="I883" s="16" t="s">
        <v>68</v>
      </c>
      <c r="J883" s="17" t="n">
        <v>30.84</v>
      </c>
      <c r="K883" s="16" t="n">
        <v>2</v>
      </c>
      <c r="L883" s="18" t="n">
        <v>0</v>
      </c>
      <c r="M883" s="19" t="n">
        <v>8.3268</v>
      </c>
      <c r="N883" s="16" t="str">
        <f aca="false">IF(M883&lt;0,"Loss",IF(M883&lt;50,"Low Profit",IF(M883&lt;200,"Medium Profit","High Profit")))</f>
        <v>Low Profit</v>
      </c>
      <c r="O883" s="16" t="str">
        <f aca="false">IF(J883&gt;=500,"High Value","Standard")</f>
        <v>Standard</v>
      </c>
      <c r="P883" s="16" t="str">
        <f aca="false">H883&amp;" &gt; "&amp;I883&amp;" ("&amp;K883&amp;" units)"</f>
        <v>Office Supplies &gt; Storage (2 units)</v>
      </c>
      <c r="Q883" s="16" t="str">
        <f aca="false">VLOOKUP(G883,Region_Manager_Table,2,FALSE())</f>
        <v>Karthik Iyer</v>
      </c>
      <c r="R883" s="16" t="n">
        <f aca="false">INDEX(SLA_Days_Col,MATCH(A883,ShipMode_Col,0))</f>
        <v>6</v>
      </c>
    </row>
    <row r="884" customFormat="false" ht="15" hidden="false" customHeight="false" outlineLevel="0" collapsed="false">
      <c r="A884" s="10" t="s">
        <v>204</v>
      </c>
      <c r="B884" s="10" t="s">
        <v>50</v>
      </c>
      <c r="C884" s="10" t="s">
        <v>51</v>
      </c>
      <c r="D884" s="10" t="s">
        <v>88</v>
      </c>
      <c r="E884" s="10" t="s">
        <v>60</v>
      </c>
      <c r="F884" s="10" t="n">
        <v>94109</v>
      </c>
      <c r="G884" s="10" t="s">
        <v>61</v>
      </c>
      <c r="H884" s="10" t="s">
        <v>62</v>
      </c>
      <c r="I884" s="10" t="s">
        <v>70</v>
      </c>
      <c r="J884" s="13" t="n">
        <v>13.48</v>
      </c>
      <c r="K884" s="10" t="n">
        <v>4</v>
      </c>
      <c r="L884" s="14" t="n">
        <v>0</v>
      </c>
      <c r="M884" s="15" t="n">
        <v>5.9312</v>
      </c>
      <c r="N884" s="10" t="str">
        <f aca="false">IF(M884&lt;0,"Loss",IF(M884&lt;50,"Low Profit",IF(M884&lt;200,"Medium Profit","High Profit")))</f>
        <v>Low Profit</v>
      </c>
      <c r="O884" s="10" t="str">
        <f aca="false">IF(J884&gt;=500,"High Value","Standard")</f>
        <v>Standard</v>
      </c>
      <c r="P884" s="10" t="str">
        <f aca="false">H884&amp;" &gt; "&amp;I884&amp;" ("&amp;K884&amp;" units)"</f>
        <v>Office Supplies &gt; Art (4 units)</v>
      </c>
      <c r="Q884" s="10" t="str">
        <f aca="false">VLOOKUP(G884,Region_Manager_Table,2,FALSE())</f>
        <v>Sana Sheikh</v>
      </c>
      <c r="R884" s="10" t="n">
        <f aca="false">INDEX(SLA_Days_Col,MATCH(A884,ShipMode_Col,0))</f>
        <v>1</v>
      </c>
    </row>
    <row r="885" customFormat="false" ht="15" hidden="false" customHeight="false" outlineLevel="0" collapsed="false">
      <c r="A885" s="16" t="s">
        <v>98</v>
      </c>
      <c r="B885" s="16" t="s">
        <v>80</v>
      </c>
      <c r="C885" s="16" t="s">
        <v>51</v>
      </c>
      <c r="D885" s="16" t="s">
        <v>176</v>
      </c>
      <c r="E885" s="16" t="s">
        <v>106</v>
      </c>
      <c r="F885" s="16" t="n">
        <v>48227</v>
      </c>
      <c r="G885" s="16" t="s">
        <v>83</v>
      </c>
      <c r="H885" s="16" t="s">
        <v>55</v>
      </c>
      <c r="I885" s="16" t="s">
        <v>69</v>
      </c>
      <c r="J885" s="17" t="n">
        <v>31.4</v>
      </c>
      <c r="K885" s="16" t="n">
        <v>5</v>
      </c>
      <c r="L885" s="18" t="n">
        <v>0</v>
      </c>
      <c r="M885" s="19" t="n">
        <v>10.048</v>
      </c>
      <c r="N885" s="16" t="str">
        <f aca="false">IF(M885&lt;0,"Loss",IF(M885&lt;50,"Low Profit",IF(M885&lt;200,"Medium Profit","High Profit")))</f>
        <v>Low Profit</v>
      </c>
      <c r="O885" s="16" t="str">
        <f aca="false">IF(J885&gt;=500,"High Value","Standard")</f>
        <v>Standard</v>
      </c>
      <c r="P885" s="16" t="str">
        <f aca="false">H885&amp;" &gt; "&amp;I885&amp;" ("&amp;K885&amp;" units)"</f>
        <v>Furniture &gt; Furnishings (5 units)</v>
      </c>
      <c r="Q885" s="16" t="str">
        <f aca="false">VLOOKUP(G885,Region_Manager_Table,2,FALSE())</f>
        <v>Aditya Rao</v>
      </c>
      <c r="R885" s="16" t="n">
        <f aca="false">INDEX(SLA_Days_Col,MATCH(A885,ShipMode_Col,0))</f>
        <v>2</v>
      </c>
    </row>
    <row r="886" customFormat="false" ht="15" hidden="false" customHeight="false" outlineLevel="0" collapsed="false">
      <c r="A886" s="10" t="s">
        <v>64</v>
      </c>
      <c r="B886" s="10" t="s">
        <v>50</v>
      </c>
      <c r="C886" s="10" t="s">
        <v>51</v>
      </c>
      <c r="D886" s="10" t="s">
        <v>128</v>
      </c>
      <c r="E886" s="10" t="s">
        <v>112</v>
      </c>
      <c r="F886" s="10" t="n">
        <v>14609</v>
      </c>
      <c r="G886" s="10" t="s">
        <v>93</v>
      </c>
      <c r="H886" s="10" t="s">
        <v>55</v>
      </c>
      <c r="I886" s="10" t="s">
        <v>69</v>
      </c>
      <c r="J886" s="13" t="n">
        <v>17.46</v>
      </c>
      <c r="K886" s="10" t="n">
        <v>2</v>
      </c>
      <c r="L886" s="14" t="n">
        <v>0</v>
      </c>
      <c r="M886" s="15" t="n">
        <v>5.9364</v>
      </c>
      <c r="N886" s="10" t="str">
        <f aca="false">IF(M886&lt;0,"Loss",IF(M886&lt;50,"Low Profit",IF(M886&lt;200,"Medium Profit","High Profit")))</f>
        <v>Low Profit</v>
      </c>
      <c r="O886" s="10" t="str">
        <f aca="false">IF(J886&gt;=500,"High Value","Standard")</f>
        <v>Standard</v>
      </c>
      <c r="P886" s="10" t="str">
        <f aca="false">H886&amp;" &gt; "&amp;I886&amp;" ("&amp;K886&amp;" units)"</f>
        <v>Furniture &gt; Furnishings (2 units)</v>
      </c>
      <c r="Q886" s="10" t="str">
        <f aca="false">VLOOKUP(G886,Region_Manager_Table,2,FALSE())</f>
        <v>Priya Menon</v>
      </c>
      <c r="R886" s="10" t="n">
        <f aca="false">INDEX(SLA_Days_Col,MATCH(A886,ShipMode_Col,0))</f>
        <v>6</v>
      </c>
    </row>
    <row r="887" customFormat="false" ht="15" hidden="false" customHeight="false" outlineLevel="0" collapsed="false">
      <c r="A887" s="16" t="s">
        <v>49</v>
      </c>
      <c r="B887" s="16" t="s">
        <v>58</v>
      </c>
      <c r="C887" s="16" t="s">
        <v>51</v>
      </c>
      <c r="D887" s="16" t="s">
        <v>59</v>
      </c>
      <c r="E887" s="16" t="s">
        <v>60</v>
      </c>
      <c r="F887" s="16" t="n">
        <v>90045</v>
      </c>
      <c r="G887" s="16" t="s">
        <v>61</v>
      </c>
      <c r="H887" s="16" t="s">
        <v>62</v>
      </c>
      <c r="I887" s="16" t="s">
        <v>73</v>
      </c>
      <c r="J887" s="17" t="n">
        <v>13.944</v>
      </c>
      <c r="K887" s="16" t="n">
        <v>3</v>
      </c>
      <c r="L887" s="18" t="n">
        <v>0.2</v>
      </c>
      <c r="M887" s="19" t="n">
        <v>4.5318</v>
      </c>
      <c r="N887" s="16" t="str">
        <f aca="false">IF(M887&lt;0,"Loss",IF(M887&lt;50,"Low Profit",IF(M887&lt;200,"Medium Profit","High Profit")))</f>
        <v>Low Profit</v>
      </c>
      <c r="O887" s="16" t="str">
        <f aca="false">IF(J887&gt;=500,"High Value","Standard")</f>
        <v>Standard</v>
      </c>
      <c r="P887" s="16" t="str">
        <f aca="false">H887&amp;" &gt; "&amp;I887&amp;" ("&amp;K887&amp;" units)"</f>
        <v>Office Supplies &gt; Binders (3 units)</v>
      </c>
      <c r="Q887" s="16" t="str">
        <f aca="false">VLOOKUP(G887,Region_Manager_Table,2,FALSE())</f>
        <v>Sana Sheikh</v>
      </c>
      <c r="R887" s="16" t="n">
        <f aca="false">INDEX(SLA_Days_Col,MATCH(A887,ShipMode_Col,0))</f>
        <v>4</v>
      </c>
    </row>
    <row r="888" customFormat="false" ht="15" hidden="false" customHeight="false" outlineLevel="0" collapsed="false">
      <c r="A888" s="10" t="s">
        <v>64</v>
      </c>
      <c r="B888" s="10" t="s">
        <v>50</v>
      </c>
      <c r="C888" s="10" t="s">
        <v>51</v>
      </c>
      <c r="D888" s="10" t="s">
        <v>180</v>
      </c>
      <c r="E888" s="10" t="s">
        <v>60</v>
      </c>
      <c r="F888" s="10" t="n">
        <v>92105</v>
      </c>
      <c r="G888" s="10" t="s">
        <v>61</v>
      </c>
      <c r="H888" s="10" t="s">
        <v>62</v>
      </c>
      <c r="I888" s="10" t="s">
        <v>68</v>
      </c>
      <c r="J888" s="13" t="n">
        <v>83.76</v>
      </c>
      <c r="K888" s="10" t="n">
        <v>12</v>
      </c>
      <c r="L888" s="14" t="n">
        <v>0</v>
      </c>
      <c r="M888" s="15" t="n">
        <v>1.6752</v>
      </c>
      <c r="N888" s="10" t="str">
        <f aca="false">IF(M888&lt;0,"Loss",IF(M888&lt;50,"Low Profit",IF(M888&lt;200,"Medium Profit","High Profit")))</f>
        <v>Low Profit</v>
      </c>
      <c r="O888" s="10" t="str">
        <f aca="false">IF(J888&gt;=500,"High Value","Standard")</f>
        <v>Standard</v>
      </c>
      <c r="P888" s="10" t="str">
        <f aca="false">H888&amp;" &gt; "&amp;I888&amp;" ("&amp;K888&amp;" units)"</f>
        <v>Office Supplies &gt; Storage (12 units)</v>
      </c>
      <c r="Q888" s="10" t="str">
        <f aca="false">VLOOKUP(G888,Region_Manager_Table,2,FALSE())</f>
        <v>Sana Sheikh</v>
      </c>
      <c r="R888" s="10" t="n">
        <f aca="false">INDEX(SLA_Days_Col,MATCH(A888,ShipMode_Col,0))</f>
        <v>6</v>
      </c>
    </row>
    <row r="889" customFormat="false" ht="15" hidden="false" customHeight="false" outlineLevel="0" collapsed="false">
      <c r="A889" s="16" t="s">
        <v>64</v>
      </c>
      <c r="B889" s="16" t="s">
        <v>80</v>
      </c>
      <c r="C889" s="16" t="s">
        <v>51</v>
      </c>
      <c r="D889" s="16" t="s">
        <v>126</v>
      </c>
      <c r="E889" s="16" t="s">
        <v>284</v>
      </c>
      <c r="F889" s="16" t="n">
        <v>21044</v>
      </c>
      <c r="G889" s="16" t="s">
        <v>93</v>
      </c>
      <c r="H889" s="16" t="s">
        <v>62</v>
      </c>
      <c r="I889" s="16" t="s">
        <v>73</v>
      </c>
      <c r="J889" s="17" t="n">
        <v>37.66</v>
      </c>
      <c r="K889" s="16" t="n">
        <v>7</v>
      </c>
      <c r="L889" s="18" t="n">
        <v>0</v>
      </c>
      <c r="M889" s="19" t="n">
        <v>18.4534</v>
      </c>
      <c r="N889" s="16" t="str">
        <f aca="false">IF(M889&lt;0,"Loss",IF(M889&lt;50,"Low Profit",IF(M889&lt;200,"Medium Profit","High Profit")))</f>
        <v>Low Profit</v>
      </c>
      <c r="O889" s="16" t="str">
        <f aca="false">IF(J889&gt;=500,"High Value","Standard")</f>
        <v>Standard</v>
      </c>
      <c r="P889" s="16" t="str">
        <f aca="false">H889&amp;" &gt; "&amp;I889&amp;" ("&amp;K889&amp;" units)"</f>
        <v>Office Supplies &gt; Binders (7 units)</v>
      </c>
      <c r="Q889" s="16" t="str">
        <f aca="false">VLOOKUP(G889,Region_Manager_Table,2,FALSE())</f>
        <v>Priya Menon</v>
      </c>
      <c r="R889" s="16" t="n">
        <f aca="false">INDEX(SLA_Days_Col,MATCH(A889,ShipMode_Col,0))</f>
        <v>6</v>
      </c>
    </row>
    <row r="890" customFormat="false" ht="15" hidden="false" customHeight="false" outlineLevel="0" collapsed="false">
      <c r="A890" s="10" t="s">
        <v>64</v>
      </c>
      <c r="B890" s="10" t="s">
        <v>58</v>
      </c>
      <c r="C890" s="10" t="s">
        <v>51</v>
      </c>
      <c r="D890" s="10" t="s">
        <v>88</v>
      </c>
      <c r="E890" s="10" t="s">
        <v>60</v>
      </c>
      <c r="F890" s="10" t="n">
        <v>94122</v>
      </c>
      <c r="G890" s="10" t="s">
        <v>61</v>
      </c>
      <c r="H890" s="10" t="s">
        <v>62</v>
      </c>
      <c r="I890" s="10" t="s">
        <v>77</v>
      </c>
      <c r="J890" s="13" t="n">
        <v>34.68</v>
      </c>
      <c r="K890" s="10" t="n">
        <v>6</v>
      </c>
      <c r="L890" s="14" t="n">
        <v>0</v>
      </c>
      <c r="M890" s="15" t="n">
        <v>16.9932</v>
      </c>
      <c r="N890" s="10" t="str">
        <f aca="false">IF(M890&lt;0,"Loss",IF(M890&lt;50,"Low Profit",IF(M890&lt;200,"Medium Profit","High Profit")))</f>
        <v>Low Profit</v>
      </c>
      <c r="O890" s="10" t="str">
        <f aca="false">IF(J890&gt;=500,"High Value","Standard")</f>
        <v>Standard</v>
      </c>
      <c r="P890" s="10" t="str">
        <f aca="false">H890&amp;" &gt; "&amp;I890&amp;" ("&amp;K890&amp;" units)"</f>
        <v>Office Supplies &gt; Paper (6 units)</v>
      </c>
      <c r="Q890" s="10" t="str">
        <f aca="false">VLOOKUP(G890,Region_Manager_Table,2,FALSE())</f>
        <v>Sana Sheikh</v>
      </c>
      <c r="R890" s="10" t="n">
        <f aca="false">INDEX(SLA_Days_Col,MATCH(A890,ShipMode_Col,0))</f>
        <v>6</v>
      </c>
    </row>
    <row r="891" customFormat="false" ht="15" hidden="false" customHeight="false" outlineLevel="0" collapsed="false">
      <c r="A891" s="16" t="s">
        <v>64</v>
      </c>
      <c r="B891" s="16" t="s">
        <v>50</v>
      </c>
      <c r="C891" s="16" t="s">
        <v>51</v>
      </c>
      <c r="D891" s="16" t="s">
        <v>223</v>
      </c>
      <c r="E891" s="16" t="s">
        <v>112</v>
      </c>
      <c r="F891" s="16" t="n">
        <v>10801</v>
      </c>
      <c r="G891" s="16" t="s">
        <v>93</v>
      </c>
      <c r="H891" s="16" t="s">
        <v>71</v>
      </c>
      <c r="I891" s="16" t="s">
        <v>95</v>
      </c>
      <c r="J891" s="17" t="n">
        <v>149.95</v>
      </c>
      <c r="K891" s="16" t="n">
        <v>5</v>
      </c>
      <c r="L891" s="18" t="n">
        <v>0</v>
      </c>
      <c r="M891" s="19" t="n">
        <v>14.995</v>
      </c>
      <c r="N891" s="16" t="str">
        <f aca="false">IF(M891&lt;0,"Loss",IF(M891&lt;50,"Low Profit",IF(M891&lt;200,"Medium Profit","High Profit")))</f>
        <v>Low Profit</v>
      </c>
      <c r="O891" s="16" t="str">
        <f aca="false">IF(J891&gt;=500,"High Value","Standard")</f>
        <v>Standard</v>
      </c>
      <c r="P891" s="16" t="str">
        <f aca="false">H891&amp;" &gt; "&amp;I891&amp;" ("&amp;K891&amp;" units)"</f>
        <v>Technology &gt; Accessories (5 units)</v>
      </c>
      <c r="Q891" s="16" t="str">
        <f aca="false">VLOOKUP(G891,Region_Manager_Table,2,FALSE())</f>
        <v>Priya Menon</v>
      </c>
      <c r="R891" s="16" t="n">
        <f aca="false">INDEX(SLA_Days_Col,MATCH(A891,ShipMode_Col,0))</f>
        <v>6</v>
      </c>
    </row>
    <row r="892" customFormat="false" ht="15" hidden="false" customHeight="false" outlineLevel="0" collapsed="false">
      <c r="A892" s="10" t="s">
        <v>64</v>
      </c>
      <c r="B892" s="10" t="s">
        <v>50</v>
      </c>
      <c r="C892" s="10" t="s">
        <v>51</v>
      </c>
      <c r="D892" s="10" t="s">
        <v>223</v>
      </c>
      <c r="E892" s="10" t="s">
        <v>112</v>
      </c>
      <c r="F892" s="10" t="n">
        <v>10801</v>
      </c>
      <c r="G892" s="10" t="s">
        <v>93</v>
      </c>
      <c r="H892" s="10" t="s">
        <v>62</v>
      </c>
      <c r="I892" s="10" t="s">
        <v>73</v>
      </c>
      <c r="J892" s="13" t="n">
        <v>51.312</v>
      </c>
      <c r="K892" s="10" t="n">
        <v>3</v>
      </c>
      <c r="L892" s="14" t="n">
        <v>0.2</v>
      </c>
      <c r="M892" s="15" t="n">
        <v>18.6006</v>
      </c>
      <c r="N892" s="10" t="str">
        <f aca="false">IF(M892&lt;0,"Loss",IF(M892&lt;50,"Low Profit",IF(M892&lt;200,"Medium Profit","High Profit")))</f>
        <v>Low Profit</v>
      </c>
      <c r="O892" s="10" t="str">
        <f aca="false">IF(J892&gt;=500,"High Value","Standard")</f>
        <v>Standard</v>
      </c>
      <c r="P892" s="10" t="str">
        <f aca="false">H892&amp;" &gt; "&amp;I892&amp;" ("&amp;K892&amp;" units)"</f>
        <v>Office Supplies &gt; Binders (3 units)</v>
      </c>
      <c r="Q892" s="10" t="str">
        <f aca="false">VLOOKUP(G892,Region_Manager_Table,2,FALSE())</f>
        <v>Priya Menon</v>
      </c>
      <c r="R892" s="10" t="n">
        <f aca="false">INDEX(SLA_Days_Col,MATCH(A892,ShipMode_Col,0))</f>
        <v>6</v>
      </c>
    </row>
    <row r="893" customFormat="false" ht="15" hidden="false" customHeight="false" outlineLevel="0" collapsed="false">
      <c r="A893" s="16" t="s">
        <v>98</v>
      </c>
      <c r="B893" s="16" t="s">
        <v>80</v>
      </c>
      <c r="C893" s="16" t="s">
        <v>51</v>
      </c>
      <c r="D893" s="16" t="s">
        <v>176</v>
      </c>
      <c r="E893" s="16" t="s">
        <v>106</v>
      </c>
      <c r="F893" s="16" t="n">
        <v>48227</v>
      </c>
      <c r="G893" s="16" t="s">
        <v>83</v>
      </c>
      <c r="H893" s="16" t="s">
        <v>62</v>
      </c>
      <c r="I893" s="16" t="s">
        <v>77</v>
      </c>
      <c r="J893" s="17" t="n">
        <v>4.54</v>
      </c>
      <c r="K893" s="16" t="n">
        <v>1</v>
      </c>
      <c r="L893" s="18" t="n">
        <v>0</v>
      </c>
      <c r="M893" s="19" t="n">
        <v>2.043</v>
      </c>
      <c r="N893" s="16" t="str">
        <f aca="false">IF(M893&lt;0,"Loss",IF(M893&lt;50,"Low Profit",IF(M893&lt;200,"Medium Profit","High Profit")))</f>
        <v>Low Profit</v>
      </c>
      <c r="O893" s="16" t="str">
        <f aca="false">IF(J893&gt;=500,"High Value","Standard")</f>
        <v>Standard</v>
      </c>
      <c r="P893" s="16" t="str">
        <f aca="false">H893&amp;" &gt; "&amp;I893&amp;" ("&amp;K893&amp;" units)"</f>
        <v>Office Supplies &gt; Paper (1 units)</v>
      </c>
      <c r="Q893" s="16" t="str">
        <f aca="false">VLOOKUP(G893,Region_Manager_Table,2,FALSE())</f>
        <v>Aditya Rao</v>
      </c>
      <c r="R893" s="16" t="n">
        <f aca="false">INDEX(SLA_Days_Col,MATCH(A893,ShipMode_Col,0))</f>
        <v>2</v>
      </c>
    </row>
    <row r="894" customFormat="false" ht="15" hidden="false" customHeight="false" outlineLevel="0" collapsed="false">
      <c r="A894" s="10" t="s">
        <v>98</v>
      </c>
      <c r="B894" s="10" t="s">
        <v>80</v>
      </c>
      <c r="C894" s="10" t="s">
        <v>51</v>
      </c>
      <c r="D894" s="10" t="s">
        <v>176</v>
      </c>
      <c r="E894" s="10" t="s">
        <v>106</v>
      </c>
      <c r="F894" s="10" t="n">
        <v>48227</v>
      </c>
      <c r="G894" s="10" t="s">
        <v>83</v>
      </c>
      <c r="H894" s="10" t="s">
        <v>62</v>
      </c>
      <c r="I894" s="10" t="s">
        <v>70</v>
      </c>
      <c r="J894" s="13" t="n">
        <v>15.92</v>
      </c>
      <c r="K894" s="10" t="n">
        <v>4</v>
      </c>
      <c r="L894" s="14" t="n">
        <v>0</v>
      </c>
      <c r="M894" s="15" t="n">
        <v>5.4128</v>
      </c>
      <c r="N894" s="10" t="str">
        <f aca="false">IF(M894&lt;0,"Loss",IF(M894&lt;50,"Low Profit",IF(M894&lt;200,"Medium Profit","High Profit")))</f>
        <v>Low Profit</v>
      </c>
      <c r="O894" s="10" t="str">
        <f aca="false">IF(J894&gt;=500,"High Value","Standard")</f>
        <v>Standard</v>
      </c>
      <c r="P894" s="10" t="str">
        <f aca="false">H894&amp;" &gt; "&amp;I894&amp;" ("&amp;K894&amp;" units)"</f>
        <v>Office Supplies &gt; Art (4 units)</v>
      </c>
      <c r="Q894" s="10" t="str">
        <f aca="false">VLOOKUP(G894,Region_Manager_Table,2,FALSE())</f>
        <v>Aditya Rao</v>
      </c>
      <c r="R894" s="10" t="n">
        <f aca="false">INDEX(SLA_Days_Col,MATCH(A894,ShipMode_Col,0))</f>
        <v>2</v>
      </c>
    </row>
    <row r="895" customFormat="false" ht="15" hidden="false" customHeight="false" outlineLevel="0" collapsed="false">
      <c r="A895" s="16" t="s">
        <v>98</v>
      </c>
      <c r="B895" s="16" t="s">
        <v>80</v>
      </c>
      <c r="C895" s="16" t="s">
        <v>51</v>
      </c>
      <c r="D895" s="16" t="s">
        <v>176</v>
      </c>
      <c r="E895" s="16" t="s">
        <v>106</v>
      </c>
      <c r="F895" s="16" t="n">
        <v>48227</v>
      </c>
      <c r="G895" s="16" t="s">
        <v>83</v>
      </c>
      <c r="H895" s="16" t="s">
        <v>71</v>
      </c>
      <c r="I895" s="16" t="s">
        <v>72</v>
      </c>
      <c r="J895" s="17" t="n">
        <v>543.92</v>
      </c>
      <c r="K895" s="16" t="n">
        <v>8</v>
      </c>
      <c r="L895" s="18" t="n">
        <v>0</v>
      </c>
      <c r="M895" s="19" t="n">
        <v>135.98</v>
      </c>
      <c r="N895" s="16" t="str">
        <f aca="false">IF(M895&lt;0,"Loss",IF(M895&lt;50,"Low Profit",IF(M895&lt;200,"Medium Profit","High Profit")))</f>
        <v>Medium Profit</v>
      </c>
      <c r="O895" s="16" t="str">
        <f aca="false">IF(J895&gt;=500,"High Value","Standard")</f>
        <v>High Value</v>
      </c>
      <c r="P895" s="16" t="str">
        <f aca="false">H895&amp;" &gt; "&amp;I895&amp;" ("&amp;K895&amp;" units)"</f>
        <v>Technology &gt; Phones (8 units)</v>
      </c>
      <c r="Q895" s="16" t="str">
        <f aca="false">VLOOKUP(G895,Region_Manager_Table,2,FALSE())</f>
        <v>Aditya Rao</v>
      </c>
      <c r="R895" s="16" t="n">
        <f aca="false">INDEX(SLA_Days_Col,MATCH(A895,ShipMode_Col,0))</f>
        <v>2</v>
      </c>
    </row>
    <row r="896" customFormat="false" ht="15" hidden="false" customHeight="false" outlineLevel="0" collapsed="false">
      <c r="A896" s="10" t="s">
        <v>98</v>
      </c>
      <c r="B896" s="10" t="s">
        <v>58</v>
      </c>
      <c r="C896" s="10" t="s">
        <v>51</v>
      </c>
      <c r="D896" s="10" t="s">
        <v>88</v>
      </c>
      <c r="E896" s="10" t="s">
        <v>60</v>
      </c>
      <c r="F896" s="10" t="n">
        <v>94122</v>
      </c>
      <c r="G896" s="10" t="s">
        <v>61</v>
      </c>
      <c r="H896" s="10" t="s">
        <v>62</v>
      </c>
      <c r="I896" s="10" t="s">
        <v>68</v>
      </c>
      <c r="J896" s="13" t="n">
        <v>155.82</v>
      </c>
      <c r="K896" s="10" t="n">
        <v>7</v>
      </c>
      <c r="L896" s="14" t="n">
        <v>0</v>
      </c>
      <c r="M896" s="15" t="n">
        <v>42.0714</v>
      </c>
      <c r="N896" s="10" t="str">
        <f aca="false">IF(M896&lt;0,"Loss",IF(M896&lt;50,"Low Profit",IF(M896&lt;200,"Medium Profit","High Profit")))</f>
        <v>Low Profit</v>
      </c>
      <c r="O896" s="10" t="str">
        <f aca="false">IF(J896&gt;=500,"High Value","Standard")</f>
        <v>Standard</v>
      </c>
      <c r="P896" s="10" t="str">
        <f aca="false">H896&amp;" &gt; "&amp;I896&amp;" ("&amp;K896&amp;" units)"</f>
        <v>Office Supplies &gt; Storage (7 units)</v>
      </c>
      <c r="Q896" s="10" t="str">
        <f aca="false">VLOOKUP(G896,Region_Manager_Table,2,FALSE())</f>
        <v>Sana Sheikh</v>
      </c>
      <c r="R896" s="10" t="n">
        <f aca="false">INDEX(SLA_Days_Col,MATCH(A896,ShipMode_Col,0))</f>
        <v>2</v>
      </c>
    </row>
    <row r="897" customFormat="false" ht="15" hidden="false" customHeight="false" outlineLevel="0" collapsed="false">
      <c r="A897" s="16" t="s">
        <v>98</v>
      </c>
      <c r="B897" s="16" t="s">
        <v>58</v>
      </c>
      <c r="C897" s="16" t="s">
        <v>51</v>
      </c>
      <c r="D897" s="16" t="s">
        <v>88</v>
      </c>
      <c r="E897" s="16" t="s">
        <v>60</v>
      </c>
      <c r="F897" s="16" t="n">
        <v>94122</v>
      </c>
      <c r="G897" s="16" t="s">
        <v>61</v>
      </c>
      <c r="H897" s="16" t="s">
        <v>62</v>
      </c>
      <c r="I897" s="16" t="s">
        <v>73</v>
      </c>
      <c r="J897" s="17" t="n">
        <v>70.008</v>
      </c>
      <c r="K897" s="16" t="n">
        <v>3</v>
      </c>
      <c r="L897" s="18" t="n">
        <v>0.2</v>
      </c>
      <c r="M897" s="19" t="n">
        <v>24.5028</v>
      </c>
      <c r="N897" s="16" t="str">
        <f aca="false">IF(M897&lt;0,"Loss",IF(M897&lt;50,"Low Profit",IF(M897&lt;200,"Medium Profit","High Profit")))</f>
        <v>Low Profit</v>
      </c>
      <c r="O897" s="16" t="str">
        <f aca="false">IF(J897&gt;=500,"High Value","Standard")</f>
        <v>Standard</v>
      </c>
      <c r="P897" s="16" t="str">
        <f aca="false">H897&amp;" &gt; "&amp;I897&amp;" ("&amp;K897&amp;" units)"</f>
        <v>Office Supplies &gt; Binders (3 units)</v>
      </c>
      <c r="Q897" s="16" t="str">
        <f aca="false">VLOOKUP(G897,Region_Manager_Table,2,FALSE())</f>
        <v>Sana Sheikh</v>
      </c>
      <c r="R897" s="16" t="n">
        <f aca="false">INDEX(SLA_Days_Col,MATCH(A897,ShipMode_Col,0))</f>
        <v>2</v>
      </c>
    </row>
    <row r="898" customFormat="false" ht="15" hidden="false" customHeight="false" outlineLevel="0" collapsed="false">
      <c r="A898" s="10" t="s">
        <v>49</v>
      </c>
      <c r="B898" s="10" t="s">
        <v>50</v>
      </c>
      <c r="C898" s="10" t="s">
        <v>51</v>
      </c>
      <c r="D898" s="10" t="s">
        <v>97</v>
      </c>
      <c r="E898" s="10" t="s">
        <v>82</v>
      </c>
      <c r="F898" s="10" t="n">
        <v>77095</v>
      </c>
      <c r="G898" s="10" t="s">
        <v>83</v>
      </c>
      <c r="H898" s="10" t="s">
        <v>62</v>
      </c>
      <c r="I898" s="10" t="s">
        <v>96</v>
      </c>
      <c r="J898" s="13" t="n">
        <v>15.648</v>
      </c>
      <c r="K898" s="10" t="n">
        <v>2</v>
      </c>
      <c r="L898" s="14" t="n">
        <v>0.2</v>
      </c>
      <c r="M898" s="15" t="n">
        <v>5.0856</v>
      </c>
      <c r="N898" s="10" t="str">
        <f aca="false">IF(M898&lt;0,"Loss",IF(M898&lt;50,"Low Profit",IF(M898&lt;200,"Medium Profit","High Profit")))</f>
        <v>Low Profit</v>
      </c>
      <c r="O898" s="10" t="str">
        <f aca="false">IF(J898&gt;=500,"High Value","Standard")</f>
        <v>Standard</v>
      </c>
      <c r="P898" s="10" t="str">
        <f aca="false">H898&amp;" &gt; "&amp;I898&amp;" ("&amp;K898&amp;" units)"</f>
        <v>Office Supplies &gt; Envelopes (2 units)</v>
      </c>
      <c r="Q898" s="10" t="str">
        <f aca="false">VLOOKUP(G898,Region_Manager_Table,2,FALSE())</f>
        <v>Aditya Rao</v>
      </c>
      <c r="R898" s="10" t="n">
        <f aca="false">INDEX(SLA_Days_Col,MATCH(A898,ShipMode_Col,0))</f>
        <v>4</v>
      </c>
    </row>
    <row r="899" customFormat="false" ht="15" hidden="false" customHeight="false" outlineLevel="0" collapsed="false">
      <c r="A899" s="16" t="s">
        <v>64</v>
      </c>
      <c r="B899" s="16" t="s">
        <v>50</v>
      </c>
      <c r="C899" s="16" t="s">
        <v>51</v>
      </c>
      <c r="D899" s="16" t="s">
        <v>176</v>
      </c>
      <c r="E899" s="16" t="s">
        <v>106</v>
      </c>
      <c r="F899" s="16" t="n">
        <v>48227</v>
      </c>
      <c r="G899" s="16" t="s">
        <v>83</v>
      </c>
      <c r="H899" s="16" t="s">
        <v>62</v>
      </c>
      <c r="I899" s="16" t="s">
        <v>63</v>
      </c>
      <c r="J899" s="17" t="n">
        <v>103.6</v>
      </c>
      <c r="K899" s="16" t="n">
        <v>7</v>
      </c>
      <c r="L899" s="18" t="n">
        <v>0</v>
      </c>
      <c r="M899" s="19" t="n">
        <v>51.8</v>
      </c>
      <c r="N899" s="16" t="str">
        <f aca="false">IF(M899&lt;0,"Loss",IF(M899&lt;50,"Low Profit",IF(M899&lt;200,"Medium Profit","High Profit")))</f>
        <v>Medium Profit</v>
      </c>
      <c r="O899" s="16" t="str">
        <f aca="false">IF(J899&gt;=500,"High Value","Standard")</f>
        <v>Standard</v>
      </c>
      <c r="P899" s="16" t="str">
        <f aca="false">H899&amp;" &gt; "&amp;I899&amp;" ("&amp;K899&amp;" units)"</f>
        <v>Office Supplies &gt; Labels (7 units)</v>
      </c>
      <c r="Q899" s="16" t="str">
        <f aca="false">VLOOKUP(G899,Region_Manager_Table,2,FALSE())</f>
        <v>Aditya Rao</v>
      </c>
      <c r="R899" s="16" t="n">
        <f aca="false">INDEX(SLA_Days_Col,MATCH(A899,ShipMode_Col,0))</f>
        <v>6</v>
      </c>
    </row>
    <row r="900" customFormat="false" ht="15" hidden="false" customHeight="false" outlineLevel="0" collapsed="false">
      <c r="A900" s="10" t="s">
        <v>49</v>
      </c>
      <c r="B900" s="10" t="s">
        <v>58</v>
      </c>
      <c r="C900" s="10" t="s">
        <v>51</v>
      </c>
      <c r="D900" s="10" t="s">
        <v>226</v>
      </c>
      <c r="E900" s="10" t="s">
        <v>112</v>
      </c>
      <c r="F900" s="10" t="n">
        <v>13021</v>
      </c>
      <c r="G900" s="10" t="s">
        <v>93</v>
      </c>
      <c r="H900" s="10" t="s">
        <v>62</v>
      </c>
      <c r="I900" s="10" t="s">
        <v>77</v>
      </c>
      <c r="J900" s="13" t="n">
        <v>46.96</v>
      </c>
      <c r="K900" s="10" t="n">
        <v>8</v>
      </c>
      <c r="L900" s="14" t="n">
        <v>0</v>
      </c>
      <c r="M900" s="15" t="n">
        <v>22.5408</v>
      </c>
      <c r="N900" s="10" t="str">
        <f aca="false">IF(M900&lt;0,"Loss",IF(M900&lt;50,"Low Profit",IF(M900&lt;200,"Medium Profit","High Profit")))</f>
        <v>Low Profit</v>
      </c>
      <c r="O900" s="10" t="str">
        <f aca="false">IF(J900&gt;=500,"High Value","Standard")</f>
        <v>Standard</v>
      </c>
      <c r="P900" s="10" t="str">
        <f aca="false">H900&amp;" &gt; "&amp;I900&amp;" ("&amp;K900&amp;" units)"</f>
        <v>Office Supplies &gt; Paper (8 units)</v>
      </c>
      <c r="Q900" s="10" t="str">
        <f aca="false">VLOOKUP(G900,Region_Manager_Table,2,FALSE())</f>
        <v>Priya Menon</v>
      </c>
      <c r="R900" s="10" t="n">
        <f aca="false">INDEX(SLA_Days_Col,MATCH(A900,ShipMode_Col,0))</f>
        <v>4</v>
      </c>
    </row>
    <row r="901" customFormat="false" ht="15" hidden="false" customHeight="false" outlineLevel="0" collapsed="false">
      <c r="A901" s="16" t="s">
        <v>98</v>
      </c>
      <c r="B901" s="16" t="s">
        <v>58</v>
      </c>
      <c r="C901" s="16" t="s">
        <v>51</v>
      </c>
      <c r="D901" s="16" t="s">
        <v>118</v>
      </c>
      <c r="E901" s="16" t="s">
        <v>140</v>
      </c>
      <c r="F901" s="16" t="n">
        <v>45503</v>
      </c>
      <c r="G901" s="16" t="s">
        <v>93</v>
      </c>
      <c r="H901" s="16" t="s">
        <v>62</v>
      </c>
      <c r="I901" s="16" t="s">
        <v>73</v>
      </c>
      <c r="J901" s="17" t="n">
        <v>8.904</v>
      </c>
      <c r="K901" s="16" t="n">
        <v>2</v>
      </c>
      <c r="L901" s="18" t="n">
        <v>0.7</v>
      </c>
      <c r="M901" s="19" t="n">
        <v>-6.5296</v>
      </c>
      <c r="N901" s="16" t="str">
        <f aca="false">IF(M901&lt;0,"Loss",IF(M901&lt;50,"Low Profit",IF(M901&lt;200,"Medium Profit","High Profit")))</f>
        <v>Loss</v>
      </c>
      <c r="O901" s="16" t="str">
        <f aca="false">IF(J901&gt;=500,"High Value","Standard")</f>
        <v>Standard</v>
      </c>
      <c r="P901" s="16" t="str">
        <f aca="false">H901&amp;" &gt; "&amp;I901&amp;" ("&amp;K901&amp;" units)"</f>
        <v>Office Supplies &gt; Binders (2 units)</v>
      </c>
      <c r="Q901" s="16" t="str">
        <f aca="false">VLOOKUP(G901,Region_Manager_Table,2,FALSE())</f>
        <v>Priya Menon</v>
      </c>
      <c r="R901" s="16" t="n">
        <f aca="false">INDEX(SLA_Days_Col,MATCH(A901,ShipMode_Col,0))</f>
        <v>2</v>
      </c>
    </row>
    <row r="902" customFormat="false" ht="15" hidden="false" customHeight="false" outlineLevel="0" collapsed="false">
      <c r="A902" s="10" t="s">
        <v>98</v>
      </c>
      <c r="B902" s="10" t="s">
        <v>50</v>
      </c>
      <c r="C902" s="10" t="s">
        <v>51</v>
      </c>
      <c r="D902" s="10" t="s">
        <v>285</v>
      </c>
      <c r="E902" s="10" t="s">
        <v>82</v>
      </c>
      <c r="F902" s="10" t="n">
        <v>75043</v>
      </c>
      <c r="G902" s="10" t="s">
        <v>83</v>
      </c>
      <c r="H902" s="10" t="s">
        <v>62</v>
      </c>
      <c r="I902" s="10" t="s">
        <v>63</v>
      </c>
      <c r="J902" s="13" t="n">
        <v>10.44</v>
      </c>
      <c r="K902" s="10" t="n">
        <v>5</v>
      </c>
      <c r="L902" s="14" t="n">
        <v>0.2</v>
      </c>
      <c r="M902" s="15" t="n">
        <v>3.393</v>
      </c>
      <c r="N902" s="10" t="str">
        <f aca="false">IF(M902&lt;0,"Loss",IF(M902&lt;50,"Low Profit",IF(M902&lt;200,"Medium Profit","High Profit")))</f>
        <v>Low Profit</v>
      </c>
      <c r="O902" s="10" t="str">
        <f aca="false">IF(J902&gt;=500,"High Value","Standard")</f>
        <v>Standard</v>
      </c>
      <c r="P902" s="10" t="str">
        <f aca="false">H902&amp;" &gt; "&amp;I902&amp;" ("&amp;K902&amp;" units)"</f>
        <v>Office Supplies &gt; Labels (5 units)</v>
      </c>
      <c r="Q902" s="10" t="str">
        <f aca="false">VLOOKUP(G902,Region_Manager_Table,2,FALSE())</f>
        <v>Aditya Rao</v>
      </c>
      <c r="R902" s="10" t="n">
        <f aca="false">INDEX(SLA_Days_Col,MATCH(A902,ShipMode_Col,0))</f>
        <v>2</v>
      </c>
    </row>
    <row r="903" customFormat="false" ht="15" hidden="false" customHeight="false" outlineLevel="0" collapsed="false">
      <c r="A903" s="16" t="s">
        <v>98</v>
      </c>
      <c r="B903" s="16" t="s">
        <v>50</v>
      </c>
      <c r="C903" s="16" t="s">
        <v>51</v>
      </c>
      <c r="D903" s="16" t="s">
        <v>285</v>
      </c>
      <c r="E903" s="16" t="s">
        <v>82</v>
      </c>
      <c r="F903" s="16" t="n">
        <v>75043</v>
      </c>
      <c r="G903" s="16" t="s">
        <v>83</v>
      </c>
      <c r="H903" s="16" t="s">
        <v>62</v>
      </c>
      <c r="I903" s="16" t="s">
        <v>73</v>
      </c>
      <c r="J903" s="17" t="n">
        <v>18.336</v>
      </c>
      <c r="K903" s="16" t="n">
        <v>4</v>
      </c>
      <c r="L903" s="18" t="n">
        <v>0.8</v>
      </c>
      <c r="M903" s="19" t="n">
        <v>-32.088</v>
      </c>
      <c r="N903" s="16" t="str">
        <f aca="false">IF(M903&lt;0,"Loss",IF(M903&lt;50,"Low Profit",IF(M903&lt;200,"Medium Profit","High Profit")))</f>
        <v>Loss</v>
      </c>
      <c r="O903" s="16" t="str">
        <f aca="false">IF(J903&gt;=500,"High Value","Standard")</f>
        <v>Standard</v>
      </c>
      <c r="P903" s="16" t="str">
        <f aca="false">H903&amp;" &gt; "&amp;I903&amp;" ("&amp;K903&amp;" units)"</f>
        <v>Office Supplies &gt; Binders (4 units)</v>
      </c>
      <c r="Q903" s="16" t="str">
        <f aca="false">VLOOKUP(G903,Region_Manager_Table,2,FALSE())</f>
        <v>Aditya Rao</v>
      </c>
      <c r="R903" s="16" t="n">
        <f aca="false">INDEX(SLA_Days_Col,MATCH(A903,ShipMode_Col,0))</f>
        <v>2</v>
      </c>
    </row>
    <row r="904" customFormat="false" ht="15" hidden="false" customHeight="false" outlineLevel="0" collapsed="false">
      <c r="A904" s="10" t="s">
        <v>98</v>
      </c>
      <c r="B904" s="10" t="s">
        <v>50</v>
      </c>
      <c r="C904" s="10" t="s">
        <v>51</v>
      </c>
      <c r="D904" s="10" t="s">
        <v>115</v>
      </c>
      <c r="E904" s="10" t="s">
        <v>101</v>
      </c>
      <c r="F904" s="10" t="n">
        <v>60653</v>
      </c>
      <c r="G904" s="10" t="s">
        <v>83</v>
      </c>
      <c r="H904" s="10" t="s">
        <v>71</v>
      </c>
      <c r="I904" s="10" t="s">
        <v>72</v>
      </c>
      <c r="J904" s="13" t="n">
        <v>323.976</v>
      </c>
      <c r="K904" s="10" t="n">
        <v>3</v>
      </c>
      <c r="L904" s="14" t="n">
        <v>0.2</v>
      </c>
      <c r="M904" s="15" t="n">
        <v>20.2485</v>
      </c>
      <c r="N904" s="10" t="str">
        <f aca="false">IF(M904&lt;0,"Loss",IF(M904&lt;50,"Low Profit",IF(M904&lt;200,"Medium Profit","High Profit")))</f>
        <v>Low Profit</v>
      </c>
      <c r="O904" s="10" t="str">
        <f aca="false">IF(J904&gt;=500,"High Value","Standard")</f>
        <v>Standard</v>
      </c>
      <c r="P904" s="10" t="str">
        <f aca="false">H904&amp;" &gt; "&amp;I904&amp;" ("&amp;K904&amp;" units)"</f>
        <v>Technology &gt; Phones (3 units)</v>
      </c>
      <c r="Q904" s="10" t="str">
        <f aca="false">VLOOKUP(G904,Region_Manager_Table,2,FALSE())</f>
        <v>Aditya Rao</v>
      </c>
      <c r="R904" s="10" t="n">
        <f aca="false">INDEX(SLA_Days_Col,MATCH(A904,ShipMode_Col,0))</f>
        <v>2</v>
      </c>
    </row>
    <row r="905" customFormat="false" ht="15" hidden="false" customHeight="false" outlineLevel="0" collapsed="false">
      <c r="A905" s="16" t="s">
        <v>64</v>
      </c>
      <c r="B905" s="16" t="s">
        <v>50</v>
      </c>
      <c r="C905" s="16" t="s">
        <v>51</v>
      </c>
      <c r="D905" s="16" t="s">
        <v>59</v>
      </c>
      <c r="E905" s="16" t="s">
        <v>60</v>
      </c>
      <c r="F905" s="16" t="n">
        <v>90032</v>
      </c>
      <c r="G905" s="16" t="s">
        <v>61</v>
      </c>
      <c r="H905" s="16" t="s">
        <v>62</v>
      </c>
      <c r="I905" s="16" t="s">
        <v>77</v>
      </c>
      <c r="J905" s="17" t="n">
        <v>20.04</v>
      </c>
      <c r="K905" s="16" t="n">
        <v>3</v>
      </c>
      <c r="L905" s="18" t="n">
        <v>0</v>
      </c>
      <c r="M905" s="19" t="n">
        <v>9.6192</v>
      </c>
      <c r="N905" s="16" t="str">
        <f aca="false">IF(M905&lt;0,"Loss",IF(M905&lt;50,"Low Profit",IF(M905&lt;200,"Medium Profit","High Profit")))</f>
        <v>Low Profit</v>
      </c>
      <c r="O905" s="16" t="str">
        <f aca="false">IF(J905&gt;=500,"High Value","Standard")</f>
        <v>Standard</v>
      </c>
      <c r="P905" s="16" t="str">
        <f aca="false">H905&amp;" &gt; "&amp;I905&amp;" ("&amp;K905&amp;" units)"</f>
        <v>Office Supplies &gt; Paper (3 units)</v>
      </c>
      <c r="Q905" s="16" t="str">
        <f aca="false">VLOOKUP(G905,Region_Manager_Table,2,FALSE())</f>
        <v>Sana Sheikh</v>
      </c>
      <c r="R905" s="16" t="n">
        <f aca="false">INDEX(SLA_Days_Col,MATCH(A905,ShipMode_Col,0))</f>
        <v>6</v>
      </c>
    </row>
    <row r="906" customFormat="false" ht="15" hidden="false" customHeight="false" outlineLevel="0" collapsed="false">
      <c r="A906" s="10" t="s">
        <v>64</v>
      </c>
      <c r="B906" s="10" t="s">
        <v>50</v>
      </c>
      <c r="C906" s="10" t="s">
        <v>51</v>
      </c>
      <c r="D906" s="10" t="s">
        <v>59</v>
      </c>
      <c r="E906" s="10" t="s">
        <v>60</v>
      </c>
      <c r="F906" s="10" t="n">
        <v>90032</v>
      </c>
      <c r="G906" s="10" t="s">
        <v>61</v>
      </c>
      <c r="H906" s="10" t="s">
        <v>62</v>
      </c>
      <c r="I906" s="10" t="s">
        <v>68</v>
      </c>
      <c r="J906" s="13" t="n">
        <v>64.96</v>
      </c>
      <c r="K906" s="10" t="n">
        <v>2</v>
      </c>
      <c r="L906" s="14" t="n">
        <v>0</v>
      </c>
      <c r="M906" s="15" t="n">
        <v>2.5984</v>
      </c>
      <c r="N906" s="10" t="str">
        <f aca="false">IF(M906&lt;0,"Loss",IF(M906&lt;50,"Low Profit",IF(M906&lt;200,"Medium Profit","High Profit")))</f>
        <v>Low Profit</v>
      </c>
      <c r="O906" s="10" t="str">
        <f aca="false">IF(J906&gt;=500,"High Value","Standard")</f>
        <v>Standard</v>
      </c>
      <c r="P906" s="10" t="str">
        <f aca="false">H906&amp;" &gt; "&amp;I906&amp;" ("&amp;K906&amp;" units)"</f>
        <v>Office Supplies &gt; Storage (2 units)</v>
      </c>
      <c r="Q906" s="10" t="str">
        <f aca="false">VLOOKUP(G906,Region_Manager_Table,2,FALSE())</f>
        <v>Sana Sheikh</v>
      </c>
      <c r="R906" s="10" t="n">
        <f aca="false">INDEX(SLA_Days_Col,MATCH(A906,ShipMode_Col,0))</f>
        <v>6</v>
      </c>
    </row>
    <row r="907" customFormat="false" ht="15" hidden="false" customHeight="false" outlineLevel="0" collapsed="false">
      <c r="A907" s="16" t="s">
        <v>64</v>
      </c>
      <c r="B907" s="16" t="s">
        <v>50</v>
      </c>
      <c r="C907" s="16" t="s">
        <v>51</v>
      </c>
      <c r="D907" s="16" t="s">
        <v>59</v>
      </c>
      <c r="E907" s="16" t="s">
        <v>60</v>
      </c>
      <c r="F907" s="16" t="n">
        <v>90032</v>
      </c>
      <c r="G907" s="16" t="s">
        <v>61</v>
      </c>
      <c r="H907" s="16" t="s">
        <v>62</v>
      </c>
      <c r="I907" s="16" t="s">
        <v>77</v>
      </c>
      <c r="J907" s="17" t="n">
        <v>12.96</v>
      </c>
      <c r="K907" s="16" t="n">
        <v>2</v>
      </c>
      <c r="L907" s="18" t="n">
        <v>0</v>
      </c>
      <c r="M907" s="19" t="n">
        <v>6.2208</v>
      </c>
      <c r="N907" s="16" t="str">
        <f aca="false">IF(M907&lt;0,"Loss",IF(M907&lt;50,"Low Profit",IF(M907&lt;200,"Medium Profit","High Profit")))</f>
        <v>Low Profit</v>
      </c>
      <c r="O907" s="16" t="str">
        <f aca="false">IF(J907&gt;=500,"High Value","Standard")</f>
        <v>Standard</v>
      </c>
      <c r="P907" s="16" t="str">
        <f aca="false">H907&amp;" &gt; "&amp;I907&amp;" ("&amp;K907&amp;" units)"</f>
        <v>Office Supplies &gt; Paper (2 units)</v>
      </c>
      <c r="Q907" s="16" t="str">
        <f aca="false">VLOOKUP(G907,Region_Manager_Table,2,FALSE())</f>
        <v>Sana Sheikh</v>
      </c>
      <c r="R907" s="16" t="n">
        <f aca="false">INDEX(SLA_Days_Col,MATCH(A907,ShipMode_Col,0))</f>
        <v>6</v>
      </c>
    </row>
    <row r="908" customFormat="false" ht="15" hidden="false" customHeight="false" outlineLevel="0" collapsed="false">
      <c r="A908" s="10" t="s">
        <v>64</v>
      </c>
      <c r="B908" s="10" t="s">
        <v>50</v>
      </c>
      <c r="C908" s="10" t="s">
        <v>51</v>
      </c>
      <c r="D908" s="10" t="s">
        <v>111</v>
      </c>
      <c r="E908" s="10" t="s">
        <v>112</v>
      </c>
      <c r="F908" s="10" t="n">
        <v>10009</v>
      </c>
      <c r="G908" s="10" t="s">
        <v>93</v>
      </c>
      <c r="H908" s="10" t="s">
        <v>55</v>
      </c>
      <c r="I908" s="10" t="s">
        <v>56</v>
      </c>
      <c r="J908" s="13" t="n">
        <v>323.136</v>
      </c>
      <c r="K908" s="10" t="n">
        <v>4</v>
      </c>
      <c r="L908" s="14" t="n">
        <v>0.2</v>
      </c>
      <c r="M908" s="15" t="n">
        <v>12.1176</v>
      </c>
      <c r="N908" s="10" t="str">
        <f aca="false">IF(M908&lt;0,"Loss",IF(M908&lt;50,"Low Profit",IF(M908&lt;200,"Medium Profit","High Profit")))</f>
        <v>Low Profit</v>
      </c>
      <c r="O908" s="10" t="str">
        <f aca="false">IF(J908&gt;=500,"High Value","Standard")</f>
        <v>Standard</v>
      </c>
      <c r="P908" s="10" t="str">
        <f aca="false">H908&amp;" &gt; "&amp;I908&amp;" ("&amp;K908&amp;" units)"</f>
        <v>Furniture &gt; Bookcases (4 units)</v>
      </c>
      <c r="Q908" s="10" t="str">
        <f aca="false">VLOOKUP(G908,Region_Manager_Table,2,FALSE())</f>
        <v>Priya Menon</v>
      </c>
      <c r="R908" s="10" t="n">
        <f aca="false">INDEX(SLA_Days_Col,MATCH(A908,ShipMode_Col,0))</f>
        <v>6</v>
      </c>
    </row>
    <row r="909" customFormat="false" ht="15" hidden="false" customHeight="false" outlineLevel="0" collapsed="false">
      <c r="A909" s="16" t="s">
        <v>64</v>
      </c>
      <c r="B909" s="16" t="s">
        <v>50</v>
      </c>
      <c r="C909" s="16" t="s">
        <v>51</v>
      </c>
      <c r="D909" s="16" t="s">
        <v>111</v>
      </c>
      <c r="E909" s="16" t="s">
        <v>112</v>
      </c>
      <c r="F909" s="16" t="n">
        <v>10009</v>
      </c>
      <c r="G909" s="16" t="s">
        <v>93</v>
      </c>
      <c r="H909" s="16" t="s">
        <v>71</v>
      </c>
      <c r="I909" s="16" t="s">
        <v>72</v>
      </c>
      <c r="J909" s="17" t="n">
        <v>90.93</v>
      </c>
      <c r="K909" s="16" t="n">
        <v>7</v>
      </c>
      <c r="L909" s="18" t="n">
        <v>0</v>
      </c>
      <c r="M909" s="19" t="n">
        <v>2.7279</v>
      </c>
      <c r="N909" s="16" t="str">
        <f aca="false">IF(M909&lt;0,"Loss",IF(M909&lt;50,"Low Profit",IF(M909&lt;200,"Medium Profit","High Profit")))</f>
        <v>Low Profit</v>
      </c>
      <c r="O909" s="16" t="str">
        <f aca="false">IF(J909&gt;=500,"High Value","Standard")</f>
        <v>Standard</v>
      </c>
      <c r="P909" s="16" t="str">
        <f aca="false">H909&amp;" &gt; "&amp;I909&amp;" ("&amp;K909&amp;" units)"</f>
        <v>Technology &gt; Phones (7 units)</v>
      </c>
      <c r="Q909" s="16" t="str">
        <f aca="false">VLOOKUP(G909,Region_Manager_Table,2,FALSE())</f>
        <v>Priya Menon</v>
      </c>
      <c r="R909" s="16" t="n">
        <f aca="false">INDEX(SLA_Days_Col,MATCH(A909,ShipMode_Col,0))</f>
        <v>6</v>
      </c>
    </row>
    <row r="910" customFormat="false" ht="15" hidden="false" customHeight="false" outlineLevel="0" collapsed="false">
      <c r="A910" s="10" t="s">
        <v>64</v>
      </c>
      <c r="B910" s="10" t="s">
        <v>50</v>
      </c>
      <c r="C910" s="10" t="s">
        <v>51</v>
      </c>
      <c r="D910" s="10" t="s">
        <v>111</v>
      </c>
      <c r="E910" s="10" t="s">
        <v>112</v>
      </c>
      <c r="F910" s="10" t="n">
        <v>10009</v>
      </c>
      <c r="G910" s="10" t="s">
        <v>93</v>
      </c>
      <c r="H910" s="10" t="s">
        <v>62</v>
      </c>
      <c r="I910" s="10" t="s">
        <v>73</v>
      </c>
      <c r="J910" s="13" t="n">
        <v>52.776</v>
      </c>
      <c r="K910" s="10" t="n">
        <v>3</v>
      </c>
      <c r="L910" s="14" t="n">
        <v>0.2</v>
      </c>
      <c r="M910" s="15" t="n">
        <v>19.791</v>
      </c>
      <c r="N910" s="10" t="str">
        <f aca="false">IF(M910&lt;0,"Loss",IF(M910&lt;50,"Low Profit",IF(M910&lt;200,"Medium Profit","High Profit")))</f>
        <v>Low Profit</v>
      </c>
      <c r="O910" s="10" t="str">
        <f aca="false">IF(J910&gt;=500,"High Value","Standard")</f>
        <v>Standard</v>
      </c>
      <c r="P910" s="10" t="str">
        <f aca="false">H910&amp;" &gt; "&amp;I910&amp;" ("&amp;K910&amp;" units)"</f>
        <v>Office Supplies &gt; Binders (3 units)</v>
      </c>
      <c r="Q910" s="10" t="str">
        <f aca="false">VLOOKUP(G910,Region_Manager_Table,2,FALSE())</f>
        <v>Priya Menon</v>
      </c>
      <c r="R910" s="10" t="n">
        <f aca="false">INDEX(SLA_Days_Col,MATCH(A910,ShipMode_Col,0))</f>
        <v>6</v>
      </c>
    </row>
    <row r="911" customFormat="false" ht="15" hidden="false" customHeight="false" outlineLevel="0" collapsed="false">
      <c r="A911" s="16" t="s">
        <v>64</v>
      </c>
      <c r="B911" s="16" t="s">
        <v>80</v>
      </c>
      <c r="C911" s="16" t="s">
        <v>51</v>
      </c>
      <c r="D911" s="16" t="s">
        <v>120</v>
      </c>
      <c r="E911" s="16" t="s">
        <v>106</v>
      </c>
      <c r="F911" s="16" t="n">
        <v>49201</v>
      </c>
      <c r="G911" s="16" t="s">
        <v>83</v>
      </c>
      <c r="H911" s="16" t="s">
        <v>71</v>
      </c>
      <c r="I911" s="16" t="s">
        <v>72</v>
      </c>
      <c r="J911" s="17" t="n">
        <v>1199.8</v>
      </c>
      <c r="K911" s="16" t="n">
        <v>4</v>
      </c>
      <c r="L911" s="18" t="n">
        <v>0</v>
      </c>
      <c r="M911" s="19" t="n">
        <v>323.946</v>
      </c>
      <c r="N911" s="16" t="str">
        <f aca="false">IF(M911&lt;0,"Loss",IF(M911&lt;50,"Low Profit",IF(M911&lt;200,"Medium Profit","High Profit")))</f>
        <v>High Profit</v>
      </c>
      <c r="O911" s="16" t="str">
        <f aca="false">IF(J911&gt;=500,"High Value","Standard")</f>
        <v>High Value</v>
      </c>
      <c r="P911" s="16" t="str">
        <f aca="false">H911&amp;" &gt; "&amp;I911&amp;" ("&amp;K911&amp;" units)"</f>
        <v>Technology &gt; Phones (4 units)</v>
      </c>
      <c r="Q911" s="16" t="str">
        <f aca="false">VLOOKUP(G911,Region_Manager_Table,2,FALSE())</f>
        <v>Aditya Rao</v>
      </c>
      <c r="R911" s="16" t="n">
        <f aca="false">INDEX(SLA_Days_Col,MATCH(A911,ShipMode_Col,0))</f>
        <v>6</v>
      </c>
    </row>
    <row r="912" customFormat="false" ht="15" hidden="false" customHeight="false" outlineLevel="0" collapsed="false">
      <c r="A912" s="10" t="s">
        <v>64</v>
      </c>
      <c r="B912" s="10" t="s">
        <v>80</v>
      </c>
      <c r="C912" s="10" t="s">
        <v>51</v>
      </c>
      <c r="D912" s="10" t="s">
        <v>120</v>
      </c>
      <c r="E912" s="10" t="s">
        <v>106</v>
      </c>
      <c r="F912" s="10" t="n">
        <v>49201</v>
      </c>
      <c r="G912" s="10" t="s">
        <v>83</v>
      </c>
      <c r="H912" s="10" t="s">
        <v>71</v>
      </c>
      <c r="I912" s="10" t="s">
        <v>95</v>
      </c>
      <c r="J912" s="13" t="n">
        <v>1928.78</v>
      </c>
      <c r="K912" s="10" t="n">
        <v>7</v>
      </c>
      <c r="L912" s="14" t="n">
        <v>0</v>
      </c>
      <c r="M912" s="15" t="n">
        <v>829.3754</v>
      </c>
      <c r="N912" s="10" t="str">
        <f aca="false">IF(M912&lt;0,"Loss",IF(M912&lt;50,"Low Profit",IF(M912&lt;200,"Medium Profit","High Profit")))</f>
        <v>High Profit</v>
      </c>
      <c r="O912" s="10" t="str">
        <f aca="false">IF(J912&gt;=500,"High Value","Standard")</f>
        <v>High Value</v>
      </c>
      <c r="P912" s="10" t="str">
        <f aca="false">H912&amp;" &gt; "&amp;I912&amp;" ("&amp;K912&amp;" units)"</f>
        <v>Technology &gt; Accessories (7 units)</v>
      </c>
      <c r="Q912" s="10" t="str">
        <f aca="false">VLOOKUP(G912,Region_Manager_Table,2,FALSE())</f>
        <v>Aditya Rao</v>
      </c>
      <c r="R912" s="10" t="n">
        <f aca="false">INDEX(SLA_Days_Col,MATCH(A912,ShipMode_Col,0))</f>
        <v>6</v>
      </c>
    </row>
    <row r="913" customFormat="false" ht="15" hidden="false" customHeight="false" outlineLevel="0" collapsed="false">
      <c r="A913" s="16" t="s">
        <v>64</v>
      </c>
      <c r="B913" s="16" t="s">
        <v>80</v>
      </c>
      <c r="C913" s="16" t="s">
        <v>51</v>
      </c>
      <c r="D913" s="16" t="s">
        <v>120</v>
      </c>
      <c r="E913" s="16" t="s">
        <v>106</v>
      </c>
      <c r="F913" s="16" t="n">
        <v>49201</v>
      </c>
      <c r="G913" s="16" t="s">
        <v>83</v>
      </c>
      <c r="H913" s="16" t="s">
        <v>62</v>
      </c>
      <c r="I913" s="16" t="s">
        <v>68</v>
      </c>
      <c r="J913" s="17" t="n">
        <v>352.38</v>
      </c>
      <c r="K913" s="16" t="n">
        <v>2</v>
      </c>
      <c r="L913" s="18" t="n">
        <v>0</v>
      </c>
      <c r="M913" s="19" t="n">
        <v>81.0474</v>
      </c>
      <c r="N913" s="16" t="str">
        <f aca="false">IF(M913&lt;0,"Loss",IF(M913&lt;50,"Low Profit",IF(M913&lt;200,"Medium Profit","High Profit")))</f>
        <v>Medium Profit</v>
      </c>
      <c r="O913" s="16" t="str">
        <f aca="false">IF(J913&gt;=500,"High Value","Standard")</f>
        <v>Standard</v>
      </c>
      <c r="P913" s="16" t="str">
        <f aca="false">H913&amp;" &gt; "&amp;I913&amp;" ("&amp;K913&amp;" units)"</f>
        <v>Office Supplies &gt; Storage (2 units)</v>
      </c>
      <c r="Q913" s="16" t="str">
        <f aca="false">VLOOKUP(G913,Region_Manager_Table,2,FALSE())</f>
        <v>Aditya Rao</v>
      </c>
      <c r="R913" s="16" t="n">
        <f aca="false">INDEX(SLA_Days_Col,MATCH(A913,ShipMode_Col,0))</f>
        <v>6</v>
      </c>
    </row>
    <row r="914" customFormat="false" ht="15" hidden="false" customHeight="false" outlineLevel="0" collapsed="false">
      <c r="A914" s="10" t="s">
        <v>64</v>
      </c>
      <c r="B914" s="10" t="s">
        <v>80</v>
      </c>
      <c r="C914" s="10" t="s">
        <v>51</v>
      </c>
      <c r="D914" s="10" t="s">
        <v>286</v>
      </c>
      <c r="E914" s="10" t="s">
        <v>163</v>
      </c>
      <c r="F914" s="10" t="n">
        <v>6360</v>
      </c>
      <c r="G914" s="10" t="s">
        <v>93</v>
      </c>
      <c r="H914" s="10" t="s">
        <v>55</v>
      </c>
      <c r="I914" s="10" t="s">
        <v>69</v>
      </c>
      <c r="J914" s="13" t="n">
        <v>22.2</v>
      </c>
      <c r="K914" s="10" t="n">
        <v>6</v>
      </c>
      <c r="L914" s="14" t="n">
        <v>0</v>
      </c>
      <c r="M914" s="15" t="n">
        <v>9.102</v>
      </c>
      <c r="N914" s="10" t="str">
        <f aca="false">IF(M914&lt;0,"Loss",IF(M914&lt;50,"Low Profit",IF(M914&lt;200,"Medium Profit","High Profit")))</f>
        <v>Low Profit</v>
      </c>
      <c r="O914" s="10" t="str">
        <f aca="false">IF(J914&gt;=500,"High Value","Standard")</f>
        <v>Standard</v>
      </c>
      <c r="P914" s="10" t="str">
        <f aca="false">H914&amp;" &gt; "&amp;I914&amp;" ("&amp;K914&amp;" units)"</f>
        <v>Furniture &gt; Furnishings (6 units)</v>
      </c>
      <c r="Q914" s="10" t="str">
        <f aca="false">VLOOKUP(G914,Region_Manager_Table,2,FALSE())</f>
        <v>Priya Menon</v>
      </c>
      <c r="R914" s="10" t="n">
        <f aca="false">INDEX(SLA_Days_Col,MATCH(A914,ShipMode_Col,0))</f>
        <v>6</v>
      </c>
    </row>
    <row r="915" customFormat="false" ht="15" hidden="false" customHeight="false" outlineLevel="0" collapsed="false">
      <c r="A915" s="16" t="s">
        <v>98</v>
      </c>
      <c r="B915" s="16" t="s">
        <v>58</v>
      </c>
      <c r="C915" s="16" t="s">
        <v>51</v>
      </c>
      <c r="D915" s="16" t="s">
        <v>277</v>
      </c>
      <c r="E915" s="16" t="s">
        <v>85</v>
      </c>
      <c r="F915" s="16" t="n">
        <v>53209</v>
      </c>
      <c r="G915" s="16" t="s">
        <v>83</v>
      </c>
      <c r="H915" s="16" t="s">
        <v>55</v>
      </c>
      <c r="I915" s="16" t="s">
        <v>69</v>
      </c>
      <c r="J915" s="17" t="n">
        <v>46.94</v>
      </c>
      <c r="K915" s="16" t="n">
        <v>1</v>
      </c>
      <c r="L915" s="18" t="n">
        <v>0</v>
      </c>
      <c r="M915" s="19" t="n">
        <v>19.2454</v>
      </c>
      <c r="N915" s="16" t="str">
        <f aca="false">IF(M915&lt;0,"Loss",IF(M915&lt;50,"Low Profit",IF(M915&lt;200,"Medium Profit","High Profit")))</f>
        <v>Low Profit</v>
      </c>
      <c r="O915" s="16" t="str">
        <f aca="false">IF(J915&gt;=500,"High Value","Standard")</f>
        <v>Standard</v>
      </c>
      <c r="P915" s="16" t="str">
        <f aca="false">H915&amp;" &gt; "&amp;I915&amp;" ("&amp;K915&amp;" units)"</f>
        <v>Furniture &gt; Furnishings (1 units)</v>
      </c>
      <c r="Q915" s="16" t="str">
        <f aca="false">VLOOKUP(G915,Region_Manager_Table,2,FALSE())</f>
        <v>Aditya Rao</v>
      </c>
      <c r="R915" s="16" t="n">
        <f aca="false">INDEX(SLA_Days_Col,MATCH(A915,ShipMode_Col,0))</f>
        <v>2</v>
      </c>
    </row>
    <row r="916" customFormat="false" ht="15" hidden="false" customHeight="false" outlineLevel="0" collapsed="false">
      <c r="A916" s="10" t="s">
        <v>98</v>
      </c>
      <c r="B916" s="10" t="s">
        <v>58</v>
      </c>
      <c r="C916" s="10" t="s">
        <v>51</v>
      </c>
      <c r="D916" s="10" t="s">
        <v>277</v>
      </c>
      <c r="E916" s="10" t="s">
        <v>85</v>
      </c>
      <c r="F916" s="10" t="n">
        <v>53209</v>
      </c>
      <c r="G916" s="10" t="s">
        <v>83</v>
      </c>
      <c r="H916" s="10" t="s">
        <v>71</v>
      </c>
      <c r="I916" s="10" t="s">
        <v>95</v>
      </c>
      <c r="J916" s="13" t="n">
        <v>143.73</v>
      </c>
      <c r="K916" s="10" t="n">
        <v>9</v>
      </c>
      <c r="L916" s="14" t="n">
        <v>0</v>
      </c>
      <c r="M916" s="15" t="n">
        <v>56.0547</v>
      </c>
      <c r="N916" s="10" t="str">
        <f aca="false">IF(M916&lt;0,"Loss",IF(M916&lt;50,"Low Profit",IF(M916&lt;200,"Medium Profit","High Profit")))</f>
        <v>Medium Profit</v>
      </c>
      <c r="O916" s="10" t="str">
        <f aca="false">IF(J916&gt;=500,"High Value","Standard")</f>
        <v>Standard</v>
      </c>
      <c r="P916" s="10" t="str">
        <f aca="false">H916&amp;" &gt; "&amp;I916&amp;" ("&amp;K916&amp;" units)"</f>
        <v>Technology &gt; Accessories (9 units)</v>
      </c>
      <c r="Q916" s="10" t="str">
        <f aca="false">VLOOKUP(G916,Region_Manager_Table,2,FALSE())</f>
        <v>Aditya Rao</v>
      </c>
      <c r="R916" s="10" t="n">
        <f aca="false">INDEX(SLA_Days_Col,MATCH(A916,ShipMode_Col,0))</f>
        <v>2</v>
      </c>
    </row>
    <row r="917" customFormat="false" ht="15" hidden="false" customHeight="false" outlineLevel="0" collapsed="false">
      <c r="A917" s="16" t="s">
        <v>64</v>
      </c>
      <c r="B917" s="16" t="s">
        <v>58</v>
      </c>
      <c r="C917" s="16" t="s">
        <v>51</v>
      </c>
      <c r="D917" s="16" t="s">
        <v>158</v>
      </c>
      <c r="E917" s="16" t="s">
        <v>82</v>
      </c>
      <c r="F917" s="16" t="n">
        <v>78207</v>
      </c>
      <c r="G917" s="16" t="s">
        <v>83</v>
      </c>
      <c r="H917" s="16" t="s">
        <v>55</v>
      </c>
      <c r="I917" s="16" t="s">
        <v>67</v>
      </c>
      <c r="J917" s="17" t="n">
        <v>99.918</v>
      </c>
      <c r="K917" s="16" t="n">
        <v>2</v>
      </c>
      <c r="L917" s="18" t="n">
        <v>0.3</v>
      </c>
      <c r="M917" s="19" t="n">
        <v>-18.5562</v>
      </c>
      <c r="N917" s="16" t="str">
        <f aca="false">IF(M917&lt;0,"Loss",IF(M917&lt;50,"Low Profit",IF(M917&lt;200,"Medium Profit","High Profit")))</f>
        <v>Loss</v>
      </c>
      <c r="O917" s="16" t="str">
        <f aca="false">IF(J917&gt;=500,"High Value","Standard")</f>
        <v>Standard</v>
      </c>
      <c r="P917" s="16" t="str">
        <f aca="false">H917&amp;" &gt; "&amp;I917&amp;" ("&amp;K917&amp;" units)"</f>
        <v>Furniture &gt; Tables (2 units)</v>
      </c>
      <c r="Q917" s="16" t="str">
        <f aca="false">VLOOKUP(G917,Region_Manager_Table,2,FALSE())</f>
        <v>Aditya Rao</v>
      </c>
      <c r="R917" s="16" t="n">
        <f aca="false">INDEX(SLA_Days_Col,MATCH(A917,ShipMode_Col,0))</f>
        <v>6</v>
      </c>
    </row>
    <row r="918" customFormat="false" ht="15" hidden="false" customHeight="false" outlineLevel="0" collapsed="false">
      <c r="A918" s="10" t="s">
        <v>64</v>
      </c>
      <c r="B918" s="10" t="s">
        <v>58</v>
      </c>
      <c r="C918" s="10" t="s">
        <v>51</v>
      </c>
      <c r="D918" s="10" t="s">
        <v>158</v>
      </c>
      <c r="E918" s="10" t="s">
        <v>82</v>
      </c>
      <c r="F918" s="10" t="n">
        <v>78207</v>
      </c>
      <c r="G918" s="10" t="s">
        <v>83</v>
      </c>
      <c r="H918" s="10" t="s">
        <v>55</v>
      </c>
      <c r="I918" s="10" t="s">
        <v>57</v>
      </c>
      <c r="J918" s="13" t="n">
        <v>797.944</v>
      </c>
      <c r="K918" s="10" t="n">
        <v>4</v>
      </c>
      <c r="L918" s="14" t="n">
        <v>0.3</v>
      </c>
      <c r="M918" s="15" t="n">
        <v>-56.996</v>
      </c>
      <c r="N918" s="10" t="str">
        <f aca="false">IF(M918&lt;0,"Loss",IF(M918&lt;50,"Low Profit",IF(M918&lt;200,"Medium Profit","High Profit")))</f>
        <v>Loss</v>
      </c>
      <c r="O918" s="10" t="str">
        <f aca="false">IF(J918&gt;=500,"High Value","Standard")</f>
        <v>High Value</v>
      </c>
      <c r="P918" s="10" t="str">
        <f aca="false">H918&amp;" &gt; "&amp;I918&amp;" ("&amp;K918&amp;" units)"</f>
        <v>Furniture &gt; Chairs (4 units)</v>
      </c>
      <c r="Q918" s="10" t="str">
        <f aca="false">VLOOKUP(G918,Region_Manager_Table,2,FALSE())</f>
        <v>Aditya Rao</v>
      </c>
      <c r="R918" s="10" t="n">
        <f aca="false">INDEX(SLA_Days_Col,MATCH(A918,ShipMode_Col,0))</f>
        <v>6</v>
      </c>
    </row>
    <row r="919" customFormat="false" ht="15" hidden="false" customHeight="false" outlineLevel="0" collapsed="false">
      <c r="A919" s="16" t="s">
        <v>64</v>
      </c>
      <c r="B919" s="16" t="s">
        <v>58</v>
      </c>
      <c r="C919" s="16" t="s">
        <v>51</v>
      </c>
      <c r="D919" s="16" t="s">
        <v>158</v>
      </c>
      <c r="E919" s="16" t="s">
        <v>82</v>
      </c>
      <c r="F919" s="16" t="n">
        <v>78207</v>
      </c>
      <c r="G919" s="16" t="s">
        <v>83</v>
      </c>
      <c r="H919" s="16" t="s">
        <v>62</v>
      </c>
      <c r="I919" s="16" t="s">
        <v>73</v>
      </c>
      <c r="J919" s="17" t="n">
        <v>8.568</v>
      </c>
      <c r="K919" s="16" t="n">
        <v>3</v>
      </c>
      <c r="L919" s="18" t="n">
        <v>0.8</v>
      </c>
      <c r="M919" s="19" t="n">
        <v>-14.5656</v>
      </c>
      <c r="N919" s="16" t="str">
        <f aca="false">IF(M919&lt;0,"Loss",IF(M919&lt;50,"Low Profit",IF(M919&lt;200,"Medium Profit","High Profit")))</f>
        <v>Loss</v>
      </c>
      <c r="O919" s="16" t="str">
        <f aca="false">IF(J919&gt;=500,"High Value","Standard")</f>
        <v>Standard</v>
      </c>
      <c r="P919" s="16" t="str">
        <f aca="false">H919&amp;" &gt; "&amp;I919&amp;" ("&amp;K919&amp;" units)"</f>
        <v>Office Supplies &gt; Binders (3 units)</v>
      </c>
      <c r="Q919" s="16" t="str">
        <f aca="false">VLOOKUP(G919,Region_Manager_Table,2,FALSE())</f>
        <v>Aditya Rao</v>
      </c>
      <c r="R919" s="16" t="n">
        <f aca="false">INDEX(SLA_Days_Col,MATCH(A919,ShipMode_Col,0))</f>
        <v>6</v>
      </c>
    </row>
    <row r="920" customFormat="false" ht="15" hidden="false" customHeight="false" outlineLevel="0" collapsed="false">
      <c r="A920" s="10" t="s">
        <v>64</v>
      </c>
      <c r="B920" s="10" t="s">
        <v>58</v>
      </c>
      <c r="C920" s="10" t="s">
        <v>51</v>
      </c>
      <c r="D920" s="10" t="s">
        <v>171</v>
      </c>
      <c r="E920" s="10" t="s">
        <v>82</v>
      </c>
      <c r="F920" s="10" t="n">
        <v>75220</v>
      </c>
      <c r="G920" s="10" t="s">
        <v>83</v>
      </c>
      <c r="H920" s="10" t="s">
        <v>62</v>
      </c>
      <c r="I920" s="10" t="s">
        <v>96</v>
      </c>
      <c r="J920" s="13" t="n">
        <v>149.352</v>
      </c>
      <c r="K920" s="10" t="n">
        <v>3</v>
      </c>
      <c r="L920" s="14" t="n">
        <v>0.2</v>
      </c>
      <c r="M920" s="15" t="n">
        <v>50.4063</v>
      </c>
      <c r="N920" s="10" t="str">
        <f aca="false">IF(M920&lt;0,"Loss",IF(M920&lt;50,"Low Profit",IF(M920&lt;200,"Medium Profit","High Profit")))</f>
        <v>Medium Profit</v>
      </c>
      <c r="O920" s="10" t="str">
        <f aca="false">IF(J920&gt;=500,"High Value","Standard")</f>
        <v>Standard</v>
      </c>
      <c r="P920" s="10" t="str">
        <f aca="false">H920&amp;" &gt; "&amp;I920&amp;" ("&amp;K920&amp;" units)"</f>
        <v>Office Supplies &gt; Envelopes (3 units)</v>
      </c>
      <c r="Q920" s="10" t="str">
        <f aca="false">VLOOKUP(G920,Region_Manager_Table,2,FALSE())</f>
        <v>Aditya Rao</v>
      </c>
      <c r="R920" s="10" t="n">
        <f aca="false">INDEX(SLA_Days_Col,MATCH(A920,ShipMode_Col,0))</f>
        <v>6</v>
      </c>
    </row>
    <row r="921" customFormat="false" ht="15" hidden="false" customHeight="false" outlineLevel="0" collapsed="false">
      <c r="A921" s="16" t="s">
        <v>64</v>
      </c>
      <c r="B921" s="16" t="s">
        <v>58</v>
      </c>
      <c r="C921" s="16" t="s">
        <v>51</v>
      </c>
      <c r="D921" s="16" t="s">
        <v>171</v>
      </c>
      <c r="E921" s="16" t="s">
        <v>82</v>
      </c>
      <c r="F921" s="16" t="n">
        <v>75220</v>
      </c>
      <c r="G921" s="16" t="s">
        <v>83</v>
      </c>
      <c r="H921" s="16" t="s">
        <v>62</v>
      </c>
      <c r="I921" s="16" t="s">
        <v>68</v>
      </c>
      <c r="J921" s="17" t="n">
        <v>12.992</v>
      </c>
      <c r="K921" s="16" t="n">
        <v>1</v>
      </c>
      <c r="L921" s="18" t="n">
        <v>0.2</v>
      </c>
      <c r="M921" s="19" t="n">
        <v>-0.812</v>
      </c>
      <c r="N921" s="16" t="str">
        <f aca="false">IF(M921&lt;0,"Loss",IF(M921&lt;50,"Low Profit",IF(M921&lt;200,"Medium Profit","High Profit")))</f>
        <v>Loss</v>
      </c>
      <c r="O921" s="16" t="str">
        <f aca="false">IF(J921&gt;=500,"High Value","Standard")</f>
        <v>Standard</v>
      </c>
      <c r="P921" s="16" t="str">
        <f aca="false">H921&amp;" &gt; "&amp;I921&amp;" ("&amp;K921&amp;" units)"</f>
        <v>Office Supplies &gt; Storage (1 units)</v>
      </c>
      <c r="Q921" s="16" t="str">
        <f aca="false">VLOOKUP(G921,Region_Manager_Table,2,FALSE())</f>
        <v>Aditya Rao</v>
      </c>
      <c r="R921" s="16" t="n">
        <f aca="false">INDEX(SLA_Days_Col,MATCH(A921,ShipMode_Col,0))</f>
        <v>6</v>
      </c>
    </row>
    <row r="922" customFormat="false" ht="15" hidden="false" customHeight="false" outlineLevel="0" collapsed="false">
      <c r="A922" s="10" t="s">
        <v>64</v>
      </c>
      <c r="B922" s="10" t="s">
        <v>50</v>
      </c>
      <c r="C922" s="10" t="s">
        <v>51</v>
      </c>
      <c r="D922" s="10" t="s">
        <v>287</v>
      </c>
      <c r="E922" s="10" t="s">
        <v>119</v>
      </c>
      <c r="F922" s="10" t="n">
        <v>22304</v>
      </c>
      <c r="G922" s="10" t="s">
        <v>54</v>
      </c>
      <c r="H922" s="10" t="s">
        <v>62</v>
      </c>
      <c r="I922" s="10" t="s">
        <v>68</v>
      </c>
      <c r="J922" s="13" t="n">
        <v>24.56</v>
      </c>
      <c r="K922" s="10" t="n">
        <v>2</v>
      </c>
      <c r="L922" s="14" t="n">
        <v>0</v>
      </c>
      <c r="M922" s="15" t="n">
        <v>6.8768</v>
      </c>
      <c r="N922" s="10" t="str">
        <f aca="false">IF(M922&lt;0,"Loss",IF(M922&lt;50,"Low Profit",IF(M922&lt;200,"Medium Profit","High Profit")))</f>
        <v>Low Profit</v>
      </c>
      <c r="O922" s="10" t="str">
        <f aca="false">IF(J922&gt;=500,"High Value","Standard")</f>
        <v>Standard</v>
      </c>
      <c r="P922" s="10" t="str">
        <f aca="false">H922&amp;" &gt; "&amp;I922&amp;" ("&amp;K922&amp;" units)"</f>
        <v>Office Supplies &gt; Storage (2 units)</v>
      </c>
      <c r="Q922" s="10" t="str">
        <f aca="false">VLOOKUP(G922,Region_Manager_Table,2,FALSE())</f>
        <v>Karthik Iyer</v>
      </c>
      <c r="R922" s="10" t="n">
        <f aca="false">INDEX(SLA_Days_Col,MATCH(A922,ShipMode_Col,0))</f>
        <v>6</v>
      </c>
    </row>
    <row r="923" customFormat="false" ht="15" hidden="false" customHeight="false" outlineLevel="0" collapsed="false">
      <c r="A923" s="16" t="s">
        <v>64</v>
      </c>
      <c r="B923" s="16" t="s">
        <v>50</v>
      </c>
      <c r="C923" s="16" t="s">
        <v>51</v>
      </c>
      <c r="D923" s="16" t="s">
        <v>111</v>
      </c>
      <c r="E923" s="16" t="s">
        <v>112</v>
      </c>
      <c r="F923" s="16" t="n">
        <v>10009</v>
      </c>
      <c r="G923" s="16" t="s">
        <v>93</v>
      </c>
      <c r="H923" s="16" t="s">
        <v>71</v>
      </c>
      <c r="I923" s="16" t="s">
        <v>95</v>
      </c>
      <c r="J923" s="17" t="n">
        <v>85.14</v>
      </c>
      <c r="K923" s="16" t="n">
        <v>3</v>
      </c>
      <c r="L923" s="18" t="n">
        <v>0</v>
      </c>
      <c r="M923" s="19" t="n">
        <v>34.9074</v>
      </c>
      <c r="N923" s="16" t="str">
        <f aca="false">IF(M923&lt;0,"Loss",IF(M923&lt;50,"Low Profit",IF(M923&lt;200,"Medium Profit","High Profit")))</f>
        <v>Low Profit</v>
      </c>
      <c r="O923" s="16" t="str">
        <f aca="false">IF(J923&gt;=500,"High Value","Standard")</f>
        <v>Standard</v>
      </c>
      <c r="P923" s="16" t="str">
        <f aca="false">H923&amp;" &gt; "&amp;I923&amp;" ("&amp;K923&amp;" units)"</f>
        <v>Technology &gt; Accessories (3 units)</v>
      </c>
      <c r="Q923" s="16" t="str">
        <f aca="false">VLOOKUP(G923,Region_Manager_Table,2,FALSE())</f>
        <v>Priya Menon</v>
      </c>
      <c r="R923" s="16" t="n">
        <f aca="false">INDEX(SLA_Days_Col,MATCH(A923,ShipMode_Col,0))</f>
        <v>6</v>
      </c>
    </row>
    <row r="924" customFormat="false" ht="15" hidden="false" customHeight="false" outlineLevel="0" collapsed="false">
      <c r="A924" s="10" t="s">
        <v>64</v>
      </c>
      <c r="B924" s="10" t="s">
        <v>50</v>
      </c>
      <c r="C924" s="10" t="s">
        <v>51</v>
      </c>
      <c r="D924" s="10" t="s">
        <v>111</v>
      </c>
      <c r="E924" s="10" t="s">
        <v>112</v>
      </c>
      <c r="F924" s="10" t="n">
        <v>10009</v>
      </c>
      <c r="G924" s="10" t="s">
        <v>93</v>
      </c>
      <c r="H924" s="10" t="s">
        <v>71</v>
      </c>
      <c r="I924" s="10" t="s">
        <v>72</v>
      </c>
      <c r="J924" s="13" t="n">
        <v>21.99</v>
      </c>
      <c r="K924" s="10" t="n">
        <v>1</v>
      </c>
      <c r="L924" s="14" t="n">
        <v>0</v>
      </c>
      <c r="M924" s="15" t="n">
        <v>10.5552</v>
      </c>
      <c r="N924" s="10" t="str">
        <f aca="false">IF(M924&lt;0,"Loss",IF(M924&lt;50,"Low Profit",IF(M924&lt;200,"Medium Profit","High Profit")))</f>
        <v>Low Profit</v>
      </c>
      <c r="O924" s="10" t="str">
        <f aca="false">IF(J924&gt;=500,"High Value","Standard")</f>
        <v>Standard</v>
      </c>
      <c r="P924" s="10" t="str">
        <f aca="false">H924&amp;" &gt; "&amp;I924&amp;" ("&amp;K924&amp;" units)"</f>
        <v>Technology &gt; Phones (1 units)</v>
      </c>
      <c r="Q924" s="10" t="str">
        <f aca="false">VLOOKUP(G924,Region_Manager_Table,2,FALSE())</f>
        <v>Priya Menon</v>
      </c>
      <c r="R924" s="10" t="n">
        <f aca="false">INDEX(SLA_Days_Col,MATCH(A924,ShipMode_Col,0))</f>
        <v>6</v>
      </c>
    </row>
    <row r="925" customFormat="false" ht="15" hidden="false" customHeight="false" outlineLevel="0" collapsed="false">
      <c r="A925" s="16" t="s">
        <v>64</v>
      </c>
      <c r="B925" s="16" t="s">
        <v>50</v>
      </c>
      <c r="C925" s="16" t="s">
        <v>51</v>
      </c>
      <c r="D925" s="16" t="s">
        <v>111</v>
      </c>
      <c r="E925" s="16" t="s">
        <v>112</v>
      </c>
      <c r="F925" s="16" t="n">
        <v>10009</v>
      </c>
      <c r="G925" s="16" t="s">
        <v>93</v>
      </c>
      <c r="H925" s="16" t="s">
        <v>62</v>
      </c>
      <c r="I925" s="16" t="s">
        <v>74</v>
      </c>
      <c r="J925" s="17" t="n">
        <v>406.6</v>
      </c>
      <c r="K925" s="16" t="n">
        <v>5</v>
      </c>
      <c r="L925" s="18" t="n">
        <v>0</v>
      </c>
      <c r="M925" s="19" t="n">
        <v>113.848</v>
      </c>
      <c r="N925" s="16" t="str">
        <f aca="false">IF(M925&lt;0,"Loss",IF(M925&lt;50,"Low Profit",IF(M925&lt;200,"Medium Profit","High Profit")))</f>
        <v>Medium Profit</v>
      </c>
      <c r="O925" s="16" t="str">
        <f aca="false">IF(J925&gt;=500,"High Value","Standard")</f>
        <v>Standard</v>
      </c>
      <c r="P925" s="16" t="str">
        <f aca="false">H925&amp;" &gt; "&amp;I925&amp;" ("&amp;K925&amp;" units)"</f>
        <v>Office Supplies &gt; Appliances (5 units)</v>
      </c>
      <c r="Q925" s="16" t="str">
        <f aca="false">VLOOKUP(G925,Region_Manager_Table,2,FALSE())</f>
        <v>Priya Menon</v>
      </c>
      <c r="R925" s="16" t="n">
        <f aca="false">INDEX(SLA_Days_Col,MATCH(A925,ShipMode_Col,0))</f>
        <v>6</v>
      </c>
    </row>
    <row r="926" customFormat="false" ht="15" hidden="false" customHeight="false" outlineLevel="0" collapsed="false">
      <c r="A926" s="10" t="s">
        <v>64</v>
      </c>
      <c r="B926" s="10" t="s">
        <v>58</v>
      </c>
      <c r="C926" s="10" t="s">
        <v>51</v>
      </c>
      <c r="D926" s="10" t="s">
        <v>111</v>
      </c>
      <c r="E926" s="10" t="s">
        <v>112</v>
      </c>
      <c r="F926" s="10" t="n">
        <v>10011</v>
      </c>
      <c r="G926" s="10" t="s">
        <v>93</v>
      </c>
      <c r="H926" s="10" t="s">
        <v>62</v>
      </c>
      <c r="I926" s="10" t="s">
        <v>73</v>
      </c>
      <c r="J926" s="13" t="n">
        <v>841.568</v>
      </c>
      <c r="K926" s="10" t="n">
        <v>2</v>
      </c>
      <c r="L926" s="14" t="n">
        <v>0.2</v>
      </c>
      <c r="M926" s="15" t="n">
        <v>294.5488</v>
      </c>
      <c r="N926" s="10" t="str">
        <f aca="false">IF(M926&lt;0,"Loss",IF(M926&lt;50,"Low Profit",IF(M926&lt;200,"Medium Profit","High Profit")))</f>
        <v>High Profit</v>
      </c>
      <c r="O926" s="10" t="str">
        <f aca="false">IF(J926&gt;=500,"High Value","Standard")</f>
        <v>High Value</v>
      </c>
      <c r="P926" s="10" t="str">
        <f aca="false">H926&amp;" &gt; "&amp;I926&amp;" ("&amp;K926&amp;" units)"</f>
        <v>Office Supplies &gt; Binders (2 units)</v>
      </c>
      <c r="Q926" s="10" t="str">
        <f aca="false">VLOOKUP(G926,Region_Manager_Table,2,FALSE())</f>
        <v>Priya Menon</v>
      </c>
      <c r="R926" s="10" t="n">
        <f aca="false">INDEX(SLA_Days_Col,MATCH(A926,ShipMode_Col,0))</f>
        <v>6</v>
      </c>
    </row>
    <row r="927" customFormat="false" ht="15" hidden="false" customHeight="false" outlineLevel="0" collapsed="false">
      <c r="A927" s="16" t="s">
        <v>98</v>
      </c>
      <c r="B927" s="16" t="s">
        <v>50</v>
      </c>
      <c r="C927" s="16" t="s">
        <v>51</v>
      </c>
      <c r="D927" s="16" t="s">
        <v>91</v>
      </c>
      <c r="E927" s="16" t="s">
        <v>92</v>
      </c>
      <c r="F927" s="16" t="n">
        <v>19143</v>
      </c>
      <c r="G927" s="16" t="s">
        <v>93</v>
      </c>
      <c r="H927" s="16" t="s">
        <v>62</v>
      </c>
      <c r="I927" s="16" t="s">
        <v>77</v>
      </c>
      <c r="J927" s="17" t="n">
        <v>15.552</v>
      </c>
      <c r="K927" s="16" t="n">
        <v>3</v>
      </c>
      <c r="L927" s="18" t="n">
        <v>0.2</v>
      </c>
      <c r="M927" s="19" t="n">
        <v>5.4432</v>
      </c>
      <c r="N927" s="16" t="str">
        <f aca="false">IF(M927&lt;0,"Loss",IF(M927&lt;50,"Low Profit",IF(M927&lt;200,"Medium Profit","High Profit")))</f>
        <v>Low Profit</v>
      </c>
      <c r="O927" s="16" t="str">
        <f aca="false">IF(J927&gt;=500,"High Value","Standard")</f>
        <v>Standard</v>
      </c>
      <c r="P927" s="16" t="str">
        <f aca="false">H927&amp;" &gt; "&amp;I927&amp;" ("&amp;K927&amp;" units)"</f>
        <v>Office Supplies &gt; Paper (3 units)</v>
      </c>
      <c r="Q927" s="16" t="str">
        <f aca="false">VLOOKUP(G927,Region_Manager_Table,2,FALSE())</f>
        <v>Priya Menon</v>
      </c>
      <c r="R927" s="16" t="n">
        <f aca="false">INDEX(SLA_Days_Col,MATCH(A927,ShipMode_Col,0))</f>
        <v>2</v>
      </c>
    </row>
    <row r="928" customFormat="false" ht="15" hidden="false" customHeight="false" outlineLevel="0" collapsed="false">
      <c r="A928" s="10" t="s">
        <v>98</v>
      </c>
      <c r="B928" s="10" t="s">
        <v>50</v>
      </c>
      <c r="C928" s="10" t="s">
        <v>51</v>
      </c>
      <c r="D928" s="10" t="s">
        <v>91</v>
      </c>
      <c r="E928" s="10" t="s">
        <v>92</v>
      </c>
      <c r="F928" s="10" t="n">
        <v>19143</v>
      </c>
      <c r="G928" s="10" t="s">
        <v>93</v>
      </c>
      <c r="H928" s="10" t="s">
        <v>71</v>
      </c>
      <c r="I928" s="10" t="s">
        <v>95</v>
      </c>
      <c r="J928" s="13" t="n">
        <v>252</v>
      </c>
      <c r="K928" s="10" t="n">
        <v>5</v>
      </c>
      <c r="L928" s="14" t="n">
        <v>0.2</v>
      </c>
      <c r="M928" s="15" t="n">
        <v>53.55</v>
      </c>
      <c r="N928" s="10" t="str">
        <f aca="false">IF(M928&lt;0,"Loss",IF(M928&lt;50,"Low Profit",IF(M928&lt;200,"Medium Profit","High Profit")))</f>
        <v>Medium Profit</v>
      </c>
      <c r="O928" s="10" t="str">
        <f aca="false">IF(J928&gt;=500,"High Value","Standard")</f>
        <v>Standard</v>
      </c>
      <c r="P928" s="10" t="str">
        <f aca="false">H928&amp;" &gt; "&amp;I928&amp;" ("&amp;K928&amp;" units)"</f>
        <v>Technology &gt; Accessories (5 units)</v>
      </c>
      <c r="Q928" s="10" t="str">
        <f aca="false">VLOOKUP(G928,Region_Manager_Table,2,FALSE())</f>
        <v>Priya Menon</v>
      </c>
      <c r="R928" s="10" t="n">
        <f aca="false">INDEX(SLA_Days_Col,MATCH(A928,ShipMode_Col,0))</f>
        <v>2</v>
      </c>
    </row>
    <row r="929" customFormat="false" ht="15" hidden="false" customHeight="false" outlineLevel="0" collapsed="false">
      <c r="A929" s="16" t="s">
        <v>64</v>
      </c>
      <c r="B929" s="16" t="s">
        <v>80</v>
      </c>
      <c r="C929" s="16" t="s">
        <v>51</v>
      </c>
      <c r="D929" s="16" t="s">
        <v>118</v>
      </c>
      <c r="E929" s="16" t="s">
        <v>119</v>
      </c>
      <c r="F929" s="16" t="n">
        <v>22153</v>
      </c>
      <c r="G929" s="16" t="s">
        <v>54</v>
      </c>
      <c r="H929" s="16" t="s">
        <v>62</v>
      </c>
      <c r="I929" s="16" t="s">
        <v>70</v>
      </c>
      <c r="J929" s="17" t="n">
        <v>46.2</v>
      </c>
      <c r="K929" s="16" t="n">
        <v>4</v>
      </c>
      <c r="L929" s="18" t="n">
        <v>0</v>
      </c>
      <c r="M929" s="19" t="n">
        <v>12.936</v>
      </c>
      <c r="N929" s="16" t="str">
        <f aca="false">IF(M929&lt;0,"Loss",IF(M929&lt;50,"Low Profit",IF(M929&lt;200,"Medium Profit","High Profit")))</f>
        <v>Low Profit</v>
      </c>
      <c r="O929" s="16" t="str">
        <f aca="false">IF(J929&gt;=500,"High Value","Standard")</f>
        <v>Standard</v>
      </c>
      <c r="P929" s="16" t="str">
        <f aca="false">H929&amp;" &gt; "&amp;I929&amp;" ("&amp;K929&amp;" units)"</f>
        <v>Office Supplies &gt; Art (4 units)</v>
      </c>
      <c r="Q929" s="16" t="str">
        <f aca="false">VLOOKUP(G929,Region_Manager_Table,2,FALSE())</f>
        <v>Karthik Iyer</v>
      </c>
      <c r="R929" s="16" t="n">
        <f aca="false">INDEX(SLA_Days_Col,MATCH(A929,ShipMode_Col,0))</f>
        <v>6</v>
      </c>
    </row>
    <row r="930" customFormat="false" ht="15" hidden="false" customHeight="false" outlineLevel="0" collapsed="false">
      <c r="A930" s="10" t="s">
        <v>64</v>
      </c>
      <c r="B930" s="10" t="s">
        <v>80</v>
      </c>
      <c r="C930" s="10" t="s">
        <v>51</v>
      </c>
      <c r="D930" s="10" t="s">
        <v>118</v>
      </c>
      <c r="E930" s="10" t="s">
        <v>119</v>
      </c>
      <c r="F930" s="10" t="n">
        <v>22153</v>
      </c>
      <c r="G930" s="10" t="s">
        <v>54</v>
      </c>
      <c r="H930" s="10" t="s">
        <v>62</v>
      </c>
      <c r="I930" s="10" t="s">
        <v>74</v>
      </c>
      <c r="J930" s="13" t="n">
        <v>28.84</v>
      </c>
      <c r="K930" s="10" t="n">
        <v>2</v>
      </c>
      <c r="L930" s="14" t="n">
        <v>0</v>
      </c>
      <c r="M930" s="15" t="n">
        <v>9.5172</v>
      </c>
      <c r="N930" s="10" t="str">
        <f aca="false">IF(M930&lt;0,"Loss",IF(M930&lt;50,"Low Profit",IF(M930&lt;200,"Medium Profit","High Profit")))</f>
        <v>Low Profit</v>
      </c>
      <c r="O930" s="10" t="str">
        <f aca="false">IF(J930&gt;=500,"High Value","Standard")</f>
        <v>Standard</v>
      </c>
      <c r="P930" s="10" t="str">
        <f aca="false">H930&amp;" &gt; "&amp;I930&amp;" ("&amp;K930&amp;" units)"</f>
        <v>Office Supplies &gt; Appliances (2 units)</v>
      </c>
      <c r="Q930" s="10" t="str">
        <f aca="false">VLOOKUP(G930,Region_Manager_Table,2,FALSE())</f>
        <v>Karthik Iyer</v>
      </c>
      <c r="R930" s="10" t="n">
        <f aca="false">INDEX(SLA_Days_Col,MATCH(A930,ShipMode_Col,0))</f>
        <v>6</v>
      </c>
    </row>
    <row r="931" customFormat="false" ht="15" hidden="false" customHeight="false" outlineLevel="0" collapsed="false">
      <c r="A931" s="16" t="s">
        <v>98</v>
      </c>
      <c r="B931" s="16" t="s">
        <v>50</v>
      </c>
      <c r="C931" s="16" t="s">
        <v>51</v>
      </c>
      <c r="D931" s="16" t="s">
        <v>288</v>
      </c>
      <c r="E931" s="16" t="s">
        <v>140</v>
      </c>
      <c r="F931" s="16" t="n">
        <v>43615</v>
      </c>
      <c r="G931" s="16" t="s">
        <v>93</v>
      </c>
      <c r="H931" s="16" t="s">
        <v>62</v>
      </c>
      <c r="I931" s="16" t="s">
        <v>70</v>
      </c>
      <c r="J931" s="17" t="n">
        <v>14.592</v>
      </c>
      <c r="K931" s="16" t="n">
        <v>3</v>
      </c>
      <c r="L931" s="18" t="n">
        <v>0.2</v>
      </c>
      <c r="M931" s="19" t="n">
        <v>2.5536</v>
      </c>
      <c r="N931" s="16" t="str">
        <f aca="false">IF(M931&lt;0,"Loss",IF(M931&lt;50,"Low Profit",IF(M931&lt;200,"Medium Profit","High Profit")))</f>
        <v>Low Profit</v>
      </c>
      <c r="O931" s="16" t="str">
        <f aca="false">IF(J931&gt;=500,"High Value","Standard")</f>
        <v>Standard</v>
      </c>
      <c r="P931" s="16" t="str">
        <f aca="false">H931&amp;" &gt; "&amp;I931&amp;" ("&amp;K931&amp;" units)"</f>
        <v>Office Supplies &gt; Art (3 units)</v>
      </c>
      <c r="Q931" s="16" t="str">
        <f aca="false">VLOOKUP(G931,Region_Manager_Table,2,FALSE())</f>
        <v>Priya Menon</v>
      </c>
      <c r="R931" s="16" t="n">
        <f aca="false">INDEX(SLA_Days_Col,MATCH(A931,ShipMode_Col,0))</f>
        <v>2</v>
      </c>
    </row>
    <row r="932" customFormat="false" ht="15" hidden="false" customHeight="false" outlineLevel="0" collapsed="false">
      <c r="A932" s="10" t="s">
        <v>98</v>
      </c>
      <c r="B932" s="10" t="s">
        <v>50</v>
      </c>
      <c r="C932" s="10" t="s">
        <v>51</v>
      </c>
      <c r="D932" s="10" t="s">
        <v>288</v>
      </c>
      <c r="E932" s="10" t="s">
        <v>140</v>
      </c>
      <c r="F932" s="10" t="n">
        <v>43615</v>
      </c>
      <c r="G932" s="10" t="s">
        <v>93</v>
      </c>
      <c r="H932" s="10" t="s">
        <v>62</v>
      </c>
      <c r="I932" s="10" t="s">
        <v>70</v>
      </c>
      <c r="J932" s="13" t="n">
        <v>89.856</v>
      </c>
      <c r="K932" s="10" t="n">
        <v>3</v>
      </c>
      <c r="L932" s="14" t="n">
        <v>0.2</v>
      </c>
      <c r="M932" s="15" t="n">
        <v>21.3408</v>
      </c>
      <c r="N932" s="10" t="str">
        <f aca="false">IF(M932&lt;0,"Loss",IF(M932&lt;50,"Low Profit",IF(M932&lt;200,"Medium Profit","High Profit")))</f>
        <v>Low Profit</v>
      </c>
      <c r="O932" s="10" t="str">
        <f aca="false">IF(J932&gt;=500,"High Value","Standard")</f>
        <v>Standard</v>
      </c>
      <c r="P932" s="10" t="str">
        <f aca="false">H932&amp;" &gt; "&amp;I932&amp;" ("&amp;K932&amp;" units)"</f>
        <v>Office Supplies &gt; Art (3 units)</v>
      </c>
      <c r="Q932" s="10" t="str">
        <f aca="false">VLOOKUP(G932,Region_Manager_Table,2,FALSE())</f>
        <v>Priya Menon</v>
      </c>
      <c r="R932" s="10" t="n">
        <f aca="false">INDEX(SLA_Days_Col,MATCH(A932,ShipMode_Col,0))</f>
        <v>2</v>
      </c>
    </row>
    <row r="933" customFormat="false" ht="15" hidden="false" customHeight="false" outlineLevel="0" collapsed="false">
      <c r="A933" s="16" t="s">
        <v>98</v>
      </c>
      <c r="B933" s="16" t="s">
        <v>50</v>
      </c>
      <c r="C933" s="16" t="s">
        <v>51</v>
      </c>
      <c r="D933" s="16" t="s">
        <v>288</v>
      </c>
      <c r="E933" s="16" t="s">
        <v>140</v>
      </c>
      <c r="F933" s="16" t="n">
        <v>43615</v>
      </c>
      <c r="G933" s="16" t="s">
        <v>93</v>
      </c>
      <c r="H933" s="16" t="s">
        <v>62</v>
      </c>
      <c r="I933" s="16" t="s">
        <v>77</v>
      </c>
      <c r="J933" s="17" t="n">
        <v>13.872</v>
      </c>
      <c r="K933" s="16" t="n">
        <v>3</v>
      </c>
      <c r="L933" s="18" t="n">
        <v>0.2</v>
      </c>
      <c r="M933" s="19" t="n">
        <v>5.0286</v>
      </c>
      <c r="N933" s="16" t="str">
        <f aca="false">IF(M933&lt;0,"Loss",IF(M933&lt;50,"Low Profit",IF(M933&lt;200,"Medium Profit","High Profit")))</f>
        <v>Low Profit</v>
      </c>
      <c r="O933" s="16" t="str">
        <f aca="false">IF(J933&gt;=500,"High Value","Standard")</f>
        <v>Standard</v>
      </c>
      <c r="P933" s="16" t="str">
        <f aca="false">H933&amp;" &gt; "&amp;I933&amp;" ("&amp;K933&amp;" units)"</f>
        <v>Office Supplies &gt; Paper (3 units)</v>
      </c>
      <c r="Q933" s="16" t="str">
        <f aca="false">VLOOKUP(G933,Region_Manager_Table,2,FALSE())</f>
        <v>Priya Menon</v>
      </c>
      <c r="R933" s="16" t="n">
        <f aca="false">INDEX(SLA_Days_Col,MATCH(A933,ShipMode_Col,0))</f>
        <v>2</v>
      </c>
    </row>
    <row r="934" customFormat="false" ht="15" hidden="false" customHeight="false" outlineLevel="0" collapsed="false">
      <c r="A934" s="10" t="s">
        <v>64</v>
      </c>
      <c r="B934" s="10" t="s">
        <v>50</v>
      </c>
      <c r="C934" s="10" t="s">
        <v>51</v>
      </c>
      <c r="D934" s="10" t="s">
        <v>91</v>
      </c>
      <c r="E934" s="10" t="s">
        <v>92</v>
      </c>
      <c r="F934" s="10" t="n">
        <v>19140</v>
      </c>
      <c r="G934" s="10" t="s">
        <v>93</v>
      </c>
      <c r="H934" s="10" t="s">
        <v>62</v>
      </c>
      <c r="I934" s="10" t="s">
        <v>77</v>
      </c>
      <c r="J934" s="13" t="n">
        <v>12.192</v>
      </c>
      <c r="K934" s="10" t="n">
        <v>3</v>
      </c>
      <c r="L934" s="14" t="n">
        <v>0.2</v>
      </c>
      <c r="M934" s="15" t="n">
        <v>4.1148</v>
      </c>
      <c r="N934" s="10" t="str">
        <f aca="false">IF(M934&lt;0,"Loss",IF(M934&lt;50,"Low Profit",IF(M934&lt;200,"Medium Profit","High Profit")))</f>
        <v>Low Profit</v>
      </c>
      <c r="O934" s="10" t="str">
        <f aca="false">IF(J934&gt;=500,"High Value","Standard")</f>
        <v>Standard</v>
      </c>
      <c r="P934" s="10" t="str">
        <f aca="false">H934&amp;" &gt; "&amp;I934&amp;" ("&amp;K934&amp;" units)"</f>
        <v>Office Supplies &gt; Paper (3 units)</v>
      </c>
      <c r="Q934" s="10" t="str">
        <f aca="false">VLOOKUP(G934,Region_Manager_Table,2,FALSE())</f>
        <v>Priya Menon</v>
      </c>
      <c r="R934" s="10" t="n">
        <f aca="false">INDEX(SLA_Days_Col,MATCH(A934,ShipMode_Col,0))</f>
        <v>6</v>
      </c>
    </row>
    <row r="935" customFormat="false" ht="15" hidden="false" customHeight="false" outlineLevel="0" collapsed="false">
      <c r="A935" s="16" t="s">
        <v>64</v>
      </c>
      <c r="B935" s="16" t="s">
        <v>80</v>
      </c>
      <c r="C935" s="16" t="s">
        <v>51</v>
      </c>
      <c r="D935" s="16" t="s">
        <v>91</v>
      </c>
      <c r="E935" s="16" t="s">
        <v>92</v>
      </c>
      <c r="F935" s="16" t="n">
        <v>19120</v>
      </c>
      <c r="G935" s="16" t="s">
        <v>93</v>
      </c>
      <c r="H935" s="16" t="s">
        <v>62</v>
      </c>
      <c r="I935" s="16" t="s">
        <v>77</v>
      </c>
      <c r="J935" s="17" t="n">
        <v>45.056</v>
      </c>
      <c r="K935" s="16" t="n">
        <v>8</v>
      </c>
      <c r="L935" s="18" t="n">
        <v>0.2</v>
      </c>
      <c r="M935" s="19" t="n">
        <v>15.2064</v>
      </c>
      <c r="N935" s="16" t="str">
        <f aca="false">IF(M935&lt;0,"Loss",IF(M935&lt;50,"Low Profit",IF(M935&lt;200,"Medium Profit","High Profit")))</f>
        <v>Low Profit</v>
      </c>
      <c r="O935" s="16" t="str">
        <f aca="false">IF(J935&gt;=500,"High Value","Standard")</f>
        <v>Standard</v>
      </c>
      <c r="P935" s="16" t="str">
        <f aca="false">H935&amp;" &gt; "&amp;I935&amp;" ("&amp;K935&amp;" units)"</f>
        <v>Office Supplies &gt; Paper (8 units)</v>
      </c>
      <c r="Q935" s="16" t="str">
        <f aca="false">VLOOKUP(G935,Region_Manager_Table,2,FALSE())</f>
        <v>Priya Menon</v>
      </c>
      <c r="R935" s="16" t="n">
        <f aca="false">INDEX(SLA_Days_Col,MATCH(A935,ShipMode_Col,0))</f>
        <v>6</v>
      </c>
    </row>
    <row r="936" customFormat="false" ht="15" hidden="false" customHeight="false" outlineLevel="0" collapsed="false">
      <c r="A936" s="10" t="s">
        <v>64</v>
      </c>
      <c r="B936" s="10" t="s">
        <v>80</v>
      </c>
      <c r="C936" s="10" t="s">
        <v>51</v>
      </c>
      <c r="D936" s="10" t="s">
        <v>91</v>
      </c>
      <c r="E936" s="10" t="s">
        <v>92</v>
      </c>
      <c r="F936" s="10" t="n">
        <v>19120</v>
      </c>
      <c r="G936" s="10" t="s">
        <v>93</v>
      </c>
      <c r="H936" s="10" t="s">
        <v>62</v>
      </c>
      <c r="I936" s="10" t="s">
        <v>73</v>
      </c>
      <c r="J936" s="13" t="n">
        <v>29.718</v>
      </c>
      <c r="K936" s="10" t="n">
        <v>6</v>
      </c>
      <c r="L936" s="14" t="n">
        <v>0.7</v>
      </c>
      <c r="M936" s="15" t="n">
        <v>-21.7932</v>
      </c>
      <c r="N936" s="10" t="str">
        <f aca="false">IF(M936&lt;0,"Loss",IF(M936&lt;50,"Low Profit",IF(M936&lt;200,"Medium Profit","High Profit")))</f>
        <v>Loss</v>
      </c>
      <c r="O936" s="10" t="str">
        <f aca="false">IF(J936&gt;=500,"High Value","Standard")</f>
        <v>Standard</v>
      </c>
      <c r="P936" s="10" t="str">
        <f aca="false">H936&amp;" &gt; "&amp;I936&amp;" ("&amp;K936&amp;" units)"</f>
        <v>Office Supplies &gt; Binders (6 units)</v>
      </c>
      <c r="Q936" s="10" t="str">
        <f aca="false">VLOOKUP(G936,Region_Manager_Table,2,FALSE())</f>
        <v>Priya Menon</v>
      </c>
      <c r="R936" s="10" t="n">
        <f aca="false">INDEX(SLA_Days_Col,MATCH(A936,ShipMode_Col,0))</f>
        <v>6</v>
      </c>
    </row>
    <row r="937" customFormat="false" ht="15" hidden="false" customHeight="false" outlineLevel="0" collapsed="false">
      <c r="A937" s="16" t="s">
        <v>64</v>
      </c>
      <c r="B937" s="16" t="s">
        <v>80</v>
      </c>
      <c r="C937" s="16" t="s">
        <v>51</v>
      </c>
      <c r="D937" s="16" t="s">
        <v>91</v>
      </c>
      <c r="E937" s="16" t="s">
        <v>92</v>
      </c>
      <c r="F937" s="16" t="n">
        <v>19120</v>
      </c>
      <c r="G937" s="16" t="s">
        <v>93</v>
      </c>
      <c r="H937" s="16" t="s">
        <v>62</v>
      </c>
      <c r="I937" s="16" t="s">
        <v>77</v>
      </c>
      <c r="J937" s="17" t="n">
        <v>15.552</v>
      </c>
      <c r="K937" s="16" t="n">
        <v>3</v>
      </c>
      <c r="L937" s="18" t="n">
        <v>0.2</v>
      </c>
      <c r="M937" s="19" t="n">
        <v>5.4432</v>
      </c>
      <c r="N937" s="16" t="str">
        <f aca="false">IF(M937&lt;0,"Loss",IF(M937&lt;50,"Low Profit",IF(M937&lt;200,"Medium Profit","High Profit")))</f>
        <v>Low Profit</v>
      </c>
      <c r="O937" s="16" t="str">
        <f aca="false">IF(J937&gt;=500,"High Value","Standard")</f>
        <v>Standard</v>
      </c>
      <c r="P937" s="16" t="str">
        <f aca="false">H937&amp;" &gt; "&amp;I937&amp;" ("&amp;K937&amp;" units)"</f>
        <v>Office Supplies &gt; Paper (3 units)</v>
      </c>
      <c r="Q937" s="16" t="str">
        <f aca="false">VLOOKUP(G937,Region_Manager_Table,2,FALSE())</f>
        <v>Priya Menon</v>
      </c>
      <c r="R937" s="16" t="n">
        <f aca="false">INDEX(SLA_Days_Col,MATCH(A937,ShipMode_Col,0))</f>
        <v>6</v>
      </c>
    </row>
    <row r="938" customFormat="false" ht="15" hidden="false" customHeight="false" outlineLevel="0" collapsed="false">
      <c r="A938" s="10" t="s">
        <v>64</v>
      </c>
      <c r="B938" s="10" t="s">
        <v>80</v>
      </c>
      <c r="C938" s="10" t="s">
        <v>51</v>
      </c>
      <c r="D938" s="10" t="s">
        <v>91</v>
      </c>
      <c r="E938" s="10" t="s">
        <v>92</v>
      </c>
      <c r="F938" s="10" t="n">
        <v>19120</v>
      </c>
      <c r="G938" s="10" t="s">
        <v>93</v>
      </c>
      <c r="H938" s="10" t="s">
        <v>62</v>
      </c>
      <c r="I938" s="10" t="s">
        <v>74</v>
      </c>
      <c r="J938" s="13" t="n">
        <v>447.696</v>
      </c>
      <c r="K938" s="10" t="n">
        <v>2</v>
      </c>
      <c r="L938" s="14" t="n">
        <v>0.2</v>
      </c>
      <c r="M938" s="15" t="n">
        <v>33.5772</v>
      </c>
      <c r="N938" s="10" t="str">
        <f aca="false">IF(M938&lt;0,"Loss",IF(M938&lt;50,"Low Profit",IF(M938&lt;200,"Medium Profit","High Profit")))</f>
        <v>Low Profit</v>
      </c>
      <c r="O938" s="10" t="str">
        <f aca="false">IF(J938&gt;=500,"High Value","Standard")</f>
        <v>Standard</v>
      </c>
      <c r="P938" s="10" t="str">
        <f aca="false">H938&amp;" &gt; "&amp;I938&amp;" ("&amp;K938&amp;" units)"</f>
        <v>Office Supplies &gt; Appliances (2 units)</v>
      </c>
      <c r="Q938" s="10" t="str">
        <f aca="false">VLOOKUP(G938,Region_Manager_Table,2,FALSE())</f>
        <v>Priya Menon</v>
      </c>
      <c r="R938" s="10" t="n">
        <f aca="false">INDEX(SLA_Days_Col,MATCH(A938,ShipMode_Col,0))</f>
        <v>6</v>
      </c>
    </row>
    <row r="939" customFormat="false" ht="15" hidden="false" customHeight="false" outlineLevel="0" collapsed="false">
      <c r="A939" s="16" t="s">
        <v>98</v>
      </c>
      <c r="B939" s="16" t="s">
        <v>58</v>
      </c>
      <c r="C939" s="16" t="s">
        <v>51</v>
      </c>
      <c r="D939" s="16" t="s">
        <v>289</v>
      </c>
      <c r="E939" s="16" t="s">
        <v>157</v>
      </c>
      <c r="F939" s="16" t="n">
        <v>87401</v>
      </c>
      <c r="G939" s="16" t="s">
        <v>61</v>
      </c>
      <c r="H939" s="16" t="s">
        <v>71</v>
      </c>
      <c r="I939" s="16" t="s">
        <v>95</v>
      </c>
      <c r="J939" s="17" t="n">
        <v>159.99</v>
      </c>
      <c r="K939" s="16" t="n">
        <v>1</v>
      </c>
      <c r="L939" s="18" t="n">
        <v>0</v>
      </c>
      <c r="M939" s="19" t="n">
        <v>54.3966</v>
      </c>
      <c r="N939" s="16" t="str">
        <f aca="false">IF(M939&lt;0,"Loss",IF(M939&lt;50,"Low Profit",IF(M939&lt;200,"Medium Profit","High Profit")))</f>
        <v>Medium Profit</v>
      </c>
      <c r="O939" s="16" t="str">
        <f aca="false">IF(J939&gt;=500,"High Value","Standard")</f>
        <v>Standard</v>
      </c>
      <c r="P939" s="16" t="str">
        <f aca="false">H939&amp;" &gt; "&amp;I939&amp;" ("&amp;K939&amp;" units)"</f>
        <v>Technology &gt; Accessories (1 units)</v>
      </c>
      <c r="Q939" s="16" t="str">
        <f aca="false">VLOOKUP(G939,Region_Manager_Table,2,FALSE())</f>
        <v>Sana Sheikh</v>
      </c>
      <c r="R939" s="16" t="n">
        <f aca="false">INDEX(SLA_Days_Col,MATCH(A939,ShipMode_Col,0))</f>
        <v>2</v>
      </c>
    </row>
    <row r="940" customFormat="false" ht="15" hidden="false" customHeight="false" outlineLevel="0" collapsed="false">
      <c r="A940" s="10" t="s">
        <v>64</v>
      </c>
      <c r="B940" s="10" t="s">
        <v>58</v>
      </c>
      <c r="C940" s="10" t="s">
        <v>51</v>
      </c>
      <c r="D940" s="10" t="s">
        <v>290</v>
      </c>
      <c r="E940" s="10" t="s">
        <v>60</v>
      </c>
      <c r="F940" s="10" t="n">
        <v>92503</v>
      </c>
      <c r="G940" s="10" t="s">
        <v>61</v>
      </c>
      <c r="H940" s="10" t="s">
        <v>62</v>
      </c>
      <c r="I940" s="10" t="s">
        <v>77</v>
      </c>
      <c r="J940" s="13" t="n">
        <v>12.96</v>
      </c>
      <c r="K940" s="10" t="n">
        <v>2</v>
      </c>
      <c r="L940" s="14" t="n">
        <v>0</v>
      </c>
      <c r="M940" s="15" t="n">
        <v>6.2208</v>
      </c>
      <c r="N940" s="10" t="str">
        <f aca="false">IF(M940&lt;0,"Loss",IF(M940&lt;50,"Low Profit",IF(M940&lt;200,"Medium Profit","High Profit")))</f>
        <v>Low Profit</v>
      </c>
      <c r="O940" s="10" t="str">
        <f aca="false">IF(J940&gt;=500,"High Value","Standard")</f>
        <v>Standard</v>
      </c>
      <c r="P940" s="10" t="str">
        <f aca="false">H940&amp;" &gt; "&amp;I940&amp;" ("&amp;K940&amp;" units)"</f>
        <v>Office Supplies &gt; Paper (2 units)</v>
      </c>
      <c r="Q940" s="10" t="str">
        <f aca="false">VLOOKUP(G940,Region_Manager_Table,2,FALSE())</f>
        <v>Sana Sheikh</v>
      </c>
      <c r="R940" s="10" t="n">
        <f aca="false">INDEX(SLA_Days_Col,MATCH(A940,ShipMode_Col,0))</f>
        <v>6</v>
      </c>
    </row>
    <row r="941" customFormat="false" ht="15" hidden="false" customHeight="false" outlineLevel="0" collapsed="false">
      <c r="A941" s="16" t="s">
        <v>64</v>
      </c>
      <c r="B941" s="16" t="s">
        <v>58</v>
      </c>
      <c r="C941" s="16" t="s">
        <v>51</v>
      </c>
      <c r="D941" s="16" t="s">
        <v>290</v>
      </c>
      <c r="E941" s="16" t="s">
        <v>60</v>
      </c>
      <c r="F941" s="16" t="n">
        <v>92503</v>
      </c>
      <c r="G941" s="16" t="s">
        <v>61</v>
      </c>
      <c r="H941" s="16" t="s">
        <v>62</v>
      </c>
      <c r="I941" s="16" t="s">
        <v>74</v>
      </c>
      <c r="J941" s="17" t="n">
        <v>134.48</v>
      </c>
      <c r="K941" s="16" t="n">
        <v>4</v>
      </c>
      <c r="L941" s="18" t="n">
        <v>0</v>
      </c>
      <c r="M941" s="19" t="n">
        <v>34.9648</v>
      </c>
      <c r="N941" s="16" t="str">
        <f aca="false">IF(M941&lt;0,"Loss",IF(M941&lt;50,"Low Profit",IF(M941&lt;200,"Medium Profit","High Profit")))</f>
        <v>Low Profit</v>
      </c>
      <c r="O941" s="16" t="str">
        <f aca="false">IF(J941&gt;=500,"High Value","Standard")</f>
        <v>Standard</v>
      </c>
      <c r="P941" s="16" t="str">
        <f aca="false">H941&amp;" &gt; "&amp;I941&amp;" ("&amp;K941&amp;" units)"</f>
        <v>Office Supplies &gt; Appliances (4 units)</v>
      </c>
      <c r="Q941" s="16" t="str">
        <f aca="false">VLOOKUP(G941,Region_Manager_Table,2,FALSE())</f>
        <v>Sana Sheikh</v>
      </c>
      <c r="R941" s="16" t="n">
        <f aca="false">INDEX(SLA_Days_Col,MATCH(A941,ShipMode_Col,0))</f>
        <v>6</v>
      </c>
    </row>
    <row r="942" customFormat="false" ht="15" hidden="false" customHeight="false" outlineLevel="0" collapsed="false">
      <c r="A942" s="10" t="s">
        <v>98</v>
      </c>
      <c r="B942" s="10" t="s">
        <v>58</v>
      </c>
      <c r="C942" s="10" t="s">
        <v>51</v>
      </c>
      <c r="D942" s="10" t="s">
        <v>88</v>
      </c>
      <c r="E942" s="10" t="s">
        <v>60</v>
      </c>
      <c r="F942" s="10" t="n">
        <v>94110</v>
      </c>
      <c r="G942" s="10" t="s">
        <v>61</v>
      </c>
      <c r="H942" s="10" t="s">
        <v>62</v>
      </c>
      <c r="I942" s="10" t="s">
        <v>77</v>
      </c>
      <c r="J942" s="13" t="n">
        <v>17.12</v>
      </c>
      <c r="K942" s="10" t="n">
        <v>2</v>
      </c>
      <c r="L942" s="14" t="n">
        <v>0</v>
      </c>
      <c r="M942" s="15" t="n">
        <v>8.0464</v>
      </c>
      <c r="N942" s="10" t="str">
        <f aca="false">IF(M942&lt;0,"Loss",IF(M942&lt;50,"Low Profit",IF(M942&lt;200,"Medium Profit","High Profit")))</f>
        <v>Low Profit</v>
      </c>
      <c r="O942" s="10" t="str">
        <f aca="false">IF(J942&gt;=500,"High Value","Standard")</f>
        <v>Standard</v>
      </c>
      <c r="P942" s="10" t="str">
        <f aca="false">H942&amp;" &gt; "&amp;I942&amp;" ("&amp;K942&amp;" units)"</f>
        <v>Office Supplies &gt; Paper (2 units)</v>
      </c>
      <c r="Q942" s="10" t="str">
        <f aca="false">VLOOKUP(G942,Region_Manager_Table,2,FALSE())</f>
        <v>Sana Sheikh</v>
      </c>
      <c r="R942" s="10" t="n">
        <f aca="false">INDEX(SLA_Days_Col,MATCH(A942,ShipMode_Col,0))</f>
        <v>2</v>
      </c>
    </row>
    <row r="943" customFormat="false" ht="15" hidden="false" customHeight="false" outlineLevel="0" collapsed="false">
      <c r="A943" s="16" t="s">
        <v>64</v>
      </c>
      <c r="B943" s="16" t="s">
        <v>58</v>
      </c>
      <c r="C943" s="16" t="s">
        <v>51</v>
      </c>
      <c r="D943" s="16" t="s">
        <v>291</v>
      </c>
      <c r="E943" s="16" t="s">
        <v>60</v>
      </c>
      <c r="F943" s="16" t="n">
        <v>90503</v>
      </c>
      <c r="G943" s="16" t="s">
        <v>61</v>
      </c>
      <c r="H943" s="16" t="s">
        <v>62</v>
      </c>
      <c r="I943" s="16" t="s">
        <v>73</v>
      </c>
      <c r="J943" s="17" t="n">
        <v>6.096</v>
      </c>
      <c r="K943" s="16" t="n">
        <v>2</v>
      </c>
      <c r="L943" s="18" t="n">
        <v>0.2</v>
      </c>
      <c r="M943" s="19" t="n">
        <v>2.2098</v>
      </c>
      <c r="N943" s="16" t="str">
        <f aca="false">IF(M943&lt;0,"Loss",IF(M943&lt;50,"Low Profit",IF(M943&lt;200,"Medium Profit","High Profit")))</f>
        <v>Low Profit</v>
      </c>
      <c r="O943" s="16" t="str">
        <f aca="false">IF(J943&gt;=500,"High Value","Standard")</f>
        <v>Standard</v>
      </c>
      <c r="P943" s="16" t="str">
        <f aca="false">H943&amp;" &gt; "&amp;I943&amp;" ("&amp;K943&amp;" units)"</f>
        <v>Office Supplies &gt; Binders (2 units)</v>
      </c>
      <c r="Q943" s="16" t="str">
        <f aca="false">VLOOKUP(G943,Region_Manager_Table,2,FALSE())</f>
        <v>Sana Sheikh</v>
      </c>
      <c r="R943" s="16" t="n">
        <f aca="false">INDEX(SLA_Days_Col,MATCH(A943,ShipMode_Col,0))</f>
        <v>6</v>
      </c>
    </row>
    <row r="944" customFormat="false" ht="15" hidden="false" customHeight="false" outlineLevel="0" collapsed="false">
      <c r="A944" s="10" t="s">
        <v>64</v>
      </c>
      <c r="B944" s="10" t="s">
        <v>58</v>
      </c>
      <c r="C944" s="10" t="s">
        <v>51</v>
      </c>
      <c r="D944" s="10" t="s">
        <v>291</v>
      </c>
      <c r="E944" s="10" t="s">
        <v>60</v>
      </c>
      <c r="F944" s="10" t="n">
        <v>90503</v>
      </c>
      <c r="G944" s="10" t="s">
        <v>61</v>
      </c>
      <c r="H944" s="10" t="s">
        <v>55</v>
      </c>
      <c r="I944" s="10" t="s">
        <v>67</v>
      </c>
      <c r="J944" s="13" t="n">
        <v>1114.272</v>
      </c>
      <c r="K944" s="10" t="n">
        <v>4</v>
      </c>
      <c r="L944" s="14" t="n">
        <v>0.2</v>
      </c>
      <c r="M944" s="15" t="n">
        <v>41.7852</v>
      </c>
      <c r="N944" s="10" t="str">
        <f aca="false">IF(M944&lt;0,"Loss",IF(M944&lt;50,"Low Profit",IF(M944&lt;200,"Medium Profit","High Profit")))</f>
        <v>Low Profit</v>
      </c>
      <c r="O944" s="10" t="str">
        <f aca="false">IF(J944&gt;=500,"High Value","Standard")</f>
        <v>High Value</v>
      </c>
      <c r="P944" s="10" t="str">
        <f aca="false">H944&amp;" &gt; "&amp;I944&amp;" ("&amp;K944&amp;" units)"</f>
        <v>Furniture &gt; Tables (4 units)</v>
      </c>
      <c r="Q944" s="10" t="str">
        <f aca="false">VLOOKUP(G944,Region_Manager_Table,2,FALSE())</f>
        <v>Sana Sheikh</v>
      </c>
      <c r="R944" s="10" t="n">
        <f aca="false">INDEX(SLA_Days_Col,MATCH(A944,ShipMode_Col,0))</f>
        <v>6</v>
      </c>
    </row>
    <row r="945" customFormat="false" ht="15" hidden="false" customHeight="false" outlineLevel="0" collapsed="false">
      <c r="A945" s="16" t="s">
        <v>64</v>
      </c>
      <c r="B945" s="16" t="s">
        <v>50</v>
      </c>
      <c r="C945" s="16" t="s">
        <v>51</v>
      </c>
      <c r="D945" s="16" t="s">
        <v>78</v>
      </c>
      <c r="E945" s="16" t="s">
        <v>79</v>
      </c>
      <c r="F945" s="16" t="n">
        <v>98105</v>
      </c>
      <c r="G945" s="16" t="s">
        <v>61</v>
      </c>
      <c r="H945" s="16" t="s">
        <v>62</v>
      </c>
      <c r="I945" s="16" t="s">
        <v>77</v>
      </c>
      <c r="J945" s="17" t="n">
        <v>32.4</v>
      </c>
      <c r="K945" s="16" t="n">
        <v>5</v>
      </c>
      <c r="L945" s="18" t="n">
        <v>0</v>
      </c>
      <c r="M945" s="19" t="n">
        <v>15.552</v>
      </c>
      <c r="N945" s="16" t="str">
        <f aca="false">IF(M945&lt;0,"Loss",IF(M945&lt;50,"Low Profit",IF(M945&lt;200,"Medium Profit","High Profit")))</f>
        <v>Low Profit</v>
      </c>
      <c r="O945" s="16" t="str">
        <f aca="false">IF(J945&gt;=500,"High Value","Standard")</f>
        <v>Standard</v>
      </c>
      <c r="P945" s="16" t="str">
        <f aca="false">H945&amp;" &gt; "&amp;I945&amp;" ("&amp;K945&amp;" units)"</f>
        <v>Office Supplies &gt; Paper (5 units)</v>
      </c>
      <c r="Q945" s="16" t="str">
        <f aca="false">VLOOKUP(G945,Region_Manager_Table,2,FALSE())</f>
        <v>Sana Sheikh</v>
      </c>
      <c r="R945" s="16" t="n">
        <f aca="false">INDEX(SLA_Days_Col,MATCH(A945,ShipMode_Col,0))</f>
        <v>6</v>
      </c>
    </row>
    <row r="946" customFormat="false" ht="15" hidden="false" customHeight="false" outlineLevel="0" collapsed="false">
      <c r="A946" s="10" t="s">
        <v>64</v>
      </c>
      <c r="B946" s="10" t="s">
        <v>50</v>
      </c>
      <c r="C946" s="10" t="s">
        <v>51</v>
      </c>
      <c r="D946" s="10" t="s">
        <v>78</v>
      </c>
      <c r="E946" s="10" t="s">
        <v>79</v>
      </c>
      <c r="F946" s="10" t="n">
        <v>98105</v>
      </c>
      <c r="G946" s="10" t="s">
        <v>61</v>
      </c>
      <c r="H946" s="10" t="s">
        <v>62</v>
      </c>
      <c r="I946" s="10" t="s">
        <v>68</v>
      </c>
      <c r="J946" s="13" t="n">
        <v>540.57</v>
      </c>
      <c r="K946" s="10" t="n">
        <v>3</v>
      </c>
      <c r="L946" s="14" t="n">
        <v>0</v>
      </c>
      <c r="M946" s="15" t="n">
        <v>140.5482</v>
      </c>
      <c r="N946" s="10" t="str">
        <f aca="false">IF(M946&lt;0,"Loss",IF(M946&lt;50,"Low Profit",IF(M946&lt;200,"Medium Profit","High Profit")))</f>
        <v>Medium Profit</v>
      </c>
      <c r="O946" s="10" t="str">
        <f aca="false">IF(J946&gt;=500,"High Value","Standard")</f>
        <v>High Value</v>
      </c>
      <c r="P946" s="10" t="str">
        <f aca="false">H946&amp;" &gt; "&amp;I946&amp;" ("&amp;K946&amp;" units)"</f>
        <v>Office Supplies &gt; Storage (3 units)</v>
      </c>
      <c r="Q946" s="10" t="str">
        <f aca="false">VLOOKUP(G946,Region_Manager_Table,2,FALSE())</f>
        <v>Sana Sheikh</v>
      </c>
      <c r="R946" s="10" t="n">
        <f aca="false">INDEX(SLA_Days_Col,MATCH(A946,ShipMode_Col,0))</f>
        <v>6</v>
      </c>
    </row>
    <row r="947" customFormat="false" ht="15" hidden="false" customHeight="false" outlineLevel="0" collapsed="false">
      <c r="A947" s="16" t="s">
        <v>64</v>
      </c>
      <c r="B947" s="16" t="s">
        <v>50</v>
      </c>
      <c r="C947" s="16" t="s">
        <v>51</v>
      </c>
      <c r="D947" s="16" t="s">
        <v>78</v>
      </c>
      <c r="E947" s="16" t="s">
        <v>79</v>
      </c>
      <c r="F947" s="16" t="n">
        <v>98105</v>
      </c>
      <c r="G947" s="16" t="s">
        <v>61</v>
      </c>
      <c r="H947" s="16" t="s">
        <v>62</v>
      </c>
      <c r="I947" s="16" t="s">
        <v>73</v>
      </c>
      <c r="J947" s="17" t="n">
        <v>167.76</v>
      </c>
      <c r="K947" s="16" t="n">
        <v>5</v>
      </c>
      <c r="L947" s="18" t="n">
        <v>0.2</v>
      </c>
      <c r="M947" s="19" t="n">
        <v>62.91</v>
      </c>
      <c r="N947" s="16" t="str">
        <f aca="false">IF(M947&lt;0,"Loss",IF(M947&lt;50,"Low Profit",IF(M947&lt;200,"Medium Profit","High Profit")))</f>
        <v>Medium Profit</v>
      </c>
      <c r="O947" s="16" t="str">
        <f aca="false">IF(J947&gt;=500,"High Value","Standard")</f>
        <v>Standard</v>
      </c>
      <c r="P947" s="16" t="str">
        <f aca="false">H947&amp;" &gt; "&amp;I947&amp;" ("&amp;K947&amp;" units)"</f>
        <v>Office Supplies &gt; Binders (5 units)</v>
      </c>
      <c r="Q947" s="16" t="str">
        <f aca="false">VLOOKUP(G947,Region_Manager_Table,2,FALSE())</f>
        <v>Sana Sheikh</v>
      </c>
      <c r="R947" s="16" t="n">
        <f aca="false">INDEX(SLA_Days_Col,MATCH(A947,ShipMode_Col,0))</f>
        <v>6</v>
      </c>
    </row>
    <row r="948" customFormat="false" ht="15" hidden="false" customHeight="false" outlineLevel="0" collapsed="false">
      <c r="A948" s="10" t="s">
        <v>98</v>
      </c>
      <c r="B948" s="10" t="s">
        <v>50</v>
      </c>
      <c r="C948" s="10" t="s">
        <v>51</v>
      </c>
      <c r="D948" s="10" t="s">
        <v>242</v>
      </c>
      <c r="E948" s="10" t="s">
        <v>117</v>
      </c>
      <c r="F948" s="10" t="n">
        <v>85204</v>
      </c>
      <c r="G948" s="10" t="s">
        <v>61</v>
      </c>
      <c r="H948" s="10" t="s">
        <v>55</v>
      </c>
      <c r="I948" s="10" t="s">
        <v>67</v>
      </c>
      <c r="J948" s="13" t="n">
        <v>393.165</v>
      </c>
      <c r="K948" s="10" t="n">
        <v>3</v>
      </c>
      <c r="L948" s="14" t="n">
        <v>0.5</v>
      </c>
      <c r="M948" s="15" t="n">
        <v>-204.4458</v>
      </c>
      <c r="N948" s="10" t="str">
        <f aca="false">IF(M948&lt;0,"Loss",IF(M948&lt;50,"Low Profit",IF(M948&lt;200,"Medium Profit","High Profit")))</f>
        <v>Loss</v>
      </c>
      <c r="O948" s="10" t="str">
        <f aca="false">IF(J948&gt;=500,"High Value","Standard")</f>
        <v>Standard</v>
      </c>
      <c r="P948" s="10" t="str">
        <f aca="false">H948&amp;" &gt; "&amp;I948&amp;" ("&amp;K948&amp;" units)"</f>
        <v>Furniture &gt; Tables (3 units)</v>
      </c>
      <c r="Q948" s="10" t="str">
        <f aca="false">VLOOKUP(G948,Region_Manager_Table,2,FALSE())</f>
        <v>Sana Sheikh</v>
      </c>
      <c r="R948" s="10" t="n">
        <f aca="false">INDEX(SLA_Days_Col,MATCH(A948,ShipMode_Col,0))</f>
        <v>2</v>
      </c>
    </row>
    <row r="949" customFormat="false" ht="15" hidden="false" customHeight="false" outlineLevel="0" collapsed="false">
      <c r="A949" s="16" t="s">
        <v>64</v>
      </c>
      <c r="B949" s="16" t="s">
        <v>80</v>
      </c>
      <c r="C949" s="16" t="s">
        <v>51</v>
      </c>
      <c r="D949" s="16" t="s">
        <v>91</v>
      </c>
      <c r="E949" s="16" t="s">
        <v>92</v>
      </c>
      <c r="F949" s="16" t="n">
        <v>19120</v>
      </c>
      <c r="G949" s="16" t="s">
        <v>93</v>
      </c>
      <c r="H949" s="16" t="s">
        <v>55</v>
      </c>
      <c r="I949" s="16" t="s">
        <v>69</v>
      </c>
      <c r="J949" s="17" t="n">
        <v>516.488</v>
      </c>
      <c r="K949" s="16" t="n">
        <v>7</v>
      </c>
      <c r="L949" s="18" t="n">
        <v>0.2</v>
      </c>
      <c r="M949" s="19" t="n">
        <v>-12.9122</v>
      </c>
      <c r="N949" s="16" t="str">
        <f aca="false">IF(M949&lt;0,"Loss",IF(M949&lt;50,"Low Profit",IF(M949&lt;200,"Medium Profit","High Profit")))</f>
        <v>Loss</v>
      </c>
      <c r="O949" s="16" t="str">
        <f aca="false">IF(J949&gt;=500,"High Value","Standard")</f>
        <v>High Value</v>
      </c>
      <c r="P949" s="16" t="str">
        <f aca="false">H949&amp;" &gt; "&amp;I949&amp;" ("&amp;K949&amp;" units)"</f>
        <v>Furniture &gt; Furnishings (7 units)</v>
      </c>
      <c r="Q949" s="16" t="str">
        <f aca="false">VLOOKUP(G949,Region_Manager_Table,2,FALSE())</f>
        <v>Priya Menon</v>
      </c>
      <c r="R949" s="16" t="n">
        <f aca="false">INDEX(SLA_Days_Col,MATCH(A949,ShipMode_Col,0))</f>
        <v>6</v>
      </c>
    </row>
    <row r="950" customFormat="false" ht="15" hidden="false" customHeight="false" outlineLevel="0" collapsed="false">
      <c r="A950" s="10" t="s">
        <v>64</v>
      </c>
      <c r="B950" s="10" t="s">
        <v>80</v>
      </c>
      <c r="C950" s="10" t="s">
        <v>51</v>
      </c>
      <c r="D950" s="10" t="s">
        <v>91</v>
      </c>
      <c r="E950" s="10" t="s">
        <v>92</v>
      </c>
      <c r="F950" s="10" t="n">
        <v>19120</v>
      </c>
      <c r="G950" s="10" t="s">
        <v>93</v>
      </c>
      <c r="H950" s="10" t="s">
        <v>55</v>
      </c>
      <c r="I950" s="10" t="s">
        <v>69</v>
      </c>
      <c r="J950" s="13" t="n">
        <v>1007.232</v>
      </c>
      <c r="K950" s="10" t="n">
        <v>6</v>
      </c>
      <c r="L950" s="14" t="n">
        <v>0.2</v>
      </c>
      <c r="M950" s="15" t="n">
        <v>75.5424</v>
      </c>
      <c r="N950" s="10" t="str">
        <f aca="false">IF(M950&lt;0,"Loss",IF(M950&lt;50,"Low Profit",IF(M950&lt;200,"Medium Profit","High Profit")))</f>
        <v>Medium Profit</v>
      </c>
      <c r="O950" s="10" t="str">
        <f aca="false">IF(J950&gt;=500,"High Value","Standard")</f>
        <v>High Value</v>
      </c>
      <c r="P950" s="10" t="str">
        <f aca="false">H950&amp;" &gt; "&amp;I950&amp;" ("&amp;K950&amp;" units)"</f>
        <v>Furniture &gt; Furnishings (6 units)</v>
      </c>
      <c r="Q950" s="10" t="str">
        <f aca="false">VLOOKUP(G950,Region_Manager_Table,2,FALSE())</f>
        <v>Priya Menon</v>
      </c>
      <c r="R950" s="10" t="n">
        <f aca="false">INDEX(SLA_Days_Col,MATCH(A950,ShipMode_Col,0))</f>
        <v>6</v>
      </c>
    </row>
    <row r="951" customFormat="false" ht="15" hidden="false" customHeight="false" outlineLevel="0" collapsed="false">
      <c r="A951" s="16" t="s">
        <v>64</v>
      </c>
      <c r="B951" s="16" t="s">
        <v>80</v>
      </c>
      <c r="C951" s="16" t="s">
        <v>51</v>
      </c>
      <c r="D951" s="16" t="s">
        <v>91</v>
      </c>
      <c r="E951" s="16" t="s">
        <v>92</v>
      </c>
      <c r="F951" s="16" t="n">
        <v>19120</v>
      </c>
      <c r="G951" s="16" t="s">
        <v>93</v>
      </c>
      <c r="H951" s="16" t="s">
        <v>55</v>
      </c>
      <c r="I951" s="16" t="s">
        <v>67</v>
      </c>
      <c r="J951" s="17" t="n">
        <v>2065.32</v>
      </c>
      <c r="K951" s="16" t="n">
        <v>12</v>
      </c>
      <c r="L951" s="18" t="n">
        <v>0.4</v>
      </c>
      <c r="M951" s="19" t="n">
        <v>-619.596</v>
      </c>
      <c r="N951" s="16" t="str">
        <f aca="false">IF(M951&lt;0,"Loss",IF(M951&lt;50,"Low Profit",IF(M951&lt;200,"Medium Profit","High Profit")))</f>
        <v>Loss</v>
      </c>
      <c r="O951" s="16" t="str">
        <f aca="false">IF(J951&gt;=500,"High Value","Standard")</f>
        <v>High Value</v>
      </c>
      <c r="P951" s="16" t="str">
        <f aca="false">H951&amp;" &gt; "&amp;I951&amp;" ("&amp;K951&amp;" units)"</f>
        <v>Furniture &gt; Tables (12 units)</v>
      </c>
      <c r="Q951" s="16" t="str">
        <f aca="false">VLOOKUP(G951,Region_Manager_Table,2,FALSE())</f>
        <v>Priya Menon</v>
      </c>
      <c r="R951" s="16" t="n">
        <f aca="false">INDEX(SLA_Days_Col,MATCH(A951,ShipMode_Col,0))</f>
        <v>6</v>
      </c>
    </row>
    <row r="952" customFormat="false" ht="15" hidden="false" customHeight="false" outlineLevel="0" collapsed="false">
      <c r="A952" s="10" t="s">
        <v>64</v>
      </c>
      <c r="B952" s="10" t="s">
        <v>80</v>
      </c>
      <c r="C952" s="10" t="s">
        <v>51</v>
      </c>
      <c r="D952" s="10" t="s">
        <v>91</v>
      </c>
      <c r="E952" s="10" t="s">
        <v>92</v>
      </c>
      <c r="F952" s="10" t="n">
        <v>19120</v>
      </c>
      <c r="G952" s="10" t="s">
        <v>93</v>
      </c>
      <c r="H952" s="10" t="s">
        <v>62</v>
      </c>
      <c r="I952" s="10" t="s">
        <v>77</v>
      </c>
      <c r="J952" s="13" t="n">
        <v>25.344</v>
      </c>
      <c r="K952" s="10" t="n">
        <v>6</v>
      </c>
      <c r="L952" s="14" t="n">
        <v>0.2</v>
      </c>
      <c r="M952" s="15" t="n">
        <v>7.92</v>
      </c>
      <c r="N952" s="10" t="str">
        <f aca="false">IF(M952&lt;0,"Loss",IF(M952&lt;50,"Low Profit",IF(M952&lt;200,"Medium Profit","High Profit")))</f>
        <v>Low Profit</v>
      </c>
      <c r="O952" s="10" t="str">
        <f aca="false">IF(J952&gt;=500,"High Value","Standard")</f>
        <v>Standard</v>
      </c>
      <c r="P952" s="10" t="str">
        <f aca="false">H952&amp;" &gt; "&amp;I952&amp;" ("&amp;K952&amp;" units)"</f>
        <v>Office Supplies &gt; Paper (6 units)</v>
      </c>
      <c r="Q952" s="10" t="str">
        <f aca="false">VLOOKUP(G952,Region_Manager_Table,2,FALSE())</f>
        <v>Priya Menon</v>
      </c>
      <c r="R952" s="10" t="n">
        <f aca="false">INDEX(SLA_Days_Col,MATCH(A952,ShipMode_Col,0))</f>
        <v>6</v>
      </c>
    </row>
    <row r="953" customFormat="false" ht="15" hidden="false" customHeight="false" outlineLevel="0" collapsed="false">
      <c r="A953" s="16" t="s">
        <v>64</v>
      </c>
      <c r="B953" s="16" t="s">
        <v>50</v>
      </c>
      <c r="C953" s="16" t="s">
        <v>51</v>
      </c>
      <c r="D953" s="16" t="s">
        <v>91</v>
      </c>
      <c r="E953" s="16" t="s">
        <v>92</v>
      </c>
      <c r="F953" s="16" t="n">
        <v>19143</v>
      </c>
      <c r="G953" s="16" t="s">
        <v>93</v>
      </c>
      <c r="H953" s="16" t="s">
        <v>55</v>
      </c>
      <c r="I953" s="16" t="s">
        <v>69</v>
      </c>
      <c r="J953" s="17" t="n">
        <v>25.472</v>
      </c>
      <c r="K953" s="16" t="n">
        <v>4</v>
      </c>
      <c r="L953" s="18" t="n">
        <v>0.2</v>
      </c>
      <c r="M953" s="19" t="n">
        <v>7.6416</v>
      </c>
      <c r="N953" s="16" t="str">
        <f aca="false">IF(M953&lt;0,"Loss",IF(M953&lt;50,"Low Profit",IF(M953&lt;200,"Medium Profit","High Profit")))</f>
        <v>Low Profit</v>
      </c>
      <c r="O953" s="16" t="str">
        <f aca="false">IF(J953&gt;=500,"High Value","Standard")</f>
        <v>Standard</v>
      </c>
      <c r="P953" s="16" t="str">
        <f aca="false">H953&amp;" &gt; "&amp;I953&amp;" ("&amp;K953&amp;" units)"</f>
        <v>Furniture &gt; Furnishings (4 units)</v>
      </c>
      <c r="Q953" s="16" t="str">
        <f aca="false">VLOOKUP(G953,Region_Manager_Table,2,FALSE())</f>
        <v>Priya Menon</v>
      </c>
      <c r="R953" s="16" t="n">
        <f aca="false">INDEX(SLA_Days_Col,MATCH(A953,ShipMode_Col,0))</f>
        <v>6</v>
      </c>
    </row>
    <row r="954" customFormat="false" ht="15" hidden="false" customHeight="false" outlineLevel="0" collapsed="false">
      <c r="A954" s="10" t="s">
        <v>64</v>
      </c>
      <c r="B954" s="10" t="s">
        <v>50</v>
      </c>
      <c r="C954" s="10" t="s">
        <v>51</v>
      </c>
      <c r="D954" s="10" t="s">
        <v>292</v>
      </c>
      <c r="E954" s="10" t="s">
        <v>82</v>
      </c>
      <c r="F954" s="10" t="n">
        <v>78664</v>
      </c>
      <c r="G954" s="10" t="s">
        <v>83</v>
      </c>
      <c r="H954" s="10" t="s">
        <v>62</v>
      </c>
      <c r="I954" s="10" t="s">
        <v>70</v>
      </c>
      <c r="J954" s="13" t="n">
        <v>27.168</v>
      </c>
      <c r="K954" s="10" t="n">
        <v>2</v>
      </c>
      <c r="L954" s="14" t="n">
        <v>0.2</v>
      </c>
      <c r="M954" s="15" t="n">
        <v>2.7168</v>
      </c>
      <c r="N954" s="10" t="str">
        <f aca="false">IF(M954&lt;0,"Loss",IF(M954&lt;50,"Low Profit",IF(M954&lt;200,"Medium Profit","High Profit")))</f>
        <v>Low Profit</v>
      </c>
      <c r="O954" s="10" t="str">
        <f aca="false">IF(J954&gt;=500,"High Value","Standard")</f>
        <v>Standard</v>
      </c>
      <c r="P954" s="10" t="str">
        <f aca="false">H954&amp;" &gt; "&amp;I954&amp;" ("&amp;K954&amp;" units)"</f>
        <v>Office Supplies &gt; Art (2 units)</v>
      </c>
      <c r="Q954" s="10" t="str">
        <f aca="false">VLOOKUP(G954,Region_Manager_Table,2,FALSE())</f>
        <v>Aditya Rao</v>
      </c>
      <c r="R954" s="10" t="n">
        <f aca="false">INDEX(SLA_Days_Col,MATCH(A954,ShipMode_Col,0))</f>
        <v>6</v>
      </c>
    </row>
    <row r="955" customFormat="false" ht="15" hidden="false" customHeight="false" outlineLevel="0" collapsed="false">
      <c r="A955" s="16" t="s">
        <v>64</v>
      </c>
      <c r="B955" s="16" t="s">
        <v>50</v>
      </c>
      <c r="C955" s="16" t="s">
        <v>51</v>
      </c>
      <c r="D955" s="16" t="s">
        <v>292</v>
      </c>
      <c r="E955" s="16" t="s">
        <v>82</v>
      </c>
      <c r="F955" s="16" t="n">
        <v>78664</v>
      </c>
      <c r="G955" s="16" t="s">
        <v>83</v>
      </c>
      <c r="H955" s="16" t="s">
        <v>55</v>
      </c>
      <c r="I955" s="16" t="s">
        <v>56</v>
      </c>
      <c r="J955" s="17" t="n">
        <v>78.8528</v>
      </c>
      <c r="K955" s="16" t="n">
        <v>2</v>
      </c>
      <c r="L955" s="18" t="n">
        <v>0.32</v>
      </c>
      <c r="M955" s="19" t="n">
        <v>-11.596</v>
      </c>
      <c r="N955" s="16" t="str">
        <f aca="false">IF(M955&lt;0,"Loss",IF(M955&lt;50,"Low Profit",IF(M955&lt;200,"Medium Profit","High Profit")))</f>
        <v>Loss</v>
      </c>
      <c r="O955" s="16" t="str">
        <f aca="false">IF(J955&gt;=500,"High Value","Standard")</f>
        <v>Standard</v>
      </c>
      <c r="P955" s="16" t="str">
        <f aca="false">H955&amp;" &gt; "&amp;I955&amp;" ("&amp;K955&amp;" units)"</f>
        <v>Furniture &gt; Bookcases (2 units)</v>
      </c>
      <c r="Q955" s="16" t="str">
        <f aca="false">VLOOKUP(G955,Region_Manager_Table,2,FALSE())</f>
        <v>Aditya Rao</v>
      </c>
      <c r="R955" s="16" t="n">
        <f aca="false">INDEX(SLA_Days_Col,MATCH(A955,ShipMode_Col,0))</f>
        <v>6</v>
      </c>
    </row>
    <row r="956" customFormat="false" ht="15" hidden="false" customHeight="false" outlineLevel="0" collapsed="false">
      <c r="A956" s="10" t="s">
        <v>64</v>
      </c>
      <c r="B956" s="10" t="s">
        <v>50</v>
      </c>
      <c r="C956" s="10" t="s">
        <v>51</v>
      </c>
      <c r="D956" s="10" t="s">
        <v>120</v>
      </c>
      <c r="E956" s="10" t="s">
        <v>221</v>
      </c>
      <c r="F956" s="10" t="n">
        <v>39212</v>
      </c>
      <c r="G956" s="10" t="s">
        <v>54</v>
      </c>
      <c r="H956" s="10" t="s">
        <v>62</v>
      </c>
      <c r="I956" s="10" t="s">
        <v>68</v>
      </c>
      <c r="J956" s="13" t="n">
        <v>173.8</v>
      </c>
      <c r="K956" s="10" t="n">
        <v>5</v>
      </c>
      <c r="L956" s="14" t="n">
        <v>0</v>
      </c>
      <c r="M956" s="15" t="n">
        <v>43.45</v>
      </c>
      <c r="N956" s="10" t="str">
        <f aca="false">IF(M956&lt;0,"Loss",IF(M956&lt;50,"Low Profit",IF(M956&lt;200,"Medium Profit","High Profit")))</f>
        <v>Low Profit</v>
      </c>
      <c r="O956" s="10" t="str">
        <f aca="false">IF(J956&gt;=500,"High Value","Standard")</f>
        <v>Standard</v>
      </c>
      <c r="P956" s="10" t="str">
        <f aca="false">H956&amp;" &gt; "&amp;I956&amp;" ("&amp;K956&amp;" units)"</f>
        <v>Office Supplies &gt; Storage (5 units)</v>
      </c>
      <c r="Q956" s="10" t="str">
        <f aca="false">VLOOKUP(G956,Region_Manager_Table,2,FALSE())</f>
        <v>Karthik Iyer</v>
      </c>
      <c r="R956" s="10" t="n">
        <f aca="false">INDEX(SLA_Days_Col,MATCH(A956,ShipMode_Col,0))</f>
        <v>6</v>
      </c>
    </row>
    <row r="957" customFormat="false" ht="15" hidden="false" customHeight="false" outlineLevel="0" collapsed="false">
      <c r="A957" s="16" t="s">
        <v>49</v>
      </c>
      <c r="B957" s="16" t="s">
        <v>50</v>
      </c>
      <c r="C957" s="16" t="s">
        <v>51</v>
      </c>
      <c r="D957" s="16" t="s">
        <v>144</v>
      </c>
      <c r="E957" s="16" t="s">
        <v>117</v>
      </c>
      <c r="F957" s="16" t="n">
        <v>85023</v>
      </c>
      <c r="G957" s="16" t="s">
        <v>61</v>
      </c>
      <c r="H957" s="16" t="s">
        <v>71</v>
      </c>
      <c r="I957" s="16" t="s">
        <v>72</v>
      </c>
      <c r="J957" s="17" t="n">
        <v>29.592</v>
      </c>
      <c r="K957" s="16" t="n">
        <v>1</v>
      </c>
      <c r="L957" s="18" t="n">
        <v>0.2</v>
      </c>
      <c r="M957" s="19" t="n">
        <v>2.5893</v>
      </c>
      <c r="N957" s="16" t="str">
        <f aca="false">IF(M957&lt;0,"Loss",IF(M957&lt;50,"Low Profit",IF(M957&lt;200,"Medium Profit","High Profit")))</f>
        <v>Low Profit</v>
      </c>
      <c r="O957" s="16" t="str">
        <f aca="false">IF(J957&gt;=500,"High Value","Standard")</f>
        <v>Standard</v>
      </c>
      <c r="P957" s="16" t="str">
        <f aca="false">H957&amp;" &gt; "&amp;I957&amp;" ("&amp;K957&amp;" units)"</f>
        <v>Technology &gt; Phones (1 units)</v>
      </c>
      <c r="Q957" s="16" t="str">
        <f aca="false">VLOOKUP(G957,Region_Manager_Table,2,FALSE())</f>
        <v>Sana Sheikh</v>
      </c>
      <c r="R957" s="16" t="n">
        <f aca="false">INDEX(SLA_Days_Col,MATCH(A957,ShipMode_Col,0))</f>
        <v>4</v>
      </c>
    </row>
    <row r="958" customFormat="false" ht="15" hidden="false" customHeight="false" outlineLevel="0" collapsed="false">
      <c r="A958" s="10" t="s">
        <v>49</v>
      </c>
      <c r="B958" s="10" t="s">
        <v>50</v>
      </c>
      <c r="C958" s="10" t="s">
        <v>51</v>
      </c>
      <c r="D958" s="10" t="s">
        <v>144</v>
      </c>
      <c r="E958" s="10" t="s">
        <v>117</v>
      </c>
      <c r="F958" s="10" t="n">
        <v>85023</v>
      </c>
      <c r="G958" s="10" t="s">
        <v>61</v>
      </c>
      <c r="H958" s="10" t="s">
        <v>62</v>
      </c>
      <c r="I958" s="10" t="s">
        <v>73</v>
      </c>
      <c r="J958" s="13" t="n">
        <v>4.752</v>
      </c>
      <c r="K958" s="10" t="n">
        <v>2</v>
      </c>
      <c r="L958" s="14" t="n">
        <v>0.7</v>
      </c>
      <c r="M958" s="15" t="n">
        <v>-3.168</v>
      </c>
      <c r="N958" s="10" t="str">
        <f aca="false">IF(M958&lt;0,"Loss",IF(M958&lt;50,"Low Profit",IF(M958&lt;200,"Medium Profit","High Profit")))</f>
        <v>Loss</v>
      </c>
      <c r="O958" s="10" t="str">
        <f aca="false">IF(J958&gt;=500,"High Value","Standard")</f>
        <v>Standard</v>
      </c>
      <c r="P958" s="10" t="str">
        <f aca="false">H958&amp;" &gt; "&amp;I958&amp;" ("&amp;K958&amp;" units)"</f>
        <v>Office Supplies &gt; Binders (2 units)</v>
      </c>
      <c r="Q958" s="10" t="str">
        <f aca="false">VLOOKUP(G958,Region_Manager_Table,2,FALSE())</f>
        <v>Sana Sheikh</v>
      </c>
      <c r="R958" s="10" t="n">
        <f aca="false">INDEX(SLA_Days_Col,MATCH(A958,ShipMode_Col,0))</f>
        <v>4</v>
      </c>
    </row>
    <row r="959" customFormat="false" ht="15" hidden="false" customHeight="false" outlineLevel="0" collapsed="false">
      <c r="A959" s="16" t="s">
        <v>49</v>
      </c>
      <c r="B959" s="16" t="s">
        <v>50</v>
      </c>
      <c r="C959" s="16" t="s">
        <v>51</v>
      </c>
      <c r="D959" s="16" t="s">
        <v>144</v>
      </c>
      <c r="E959" s="16" t="s">
        <v>117</v>
      </c>
      <c r="F959" s="16" t="n">
        <v>85023</v>
      </c>
      <c r="G959" s="16" t="s">
        <v>61</v>
      </c>
      <c r="H959" s="16" t="s">
        <v>62</v>
      </c>
      <c r="I959" s="16" t="s">
        <v>77</v>
      </c>
      <c r="J959" s="17" t="n">
        <v>15.552</v>
      </c>
      <c r="K959" s="16" t="n">
        <v>3</v>
      </c>
      <c r="L959" s="18" t="n">
        <v>0.2</v>
      </c>
      <c r="M959" s="19" t="n">
        <v>5.6376</v>
      </c>
      <c r="N959" s="16" t="str">
        <f aca="false">IF(M959&lt;0,"Loss",IF(M959&lt;50,"Low Profit",IF(M959&lt;200,"Medium Profit","High Profit")))</f>
        <v>Low Profit</v>
      </c>
      <c r="O959" s="16" t="str">
        <f aca="false">IF(J959&gt;=500,"High Value","Standard")</f>
        <v>Standard</v>
      </c>
      <c r="P959" s="16" t="str">
        <f aca="false">H959&amp;" &gt; "&amp;I959&amp;" ("&amp;K959&amp;" units)"</f>
        <v>Office Supplies &gt; Paper (3 units)</v>
      </c>
      <c r="Q959" s="16" t="str">
        <f aca="false">VLOOKUP(G959,Region_Manager_Table,2,FALSE())</f>
        <v>Sana Sheikh</v>
      </c>
      <c r="R959" s="16" t="n">
        <f aca="false">INDEX(SLA_Days_Col,MATCH(A959,ShipMode_Col,0))</f>
        <v>4</v>
      </c>
    </row>
    <row r="960" customFormat="false" ht="15" hidden="false" customHeight="false" outlineLevel="0" collapsed="false">
      <c r="A960" s="10" t="s">
        <v>204</v>
      </c>
      <c r="B960" s="10" t="s">
        <v>50</v>
      </c>
      <c r="C960" s="10" t="s">
        <v>51</v>
      </c>
      <c r="D960" s="10" t="s">
        <v>266</v>
      </c>
      <c r="E960" s="10" t="s">
        <v>60</v>
      </c>
      <c r="F960" s="10" t="n">
        <v>92054</v>
      </c>
      <c r="G960" s="10" t="s">
        <v>61</v>
      </c>
      <c r="H960" s="10" t="s">
        <v>55</v>
      </c>
      <c r="I960" s="10" t="s">
        <v>69</v>
      </c>
      <c r="J960" s="13" t="n">
        <v>204.6</v>
      </c>
      <c r="K960" s="10" t="n">
        <v>2</v>
      </c>
      <c r="L960" s="14" t="n">
        <v>0</v>
      </c>
      <c r="M960" s="15" t="n">
        <v>53.196</v>
      </c>
      <c r="N960" s="10" t="str">
        <f aca="false">IF(M960&lt;0,"Loss",IF(M960&lt;50,"Low Profit",IF(M960&lt;200,"Medium Profit","High Profit")))</f>
        <v>Medium Profit</v>
      </c>
      <c r="O960" s="10" t="str">
        <f aca="false">IF(J960&gt;=500,"High Value","Standard")</f>
        <v>Standard</v>
      </c>
      <c r="P960" s="10" t="str">
        <f aca="false">H960&amp;" &gt; "&amp;I960&amp;" ("&amp;K960&amp;" units)"</f>
        <v>Furniture &gt; Furnishings (2 units)</v>
      </c>
      <c r="Q960" s="10" t="str">
        <f aca="false">VLOOKUP(G960,Region_Manager_Table,2,FALSE())</f>
        <v>Sana Sheikh</v>
      </c>
      <c r="R960" s="10" t="n">
        <f aca="false">INDEX(SLA_Days_Col,MATCH(A960,ShipMode_Col,0))</f>
        <v>1</v>
      </c>
    </row>
    <row r="961" customFormat="false" ht="15" hidden="false" customHeight="false" outlineLevel="0" collapsed="false">
      <c r="A961" s="16" t="s">
        <v>64</v>
      </c>
      <c r="B961" s="16" t="s">
        <v>58</v>
      </c>
      <c r="C961" s="16" t="s">
        <v>51</v>
      </c>
      <c r="D961" s="16" t="s">
        <v>88</v>
      </c>
      <c r="E961" s="16" t="s">
        <v>60</v>
      </c>
      <c r="F961" s="16" t="n">
        <v>94110</v>
      </c>
      <c r="G961" s="16" t="s">
        <v>61</v>
      </c>
      <c r="H961" s="16" t="s">
        <v>55</v>
      </c>
      <c r="I961" s="16" t="s">
        <v>57</v>
      </c>
      <c r="J961" s="17" t="n">
        <v>321.568</v>
      </c>
      <c r="K961" s="16" t="n">
        <v>2</v>
      </c>
      <c r="L961" s="18" t="n">
        <v>0.2</v>
      </c>
      <c r="M961" s="19" t="n">
        <v>28.1372</v>
      </c>
      <c r="N961" s="16" t="str">
        <f aca="false">IF(M961&lt;0,"Loss",IF(M961&lt;50,"Low Profit",IF(M961&lt;200,"Medium Profit","High Profit")))</f>
        <v>Low Profit</v>
      </c>
      <c r="O961" s="16" t="str">
        <f aca="false">IF(J961&gt;=500,"High Value","Standard")</f>
        <v>Standard</v>
      </c>
      <c r="P961" s="16" t="str">
        <f aca="false">H961&amp;" &gt; "&amp;I961&amp;" ("&amp;K961&amp;" units)"</f>
        <v>Furniture &gt; Chairs (2 units)</v>
      </c>
      <c r="Q961" s="16" t="str">
        <f aca="false">VLOOKUP(G961,Region_Manager_Table,2,FALSE())</f>
        <v>Sana Sheikh</v>
      </c>
      <c r="R961" s="16" t="n">
        <f aca="false">INDEX(SLA_Days_Col,MATCH(A961,ShipMode_Col,0))</f>
        <v>6</v>
      </c>
    </row>
    <row r="962" customFormat="false" ht="15" hidden="false" customHeight="false" outlineLevel="0" collapsed="false">
      <c r="A962" s="10" t="s">
        <v>64</v>
      </c>
      <c r="B962" s="10" t="s">
        <v>80</v>
      </c>
      <c r="C962" s="10" t="s">
        <v>51</v>
      </c>
      <c r="D962" s="10" t="s">
        <v>232</v>
      </c>
      <c r="E962" s="10" t="s">
        <v>233</v>
      </c>
      <c r="F962" s="10" t="n">
        <v>72701</v>
      </c>
      <c r="G962" s="10" t="s">
        <v>54</v>
      </c>
      <c r="H962" s="10" t="s">
        <v>62</v>
      </c>
      <c r="I962" s="10" t="s">
        <v>73</v>
      </c>
      <c r="J962" s="13" t="n">
        <v>6.24</v>
      </c>
      <c r="K962" s="10" t="n">
        <v>2</v>
      </c>
      <c r="L962" s="14" t="n">
        <v>0</v>
      </c>
      <c r="M962" s="15" t="n">
        <v>3.0576</v>
      </c>
      <c r="N962" s="10" t="str">
        <f aca="false">IF(M962&lt;0,"Loss",IF(M962&lt;50,"Low Profit",IF(M962&lt;200,"Medium Profit","High Profit")))</f>
        <v>Low Profit</v>
      </c>
      <c r="O962" s="10" t="str">
        <f aca="false">IF(J962&gt;=500,"High Value","Standard")</f>
        <v>Standard</v>
      </c>
      <c r="P962" s="10" t="str">
        <f aca="false">H962&amp;" &gt; "&amp;I962&amp;" ("&amp;K962&amp;" units)"</f>
        <v>Office Supplies &gt; Binders (2 units)</v>
      </c>
      <c r="Q962" s="10" t="str">
        <f aca="false">VLOOKUP(G962,Region_Manager_Table,2,FALSE())</f>
        <v>Karthik Iyer</v>
      </c>
      <c r="R962" s="10" t="n">
        <f aca="false">INDEX(SLA_Days_Col,MATCH(A962,ShipMode_Col,0))</f>
        <v>6</v>
      </c>
    </row>
    <row r="963" customFormat="false" ht="15" hidden="false" customHeight="false" outlineLevel="0" collapsed="false">
      <c r="A963" s="16" t="s">
        <v>98</v>
      </c>
      <c r="B963" s="16" t="s">
        <v>58</v>
      </c>
      <c r="C963" s="16" t="s">
        <v>51</v>
      </c>
      <c r="D963" s="16" t="s">
        <v>88</v>
      </c>
      <c r="E963" s="16" t="s">
        <v>60</v>
      </c>
      <c r="F963" s="16" t="n">
        <v>94110</v>
      </c>
      <c r="G963" s="16" t="s">
        <v>61</v>
      </c>
      <c r="H963" s="16" t="s">
        <v>62</v>
      </c>
      <c r="I963" s="16" t="s">
        <v>96</v>
      </c>
      <c r="J963" s="17" t="n">
        <v>21.88</v>
      </c>
      <c r="K963" s="16" t="n">
        <v>2</v>
      </c>
      <c r="L963" s="18" t="n">
        <v>0</v>
      </c>
      <c r="M963" s="19" t="n">
        <v>10.94</v>
      </c>
      <c r="N963" s="16" t="str">
        <f aca="false">IF(M963&lt;0,"Loss",IF(M963&lt;50,"Low Profit",IF(M963&lt;200,"Medium Profit","High Profit")))</f>
        <v>Low Profit</v>
      </c>
      <c r="O963" s="16" t="str">
        <f aca="false">IF(J963&gt;=500,"High Value","Standard")</f>
        <v>Standard</v>
      </c>
      <c r="P963" s="16" t="str">
        <f aca="false">H963&amp;" &gt; "&amp;I963&amp;" ("&amp;K963&amp;" units)"</f>
        <v>Office Supplies &gt; Envelopes (2 units)</v>
      </c>
      <c r="Q963" s="16" t="str">
        <f aca="false">VLOOKUP(G963,Region_Manager_Table,2,FALSE())</f>
        <v>Sana Sheikh</v>
      </c>
      <c r="R963" s="16" t="n">
        <f aca="false">INDEX(SLA_Days_Col,MATCH(A963,ShipMode_Col,0))</f>
        <v>2</v>
      </c>
    </row>
    <row r="964" customFormat="false" ht="15" hidden="false" customHeight="false" outlineLevel="0" collapsed="false">
      <c r="A964" s="10" t="s">
        <v>49</v>
      </c>
      <c r="B964" s="10" t="s">
        <v>50</v>
      </c>
      <c r="C964" s="10" t="s">
        <v>51</v>
      </c>
      <c r="D964" s="10" t="s">
        <v>293</v>
      </c>
      <c r="E964" s="10" t="s">
        <v>66</v>
      </c>
      <c r="F964" s="10" t="n">
        <v>33433</v>
      </c>
      <c r="G964" s="10" t="s">
        <v>54</v>
      </c>
      <c r="H964" s="10" t="s">
        <v>62</v>
      </c>
      <c r="I964" s="10" t="s">
        <v>63</v>
      </c>
      <c r="J964" s="13" t="n">
        <v>4.608</v>
      </c>
      <c r="K964" s="10" t="n">
        <v>2</v>
      </c>
      <c r="L964" s="14" t="n">
        <v>0.2</v>
      </c>
      <c r="M964" s="15" t="n">
        <v>1.6704</v>
      </c>
      <c r="N964" s="10" t="str">
        <f aca="false">IF(M964&lt;0,"Loss",IF(M964&lt;50,"Low Profit",IF(M964&lt;200,"Medium Profit","High Profit")))</f>
        <v>Low Profit</v>
      </c>
      <c r="O964" s="10" t="str">
        <f aca="false">IF(J964&gt;=500,"High Value","Standard")</f>
        <v>Standard</v>
      </c>
      <c r="P964" s="10" t="str">
        <f aca="false">H964&amp;" &gt; "&amp;I964&amp;" ("&amp;K964&amp;" units)"</f>
        <v>Office Supplies &gt; Labels (2 units)</v>
      </c>
      <c r="Q964" s="10" t="str">
        <f aca="false">VLOOKUP(G964,Region_Manager_Table,2,FALSE())</f>
        <v>Karthik Iyer</v>
      </c>
      <c r="R964" s="10" t="n">
        <f aca="false">INDEX(SLA_Days_Col,MATCH(A964,ShipMode_Col,0))</f>
        <v>4</v>
      </c>
    </row>
    <row r="965" customFormat="false" ht="15" hidden="false" customHeight="false" outlineLevel="0" collapsed="false">
      <c r="A965" s="16" t="s">
        <v>98</v>
      </c>
      <c r="B965" s="16" t="s">
        <v>80</v>
      </c>
      <c r="C965" s="16" t="s">
        <v>51</v>
      </c>
      <c r="D965" s="16" t="s">
        <v>111</v>
      </c>
      <c r="E965" s="16" t="s">
        <v>112</v>
      </c>
      <c r="F965" s="16" t="n">
        <v>10011</v>
      </c>
      <c r="G965" s="16" t="s">
        <v>93</v>
      </c>
      <c r="H965" s="16" t="s">
        <v>62</v>
      </c>
      <c r="I965" s="16" t="s">
        <v>63</v>
      </c>
      <c r="J965" s="17" t="n">
        <v>9.82</v>
      </c>
      <c r="K965" s="16" t="n">
        <v>2</v>
      </c>
      <c r="L965" s="18" t="n">
        <v>0</v>
      </c>
      <c r="M965" s="19" t="n">
        <v>4.8118</v>
      </c>
      <c r="N965" s="16" t="str">
        <f aca="false">IF(M965&lt;0,"Loss",IF(M965&lt;50,"Low Profit",IF(M965&lt;200,"Medium Profit","High Profit")))</f>
        <v>Low Profit</v>
      </c>
      <c r="O965" s="16" t="str">
        <f aca="false">IF(J965&gt;=500,"High Value","Standard")</f>
        <v>Standard</v>
      </c>
      <c r="P965" s="16" t="str">
        <f aca="false">H965&amp;" &gt; "&amp;I965&amp;" ("&amp;K965&amp;" units)"</f>
        <v>Office Supplies &gt; Labels (2 units)</v>
      </c>
      <c r="Q965" s="16" t="str">
        <f aca="false">VLOOKUP(G965,Region_Manager_Table,2,FALSE())</f>
        <v>Priya Menon</v>
      </c>
      <c r="R965" s="16" t="n">
        <f aca="false">INDEX(SLA_Days_Col,MATCH(A965,ShipMode_Col,0))</f>
        <v>2</v>
      </c>
    </row>
    <row r="966" customFormat="false" ht="15" hidden="false" customHeight="false" outlineLevel="0" collapsed="false">
      <c r="A966" s="10" t="s">
        <v>98</v>
      </c>
      <c r="B966" s="10" t="s">
        <v>80</v>
      </c>
      <c r="C966" s="10" t="s">
        <v>51</v>
      </c>
      <c r="D966" s="10" t="s">
        <v>111</v>
      </c>
      <c r="E966" s="10" t="s">
        <v>112</v>
      </c>
      <c r="F966" s="10" t="n">
        <v>10011</v>
      </c>
      <c r="G966" s="10" t="s">
        <v>93</v>
      </c>
      <c r="H966" s="10" t="s">
        <v>62</v>
      </c>
      <c r="I966" s="10" t="s">
        <v>70</v>
      </c>
      <c r="J966" s="13" t="n">
        <v>35.97</v>
      </c>
      <c r="K966" s="10" t="n">
        <v>3</v>
      </c>
      <c r="L966" s="14" t="n">
        <v>0</v>
      </c>
      <c r="M966" s="15" t="n">
        <v>9.7119</v>
      </c>
      <c r="N966" s="10" t="str">
        <f aca="false">IF(M966&lt;0,"Loss",IF(M966&lt;50,"Low Profit",IF(M966&lt;200,"Medium Profit","High Profit")))</f>
        <v>Low Profit</v>
      </c>
      <c r="O966" s="10" t="str">
        <f aca="false">IF(J966&gt;=500,"High Value","Standard")</f>
        <v>Standard</v>
      </c>
      <c r="P966" s="10" t="str">
        <f aca="false">H966&amp;" &gt; "&amp;I966&amp;" ("&amp;K966&amp;" units)"</f>
        <v>Office Supplies &gt; Art (3 units)</v>
      </c>
      <c r="Q966" s="10" t="str">
        <f aca="false">VLOOKUP(G966,Region_Manager_Table,2,FALSE())</f>
        <v>Priya Menon</v>
      </c>
      <c r="R966" s="10" t="n">
        <f aca="false">INDEX(SLA_Days_Col,MATCH(A966,ShipMode_Col,0))</f>
        <v>2</v>
      </c>
    </row>
    <row r="967" customFormat="false" ht="15" hidden="false" customHeight="false" outlineLevel="0" collapsed="false">
      <c r="A967" s="16" t="s">
        <v>98</v>
      </c>
      <c r="B967" s="16" t="s">
        <v>80</v>
      </c>
      <c r="C967" s="16" t="s">
        <v>51</v>
      </c>
      <c r="D967" s="16" t="s">
        <v>111</v>
      </c>
      <c r="E967" s="16" t="s">
        <v>112</v>
      </c>
      <c r="F967" s="16" t="n">
        <v>10011</v>
      </c>
      <c r="G967" s="16" t="s">
        <v>93</v>
      </c>
      <c r="H967" s="16" t="s">
        <v>62</v>
      </c>
      <c r="I967" s="16" t="s">
        <v>77</v>
      </c>
      <c r="J967" s="17" t="n">
        <v>12.96</v>
      </c>
      <c r="K967" s="16" t="n">
        <v>2</v>
      </c>
      <c r="L967" s="18" t="n">
        <v>0</v>
      </c>
      <c r="M967" s="19" t="n">
        <v>6.2208</v>
      </c>
      <c r="N967" s="16" t="str">
        <f aca="false">IF(M967&lt;0,"Loss",IF(M967&lt;50,"Low Profit",IF(M967&lt;200,"Medium Profit","High Profit")))</f>
        <v>Low Profit</v>
      </c>
      <c r="O967" s="16" t="str">
        <f aca="false">IF(J967&gt;=500,"High Value","Standard")</f>
        <v>Standard</v>
      </c>
      <c r="P967" s="16" t="str">
        <f aca="false">H967&amp;" &gt; "&amp;I967&amp;" ("&amp;K967&amp;" units)"</f>
        <v>Office Supplies &gt; Paper (2 units)</v>
      </c>
      <c r="Q967" s="16" t="str">
        <f aca="false">VLOOKUP(G967,Region_Manager_Table,2,FALSE())</f>
        <v>Priya Menon</v>
      </c>
      <c r="R967" s="16" t="n">
        <f aca="false">INDEX(SLA_Days_Col,MATCH(A967,ShipMode_Col,0))</f>
        <v>2</v>
      </c>
    </row>
    <row r="968" customFormat="false" ht="15" hidden="false" customHeight="false" outlineLevel="0" collapsed="false">
      <c r="A968" s="10" t="s">
        <v>98</v>
      </c>
      <c r="B968" s="10" t="s">
        <v>80</v>
      </c>
      <c r="C968" s="10" t="s">
        <v>51</v>
      </c>
      <c r="D968" s="10" t="s">
        <v>111</v>
      </c>
      <c r="E968" s="10" t="s">
        <v>112</v>
      </c>
      <c r="F968" s="10" t="n">
        <v>10011</v>
      </c>
      <c r="G968" s="10" t="s">
        <v>93</v>
      </c>
      <c r="H968" s="10" t="s">
        <v>62</v>
      </c>
      <c r="I968" s="10" t="s">
        <v>77</v>
      </c>
      <c r="J968" s="13" t="n">
        <v>191.6</v>
      </c>
      <c r="K968" s="10" t="n">
        <v>4</v>
      </c>
      <c r="L968" s="14" t="n">
        <v>0</v>
      </c>
      <c r="M968" s="15" t="n">
        <v>91.968</v>
      </c>
      <c r="N968" s="10" t="str">
        <f aca="false">IF(M968&lt;0,"Loss",IF(M968&lt;50,"Low Profit",IF(M968&lt;200,"Medium Profit","High Profit")))</f>
        <v>Medium Profit</v>
      </c>
      <c r="O968" s="10" t="str">
        <f aca="false">IF(J968&gt;=500,"High Value","Standard")</f>
        <v>Standard</v>
      </c>
      <c r="P968" s="10" t="str">
        <f aca="false">H968&amp;" &gt; "&amp;I968&amp;" ("&amp;K968&amp;" units)"</f>
        <v>Office Supplies &gt; Paper (4 units)</v>
      </c>
      <c r="Q968" s="10" t="str">
        <f aca="false">VLOOKUP(G968,Region_Manager_Table,2,FALSE())</f>
        <v>Priya Menon</v>
      </c>
      <c r="R968" s="10" t="n">
        <f aca="false">INDEX(SLA_Days_Col,MATCH(A968,ShipMode_Col,0))</f>
        <v>2</v>
      </c>
    </row>
    <row r="969" customFormat="false" ht="15" hidden="false" customHeight="false" outlineLevel="0" collapsed="false">
      <c r="A969" s="16" t="s">
        <v>98</v>
      </c>
      <c r="B969" s="16" t="s">
        <v>80</v>
      </c>
      <c r="C969" s="16" t="s">
        <v>51</v>
      </c>
      <c r="D969" s="16" t="s">
        <v>111</v>
      </c>
      <c r="E969" s="16" t="s">
        <v>112</v>
      </c>
      <c r="F969" s="16" t="n">
        <v>10011</v>
      </c>
      <c r="G969" s="16" t="s">
        <v>93</v>
      </c>
      <c r="H969" s="16" t="s">
        <v>62</v>
      </c>
      <c r="I969" s="16" t="s">
        <v>63</v>
      </c>
      <c r="J969" s="17" t="n">
        <v>8.64</v>
      </c>
      <c r="K969" s="16" t="n">
        <v>3</v>
      </c>
      <c r="L969" s="18" t="n">
        <v>0</v>
      </c>
      <c r="M969" s="19" t="n">
        <v>4.2336</v>
      </c>
      <c r="N969" s="16" t="str">
        <f aca="false">IF(M969&lt;0,"Loss",IF(M969&lt;50,"Low Profit",IF(M969&lt;200,"Medium Profit","High Profit")))</f>
        <v>Low Profit</v>
      </c>
      <c r="O969" s="16" t="str">
        <f aca="false">IF(J969&gt;=500,"High Value","Standard")</f>
        <v>Standard</v>
      </c>
      <c r="P969" s="16" t="str">
        <f aca="false">H969&amp;" &gt; "&amp;I969&amp;" ("&amp;K969&amp;" units)"</f>
        <v>Office Supplies &gt; Labels (3 units)</v>
      </c>
      <c r="Q969" s="16" t="str">
        <f aca="false">VLOOKUP(G969,Region_Manager_Table,2,FALSE())</f>
        <v>Priya Menon</v>
      </c>
      <c r="R969" s="16" t="n">
        <f aca="false">INDEX(SLA_Days_Col,MATCH(A969,ShipMode_Col,0))</f>
        <v>2</v>
      </c>
    </row>
    <row r="970" customFormat="false" ht="15" hidden="false" customHeight="false" outlineLevel="0" collapsed="false">
      <c r="A970" s="10" t="s">
        <v>98</v>
      </c>
      <c r="B970" s="10" t="s">
        <v>80</v>
      </c>
      <c r="C970" s="10" t="s">
        <v>51</v>
      </c>
      <c r="D970" s="10" t="s">
        <v>111</v>
      </c>
      <c r="E970" s="10" t="s">
        <v>112</v>
      </c>
      <c r="F970" s="10" t="n">
        <v>10011</v>
      </c>
      <c r="G970" s="10" t="s">
        <v>93</v>
      </c>
      <c r="H970" s="10" t="s">
        <v>62</v>
      </c>
      <c r="I970" s="10" t="s">
        <v>68</v>
      </c>
      <c r="J970" s="13" t="n">
        <v>501.81</v>
      </c>
      <c r="K970" s="10" t="n">
        <v>3</v>
      </c>
      <c r="L970" s="14" t="n">
        <v>0</v>
      </c>
      <c r="M970" s="15" t="n">
        <v>0</v>
      </c>
      <c r="N970" s="10" t="str">
        <f aca="false">IF(M970&lt;0,"Loss",IF(M970&lt;50,"Low Profit",IF(M970&lt;200,"Medium Profit","High Profit")))</f>
        <v>Low Profit</v>
      </c>
      <c r="O970" s="10" t="str">
        <f aca="false">IF(J970&gt;=500,"High Value","Standard")</f>
        <v>High Value</v>
      </c>
      <c r="P970" s="10" t="str">
        <f aca="false">H970&amp;" &gt; "&amp;I970&amp;" ("&amp;K970&amp;" units)"</f>
        <v>Office Supplies &gt; Storage (3 units)</v>
      </c>
      <c r="Q970" s="10" t="str">
        <f aca="false">VLOOKUP(G970,Region_Manager_Table,2,FALSE())</f>
        <v>Priya Menon</v>
      </c>
      <c r="R970" s="10" t="n">
        <f aca="false">INDEX(SLA_Days_Col,MATCH(A970,ShipMode_Col,0))</f>
        <v>2</v>
      </c>
    </row>
    <row r="971" customFormat="false" ht="15" hidden="false" customHeight="false" outlineLevel="0" collapsed="false">
      <c r="A971" s="16" t="s">
        <v>49</v>
      </c>
      <c r="B971" s="16" t="s">
        <v>50</v>
      </c>
      <c r="C971" s="16" t="s">
        <v>51</v>
      </c>
      <c r="D971" s="16" t="s">
        <v>91</v>
      </c>
      <c r="E971" s="16" t="s">
        <v>92</v>
      </c>
      <c r="F971" s="16" t="n">
        <v>19134</v>
      </c>
      <c r="G971" s="16" t="s">
        <v>93</v>
      </c>
      <c r="H971" s="16" t="s">
        <v>55</v>
      </c>
      <c r="I971" s="16" t="s">
        <v>69</v>
      </c>
      <c r="J971" s="17" t="n">
        <v>127.104</v>
      </c>
      <c r="K971" s="16" t="n">
        <v>6</v>
      </c>
      <c r="L971" s="18" t="n">
        <v>0.2</v>
      </c>
      <c r="M971" s="19" t="n">
        <v>28.5984</v>
      </c>
      <c r="N971" s="16" t="str">
        <f aca="false">IF(M971&lt;0,"Loss",IF(M971&lt;50,"Low Profit",IF(M971&lt;200,"Medium Profit","High Profit")))</f>
        <v>Low Profit</v>
      </c>
      <c r="O971" s="16" t="str">
        <f aca="false">IF(J971&gt;=500,"High Value","Standard")</f>
        <v>Standard</v>
      </c>
      <c r="P971" s="16" t="str">
        <f aca="false">H971&amp;" &gt; "&amp;I971&amp;" ("&amp;K971&amp;" units)"</f>
        <v>Furniture &gt; Furnishings (6 units)</v>
      </c>
      <c r="Q971" s="16" t="str">
        <f aca="false">VLOOKUP(G971,Region_Manager_Table,2,FALSE())</f>
        <v>Priya Menon</v>
      </c>
      <c r="R971" s="16" t="n">
        <f aca="false">INDEX(SLA_Days_Col,MATCH(A971,ShipMode_Col,0))</f>
        <v>4</v>
      </c>
    </row>
    <row r="972" customFormat="false" ht="15" hidden="false" customHeight="false" outlineLevel="0" collapsed="false">
      <c r="A972" s="10" t="s">
        <v>49</v>
      </c>
      <c r="B972" s="10" t="s">
        <v>50</v>
      </c>
      <c r="C972" s="10" t="s">
        <v>51</v>
      </c>
      <c r="D972" s="10" t="s">
        <v>91</v>
      </c>
      <c r="E972" s="10" t="s">
        <v>92</v>
      </c>
      <c r="F972" s="10" t="n">
        <v>19134</v>
      </c>
      <c r="G972" s="10" t="s">
        <v>93</v>
      </c>
      <c r="H972" s="10" t="s">
        <v>71</v>
      </c>
      <c r="I972" s="10" t="s">
        <v>72</v>
      </c>
      <c r="J972" s="13" t="n">
        <v>124.2</v>
      </c>
      <c r="K972" s="10" t="n">
        <v>3</v>
      </c>
      <c r="L972" s="14" t="n">
        <v>0.4</v>
      </c>
      <c r="M972" s="15" t="n">
        <v>-31.05</v>
      </c>
      <c r="N972" s="10" t="str">
        <f aca="false">IF(M972&lt;0,"Loss",IF(M972&lt;50,"Low Profit",IF(M972&lt;200,"Medium Profit","High Profit")))</f>
        <v>Loss</v>
      </c>
      <c r="O972" s="10" t="str">
        <f aca="false">IF(J972&gt;=500,"High Value","Standard")</f>
        <v>Standard</v>
      </c>
      <c r="P972" s="10" t="str">
        <f aca="false">H972&amp;" &gt; "&amp;I972&amp;" ("&amp;K972&amp;" units)"</f>
        <v>Technology &gt; Phones (3 units)</v>
      </c>
      <c r="Q972" s="10" t="str">
        <f aca="false">VLOOKUP(G972,Region_Manager_Table,2,FALSE())</f>
        <v>Priya Menon</v>
      </c>
      <c r="R972" s="10" t="n">
        <f aca="false">INDEX(SLA_Days_Col,MATCH(A972,ShipMode_Col,0))</f>
        <v>4</v>
      </c>
    </row>
    <row r="973" customFormat="false" ht="15" hidden="false" customHeight="false" outlineLevel="0" collapsed="false">
      <c r="A973" s="16" t="s">
        <v>49</v>
      </c>
      <c r="B973" s="16" t="s">
        <v>50</v>
      </c>
      <c r="C973" s="16" t="s">
        <v>51</v>
      </c>
      <c r="D973" s="16" t="s">
        <v>91</v>
      </c>
      <c r="E973" s="16" t="s">
        <v>92</v>
      </c>
      <c r="F973" s="16" t="n">
        <v>19134</v>
      </c>
      <c r="G973" s="16" t="s">
        <v>93</v>
      </c>
      <c r="H973" s="16" t="s">
        <v>62</v>
      </c>
      <c r="I973" s="16" t="s">
        <v>73</v>
      </c>
      <c r="J973" s="17" t="n">
        <v>18.588</v>
      </c>
      <c r="K973" s="16" t="n">
        <v>2</v>
      </c>
      <c r="L973" s="18" t="n">
        <v>0.7</v>
      </c>
      <c r="M973" s="19" t="n">
        <v>-13.6312</v>
      </c>
      <c r="N973" s="16" t="str">
        <f aca="false">IF(M973&lt;0,"Loss",IF(M973&lt;50,"Low Profit",IF(M973&lt;200,"Medium Profit","High Profit")))</f>
        <v>Loss</v>
      </c>
      <c r="O973" s="16" t="str">
        <f aca="false">IF(J973&gt;=500,"High Value","Standard")</f>
        <v>Standard</v>
      </c>
      <c r="P973" s="16" t="str">
        <f aca="false">H973&amp;" &gt; "&amp;I973&amp;" ("&amp;K973&amp;" units)"</f>
        <v>Office Supplies &gt; Binders (2 units)</v>
      </c>
      <c r="Q973" s="16" t="str">
        <f aca="false">VLOOKUP(G973,Region_Manager_Table,2,FALSE())</f>
        <v>Priya Menon</v>
      </c>
      <c r="R973" s="16" t="n">
        <f aca="false">INDEX(SLA_Days_Col,MATCH(A973,ShipMode_Col,0))</f>
        <v>4</v>
      </c>
    </row>
    <row r="974" customFormat="false" ht="15" hidden="false" customHeight="false" outlineLevel="0" collapsed="false">
      <c r="A974" s="10" t="s">
        <v>49</v>
      </c>
      <c r="B974" s="10" t="s">
        <v>50</v>
      </c>
      <c r="C974" s="10" t="s">
        <v>51</v>
      </c>
      <c r="D974" s="10" t="s">
        <v>91</v>
      </c>
      <c r="E974" s="10" t="s">
        <v>92</v>
      </c>
      <c r="F974" s="10" t="n">
        <v>19134</v>
      </c>
      <c r="G974" s="10" t="s">
        <v>93</v>
      </c>
      <c r="H974" s="10" t="s">
        <v>62</v>
      </c>
      <c r="I974" s="10" t="s">
        <v>63</v>
      </c>
      <c r="J974" s="13" t="n">
        <v>30.072</v>
      </c>
      <c r="K974" s="10" t="n">
        <v>3</v>
      </c>
      <c r="L974" s="14" t="n">
        <v>0.2</v>
      </c>
      <c r="M974" s="15" t="n">
        <v>10.1493</v>
      </c>
      <c r="N974" s="10" t="str">
        <f aca="false">IF(M974&lt;0,"Loss",IF(M974&lt;50,"Low Profit",IF(M974&lt;200,"Medium Profit","High Profit")))</f>
        <v>Low Profit</v>
      </c>
      <c r="O974" s="10" t="str">
        <f aca="false">IF(J974&gt;=500,"High Value","Standard")</f>
        <v>Standard</v>
      </c>
      <c r="P974" s="10" t="str">
        <f aca="false">H974&amp;" &gt; "&amp;I974&amp;" ("&amp;K974&amp;" units)"</f>
        <v>Office Supplies &gt; Labels (3 units)</v>
      </c>
      <c r="Q974" s="10" t="str">
        <f aca="false">VLOOKUP(G974,Region_Manager_Table,2,FALSE())</f>
        <v>Priya Menon</v>
      </c>
      <c r="R974" s="10" t="n">
        <f aca="false">INDEX(SLA_Days_Col,MATCH(A974,ShipMode_Col,0))</f>
        <v>4</v>
      </c>
    </row>
    <row r="975" customFormat="false" ht="15" hidden="false" customHeight="false" outlineLevel="0" collapsed="false">
      <c r="A975" s="16" t="s">
        <v>49</v>
      </c>
      <c r="B975" s="16" t="s">
        <v>80</v>
      </c>
      <c r="C975" s="16" t="s">
        <v>51</v>
      </c>
      <c r="D975" s="16" t="s">
        <v>111</v>
      </c>
      <c r="E975" s="16" t="s">
        <v>112</v>
      </c>
      <c r="F975" s="16" t="n">
        <v>10011</v>
      </c>
      <c r="G975" s="16" t="s">
        <v>93</v>
      </c>
      <c r="H975" s="16" t="s">
        <v>71</v>
      </c>
      <c r="I975" s="16" t="s">
        <v>72</v>
      </c>
      <c r="J975" s="17" t="n">
        <v>160.93</v>
      </c>
      <c r="K975" s="16" t="n">
        <v>7</v>
      </c>
      <c r="L975" s="18" t="n">
        <v>0</v>
      </c>
      <c r="M975" s="19" t="n">
        <v>3.2186</v>
      </c>
      <c r="N975" s="16" t="str">
        <f aca="false">IF(M975&lt;0,"Loss",IF(M975&lt;50,"Low Profit",IF(M975&lt;200,"Medium Profit","High Profit")))</f>
        <v>Low Profit</v>
      </c>
      <c r="O975" s="16" t="str">
        <f aca="false">IF(J975&gt;=500,"High Value","Standard")</f>
        <v>Standard</v>
      </c>
      <c r="P975" s="16" t="str">
        <f aca="false">H975&amp;" &gt; "&amp;I975&amp;" ("&amp;K975&amp;" units)"</f>
        <v>Technology &gt; Phones (7 units)</v>
      </c>
      <c r="Q975" s="16" t="str">
        <f aca="false">VLOOKUP(G975,Region_Manager_Table,2,FALSE())</f>
        <v>Priya Menon</v>
      </c>
      <c r="R975" s="16" t="n">
        <f aca="false">INDEX(SLA_Days_Col,MATCH(A975,ShipMode_Col,0))</f>
        <v>4</v>
      </c>
    </row>
    <row r="976" customFormat="false" ht="15" hidden="false" customHeight="false" outlineLevel="0" collapsed="false">
      <c r="A976" s="10" t="s">
        <v>49</v>
      </c>
      <c r="B976" s="10" t="s">
        <v>80</v>
      </c>
      <c r="C976" s="10" t="s">
        <v>51</v>
      </c>
      <c r="D976" s="10" t="s">
        <v>111</v>
      </c>
      <c r="E976" s="10" t="s">
        <v>112</v>
      </c>
      <c r="F976" s="10" t="n">
        <v>10011</v>
      </c>
      <c r="G976" s="10" t="s">
        <v>93</v>
      </c>
      <c r="H976" s="10" t="s">
        <v>62</v>
      </c>
      <c r="I976" s="10" t="s">
        <v>73</v>
      </c>
      <c r="J976" s="13" t="n">
        <v>75.792</v>
      </c>
      <c r="K976" s="10" t="n">
        <v>3</v>
      </c>
      <c r="L976" s="14" t="n">
        <v>0.2</v>
      </c>
      <c r="M976" s="15" t="n">
        <v>25.5798</v>
      </c>
      <c r="N976" s="10" t="str">
        <f aca="false">IF(M976&lt;0,"Loss",IF(M976&lt;50,"Low Profit",IF(M976&lt;200,"Medium Profit","High Profit")))</f>
        <v>Low Profit</v>
      </c>
      <c r="O976" s="10" t="str">
        <f aca="false">IF(J976&gt;=500,"High Value","Standard")</f>
        <v>Standard</v>
      </c>
      <c r="P976" s="10" t="str">
        <f aca="false">H976&amp;" &gt; "&amp;I976&amp;" ("&amp;K976&amp;" units)"</f>
        <v>Office Supplies &gt; Binders (3 units)</v>
      </c>
      <c r="Q976" s="10" t="str">
        <f aca="false">VLOOKUP(G976,Region_Manager_Table,2,FALSE())</f>
        <v>Priya Menon</v>
      </c>
      <c r="R976" s="10" t="n">
        <f aca="false">INDEX(SLA_Days_Col,MATCH(A976,ShipMode_Col,0))</f>
        <v>4</v>
      </c>
    </row>
    <row r="977" customFormat="false" ht="15" hidden="false" customHeight="false" outlineLevel="0" collapsed="false">
      <c r="A977" s="16" t="s">
        <v>64</v>
      </c>
      <c r="B977" s="16" t="s">
        <v>50</v>
      </c>
      <c r="C977" s="16" t="s">
        <v>51</v>
      </c>
      <c r="D977" s="16" t="s">
        <v>130</v>
      </c>
      <c r="E977" s="16" t="s">
        <v>131</v>
      </c>
      <c r="F977" s="16" t="n">
        <v>97206</v>
      </c>
      <c r="G977" s="16" t="s">
        <v>61</v>
      </c>
      <c r="H977" s="16" t="s">
        <v>62</v>
      </c>
      <c r="I977" s="16" t="s">
        <v>73</v>
      </c>
      <c r="J977" s="17" t="n">
        <v>1.08</v>
      </c>
      <c r="K977" s="16" t="n">
        <v>2</v>
      </c>
      <c r="L977" s="18" t="n">
        <v>0.7</v>
      </c>
      <c r="M977" s="19" t="n">
        <v>-0.792</v>
      </c>
      <c r="N977" s="16" t="str">
        <f aca="false">IF(M977&lt;0,"Loss",IF(M977&lt;50,"Low Profit",IF(M977&lt;200,"Medium Profit","High Profit")))</f>
        <v>Loss</v>
      </c>
      <c r="O977" s="16" t="str">
        <f aca="false">IF(J977&gt;=500,"High Value","Standard")</f>
        <v>Standard</v>
      </c>
      <c r="P977" s="16" t="str">
        <f aca="false">H977&amp;" &gt; "&amp;I977&amp;" ("&amp;K977&amp;" units)"</f>
        <v>Office Supplies &gt; Binders (2 units)</v>
      </c>
      <c r="Q977" s="16" t="str">
        <f aca="false">VLOOKUP(G977,Region_Manager_Table,2,FALSE())</f>
        <v>Sana Sheikh</v>
      </c>
      <c r="R977" s="16" t="n">
        <f aca="false">INDEX(SLA_Days_Col,MATCH(A977,ShipMode_Col,0))</f>
        <v>6</v>
      </c>
    </row>
    <row r="978" customFormat="false" ht="15" hidden="false" customHeight="false" outlineLevel="0" collapsed="false">
      <c r="A978" s="10" t="s">
        <v>98</v>
      </c>
      <c r="B978" s="10" t="s">
        <v>58</v>
      </c>
      <c r="C978" s="10" t="s">
        <v>51</v>
      </c>
      <c r="D978" s="10" t="s">
        <v>176</v>
      </c>
      <c r="E978" s="10" t="s">
        <v>106</v>
      </c>
      <c r="F978" s="10" t="n">
        <v>48205</v>
      </c>
      <c r="G978" s="10" t="s">
        <v>83</v>
      </c>
      <c r="H978" s="10" t="s">
        <v>71</v>
      </c>
      <c r="I978" s="10" t="s">
        <v>159</v>
      </c>
      <c r="J978" s="13" t="n">
        <v>3059.982</v>
      </c>
      <c r="K978" s="10" t="n">
        <v>2</v>
      </c>
      <c r="L978" s="14" t="n">
        <v>0.1</v>
      </c>
      <c r="M978" s="15" t="n">
        <v>679.996</v>
      </c>
      <c r="N978" s="10" t="str">
        <f aca="false">IF(M978&lt;0,"Loss",IF(M978&lt;50,"Low Profit",IF(M978&lt;200,"Medium Profit","High Profit")))</f>
        <v>High Profit</v>
      </c>
      <c r="O978" s="10" t="str">
        <f aca="false">IF(J978&gt;=500,"High Value","Standard")</f>
        <v>High Value</v>
      </c>
      <c r="P978" s="10" t="str">
        <f aca="false">H978&amp;" &gt; "&amp;I978&amp;" ("&amp;K978&amp;" units)"</f>
        <v>Technology &gt; Machines (2 units)</v>
      </c>
      <c r="Q978" s="10" t="str">
        <f aca="false">VLOOKUP(G978,Region_Manager_Table,2,FALSE())</f>
        <v>Aditya Rao</v>
      </c>
      <c r="R978" s="10" t="n">
        <f aca="false">INDEX(SLA_Days_Col,MATCH(A978,ShipMode_Col,0))</f>
        <v>2</v>
      </c>
    </row>
    <row r="979" customFormat="false" ht="15" hidden="false" customHeight="false" outlineLevel="0" collapsed="false">
      <c r="A979" s="16" t="s">
        <v>98</v>
      </c>
      <c r="B979" s="16" t="s">
        <v>50</v>
      </c>
      <c r="C979" s="16" t="s">
        <v>51</v>
      </c>
      <c r="D979" s="16" t="s">
        <v>142</v>
      </c>
      <c r="E979" s="16" t="s">
        <v>76</v>
      </c>
      <c r="F979" s="16" t="n">
        <v>28403</v>
      </c>
      <c r="G979" s="16" t="s">
        <v>54</v>
      </c>
      <c r="H979" s="16" t="s">
        <v>62</v>
      </c>
      <c r="I979" s="16" t="s">
        <v>73</v>
      </c>
      <c r="J979" s="17" t="n">
        <v>3.282</v>
      </c>
      <c r="K979" s="16" t="n">
        <v>2</v>
      </c>
      <c r="L979" s="18" t="n">
        <v>0.7</v>
      </c>
      <c r="M979" s="19" t="n">
        <v>-2.6256</v>
      </c>
      <c r="N979" s="16" t="str">
        <f aca="false">IF(M979&lt;0,"Loss",IF(M979&lt;50,"Low Profit",IF(M979&lt;200,"Medium Profit","High Profit")))</f>
        <v>Loss</v>
      </c>
      <c r="O979" s="16" t="str">
        <f aca="false">IF(J979&gt;=500,"High Value","Standard")</f>
        <v>Standard</v>
      </c>
      <c r="P979" s="16" t="str">
        <f aca="false">H979&amp;" &gt; "&amp;I979&amp;" ("&amp;K979&amp;" units)"</f>
        <v>Office Supplies &gt; Binders (2 units)</v>
      </c>
      <c r="Q979" s="16" t="str">
        <f aca="false">VLOOKUP(G979,Region_Manager_Table,2,FALSE())</f>
        <v>Karthik Iyer</v>
      </c>
      <c r="R979" s="16" t="n">
        <f aca="false">INDEX(SLA_Days_Col,MATCH(A979,ShipMode_Col,0))</f>
        <v>2</v>
      </c>
    </row>
    <row r="980" customFormat="false" ht="15" hidden="false" customHeight="false" outlineLevel="0" collapsed="false">
      <c r="A980" s="10" t="s">
        <v>98</v>
      </c>
      <c r="B980" s="10" t="s">
        <v>58</v>
      </c>
      <c r="C980" s="10" t="s">
        <v>51</v>
      </c>
      <c r="D980" s="10" t="s">
        <v>139</v>
      </c>
      <c r="E980" s="10" t="s">
        <v>110</v>
      </c>
      <c r="F980" s="10" t="n">
        <v>47201</v>
      </c>
      <c r="G980" s="10" t="s">
        <v>83</v>
      </c>
      <c r="H980" s="10" t="s">
        <v>62</v>
      </c>
      <c r="I980" s="10" t="s">
        <v>77</v>
      </c>
      <c r="J980" s="13" t="n">
        <v>34.02</v>
      </c>
      <c r="K980" s="10" t="n">
        <v>3</v>
      </c>
      <c r="L980" s="14" t="n">
        <v>0</v>
      </c>
      <c r="M980" s="15" t="n">
        <v>16.6698</v>
      </c>
      <c r="N980" s="10" t="str">
        <f aca="false">IF(M980&lt;0,"Loss",IF(M980&lt;50,"Low Profit",IF(M980&lt;200,"Medium Profit","High Profit")))</f>
        <v>Low Profit</v>
      </c>
      <c r="O980" s="10" t="str">
        <f aca="false">IF(J980&gt;=500,"High Value","Standard")</f>
        <v>Standard</v>
      </c>
      <c r="P980" s="10" t="str">
        <f aca="false">H980&amp;" &gt; "&amp;I980&amp;" ("&amp;K980&amp;" units)"</f>
        <v>Office Supplies &gt; Paper (3 units)</v>
      </c>
      <c r="Q980" s="10" t="str">
        <f aca="false">VLOOKUP(G980,Region_Manager_Table,2,FALSE())</f>
        <v>Aditya Rao</v>
      </c>
      <c r="R980" s="10" t="n">
        <f aca="false">INDEX(SLA_Days_Col,MATCH(A980,ShipMode_Col,0))</f>
        <v>2</v>
      </c>
    </row>
    <row r="981" customFormat="false" ht="15" hidden="false" customHeight="false" outlineLevel="0" collapsed="false">
      <c r="A981" s="16" t="s">
        <v>64</v>
      </c>
      <c r="B981" s="16" t="s">
        <v>50</v>
      </c>
      <c r="C981" s="16" t="s">
        <v>51</v>
      </c>
      <c r="D981" s="16" t="s">
        <v>111</v>
      </c>
      <c r="E981" s="16" t="s">
        <v>112</v>
      </c>
      <c r="F981" s="16" t="n">
        <v>10035</v>
      </c>
      <c r="G981" s="16" t="s">
        <v>93</v>
      </c>
      <c r="H981" s="16" t="s">
        <v>55</v>
      </c>
      <c r="I981" s="16" t="s">
        <v>57</v>
      </c>
      <c r="J981" s="17" t="n">
        <v>599.292</v>
      </c>
      <c r="K981" s="16" t="n">
        <v>6</v>
      </c>
      <c r="L981" s="18" t="n">
        <v>0.1</v>
      </c>
      <c r="M981" s="19" t="n">
        <v>93.2232</v>
      </c>
      <c r="N981" s="16" t="str">
        <f aca="false">IF(M981&lt;0,"Loss",IF(M981&lt;50,"Low Profit",IF(M981&lt;200,"Medium Profit","High Profit")))</f>
        <v>Medium Profit</v>
      </c>
      <c r="O981" s="16" t="str">
        <f aca="false">IF(J981&gt;=500,"High Value","Standard")</f>
        <v>High Value</v>
      </c>
      <c r="P981" s="16" t="str">
        <f aca="false">H981&amp;" &gt; "&amp;I981&amp;" ("&amp;K981&amp;" units)"</f>
        <v>Furniture &gt; Chairs (6 units)</v>
      </c>
      <c r="Q981" s="16" t="str">
        <f aca="false">VLOOKUP(G981,Region_Manager_Table,2,FALSE())</f>
        <v>Priya Menon</v>
      </c>
      <c r="R981" s="16" t="n">
        <f aca="false">INDEX(SLA_Days_Col,MATCH(A981,ShipMode_Col,0))</f>
        <v>6</v>
      </c>
    </row>
    <row r="982" customFormat="false" ht="15" hidden="false" customHeight="false" outlineLevel="0" collapsed="false">
      <c r="A982" s="10" t="s">
        <v>49</v>
      </c>
      <c r="B982" s="10" t="s">
        <v>50</v>
      </c>
      <c r="C982" s="10" t="s">
        <v>51</v>
      </c>
      <c r="D982" s="10" t="s">
        <v>219</v>
      </c>
      <c r="E982" s="10" t="s">
        <v>134</v>
      </c>
      <c r="F982" s="10" t="n">
        <v>80027</v>
      </c>
      <c r="G982" s="10" t="s">
        <v>61</v>
      </c>
      <c r="H982" s="10" t="s">
        <v>62</v>
      </c>
      <c r="I982" s="10" t="s">
        <v>70</v>
      </c>
      <c r="J982" s="13" t="n">
        <v>3.392</v>
      </c>
      <c r="K982" s="10" t="n">
        <v>1</v>
      </c>
      <c r="L982" s="14" t="n">
        <v>0.2</v>
      </c>
      <c r="M982" s="15" t="n">
        <v>0.8056</v>
      </c>
      <c r="N982" s="10" t="str">
        <f aca="false">IF(M982&lt;0,"Loss",IF(M982&lt;50,"Low Profit",IF(M982&lt;200,"Medium Profit","High Profit")))</f>
        <v>Low Profit</v>
      </c>
      <c r="O982" s="10" t="str">
        <f aca="false">IF(J982&gt;=500,"High Value","Standard")</f>
        <v>Standard</v>
      </c>
      <c r="P982" s="10" t="str">
        <f aca="false">H982&amp;" &gt; "&amp;I982&amp;" ("&amp;K982&amp;" units)"</f>
        <v>Office Supplies &gt; Art (1 units)</v>
      </c>
      <c r="Q982" s="10" t="str">
        <f aca="false">VLOOKUP(G982,Region_Manager_Table,2,FALSE())</f>
        <v>Sana Sheikh</v>
      </c>
      <c r="R982" s="10" t="n">
        <f aca="false">INDEX(SLA_Days_Col,MATCH(A982,ShipMode_Col,0))</f>
        <v>4</v>
      </c>
    </row>
    <row r="983" customFormat="false" ht="15" hidden="false" customHeight="false" outlineLevel="0" collapsed="false">
      <c r="A983" s="16" t="s">
        <v>49</v>
      </c>
      <c r="B983" s="16" t="s">
        <v>50</v>
      </c>
      <c r="C983" s="16" t="s">
        <v>51</v>
      </c>
      <c r="D983" s="16" t="s">
        <v>219</v>
      </c>
      <c r="E983" s="16" t="s">
        <v>134</v>
      </c>
      <c r="F983" s="16" t="n">
        <v>80027</v>
      </c>
      <c r="G983" s="16" t="s">
        <v>61</v>
      </c>
      <c r="H983" s="16" t="s">
        <v>71</v>
      </c>
      <c r="I983" s="16" t="s">
        <v>72</v>
      </c>
      <c r="J983" s="17" t="n">
        <v>559.984</v>
      </c>
      <c r="K983" s="16" t="n">
        <v>2</v>
      </c>
      <c r="L983" s="18" t="n">
        <v>0.2</v>
      </c>
      <c r="M983" s="19" t="n">
        <v>55.9984</v>
      </c>
      <c r="N983" s="16" t="str">
        <f aca="false">IF(M983&lt;0,"Loss",IF(M983&lt;50,"Low Profit",IF(M983&lt;200,"Medium Profit","High Profit")))</f>
        <v>Medium Profit</v>
      </c>
      <c r="O983" s="16" t="str">
        <f aca="false">IF(J983&gt;=500,"High Value","Standard")</f>
        <v>High Value</v>
      </c>
      <c r="P983" s="16" t="str">
        <f aca="false">H983&amp;" &gt; "&amp;I983&amp;" ("&amp;K983&amp;" units)"</f>
        <v>Technology &gt; Phones (2 units)</v>
      </c>
      <c r="Q983" s="16" t="str">
        <f aca="false">VLOOKUP(G983,Region_Manager_Table,2,FALSE())</f>
        <v>Sana Sheikh</v>
      </c>
      <c r="R983" s="16" t="n">
        <f aca="false">INDEX(SLA_Days_Col,MATCH(A983,ShipMode_Col,0))</f>
        <v>4</v>
      </c>
    </row>
    <row r="984" customFormat="false" ht="15" hidden="false" customHeight="false" outlineLevel="0" collapsed="false">
      <c r="A984" s="10" t="s">
        <v>49</v>
      </c>
      <c r="B984" s="10" t="s">
        <v>50</v>
      </c>
      <c r="C984" s="10" t="s">
        <v>51</v>
      </c>
      <c r="D984" s="10" t="s">
        <v>219</v>
      </c>
      <c r="E984" s="10" t="s">
        <v>134</v>
      </c>
      <c r="F984" s="10" t="n">
        <v>80027</v>
      </c>
      <c r="G984" s="10" t="s">
        <v>61</v>
      </c>
      <c r="H984" s="10" t="s">
        <v>55</v>
      </c>
      <c r="I984" s="10" t="s">
        <v>57</v>
      </c>
      <c r="J984" s="13" t="n">
        <v>603.92</v>
      </c>
      <c r="K984" s="10" t="n">
        <v>5</v>
      </c>
      <c r="L984" s="14" t="n">
        <v>0.2</v>
      </c>
      <c r="M984" s="15" t="n">
        <v>75.49</v>
      </c>
      <c r="N984" s="10" t="str">
        <f aca="false">IF(M984&lt;0,"Loss",IF(M984&lt;50,"Low Profit",IF(M984&lt;200,"Medium Profit","High Profit")))</f>
        <v>Medium Profit</v>
      </c>
      <c r="O984" s="10" t="str">
        <f aca="false">IF(J984&gt;=500,"High Value","Standard")</f>
        <v>High Value</v>
      </c>
      <c r="P984" s="10" t="str">
        <f aca="false">H984&amp;" &gt; "&amp;I984&amp;" ("&amp;K984&amp;" units)"</f>
        <v>Furniture &gt; Chairs (5 units)</v>
      </c>
      <c r="Q984" s="10" t="str">
        <f aca="false">VLOOKUP(G984,Region_Manager_Table,2,FALSE())</f>
        <v>Sana Sheikh</v>
      </c>
      <c r="R984" s="10" t="n">
        <f aca="false">INDEX(SLA_Days_Col,MATCH(A984,ShipMode_Col,0))</f>
        <v>4</v>
      </c>
    </row>
    <row r="985" customFormat="false" ht="15" hidden="false" customHeight="false" outlineLevel="0" collapsed="false">
      <c r="A985" s="16" t="s">
        <v>64</v>
      </c>
      <c r="B985" s="16" t="s">
        <v>80</v>
      </c>
      <c r="C985" s="16" t="s">
        <v>51</v>
      </c>
      <c r="D985" s="16" t="s">
        <v>149</v>
      </c>
      <c r="E985" s="16" t="s">
        <v>82</v>
      </c>
      <c r="F985" s="16" t="n">
        <v>77506</v>
      </c>
      <c r="G985" s="16" t="s">
        <v>83</v>
      </c>
      <c r="H985" s="16" t="s">
        <v>62</v>
      </c>
      <c r="I985" s="16" t="s">
        <v>63</v>
      </c>
      <c r="J985" s="17" t="n">
        <v>7.968</v>
      </c>
      <c r="K985" s="16" t="n">
        <v>2</v>
      </c>
      <c r="L985" s="18" t="n">
        <v>0.2</v>
      </c>
      <c r="M985" s="19" t="n">
        <v>2.5896</v>
      </c>
      <c r="N985" s="16" t="str">
        <f aca="false">IF(M985&lt;0,"Loss",IF(M985&lt;50,"Low Profit",IF(M985&lt;200,"Medium Profit","High Profit")))</f>
        <v>Low Profit</v>
      </c>
      <c r="O985" s="16" t="str">
        <f aca="false">IF(J985&gt;=500,"High Value","Standard")</f>
        <v>Standard</v>
      </c>
      <c r="P985" s="16" t="str">
        <f aca="false">H985&amp;" &gt; "&amp;I985&amp;" ("&amp;K985&amp;" units)"</f>
        <v>Office Supplies &gt; Labels (2 units)</v>
      </c>
      <c r="Q985" s="16" t="str">
        <f aca="false">VLOOKUP(G985,Region_Manager_Table,2,FALSE())</f>
        <v>Aditya Rao</v>
      </c>
      <c r="R985" s="16" t="n">
        <f aca="false">INDEX(SLA_Days_Col,MATCH(A985,ShipMode_Col,0))</f>
        <v>6</v>
      </c>
    </row>
    <row r="986" customFormat="false" ht="15" hidden="false" customHeight="false" outlineLevel="0" collapsed="false">
      <c r="A986" s="10" t="s">
        <v>64</v>
      </c>
      <c r="B986" s="10" t="s">
        <v>80</v>
      </c>
      <c r="C986" s="10" t="s">
        <v>51</v>
      </c>
      <c r="D986" s="10" t="s">
        <v>149</v>
      </c>
      <c r="E986" s="10" t="s">
        <v>82</v>
      </c>
      <c r="F986" s="10" t="n">
        <v>77506</v>
      </c>
      <c r="G986" s="10" t="s">
        <v>83</v>
      </c>
      <c r="H986" s="10" t="s">
        <v>62</v>
      </c>
      <c r="I986" s="10" t="s">
        <v>96</v>
      </c>
      <c r="J986" s="13" t="n">
        <v>27.968</v>
      </c>
      <c r="K986" s="10" t="n">
        <v>4</v>
      </c>
      <c r="L986" s="14" t="n">
        <v>0.2</v>
      </c>
      <c r="M986" s="15" t="n">
        <v>9.4392</v>
      </c>
      <c r="N986" s="10" t="str">
        <f aca="false">IF(M986&lt;0,"Loss",IF(M986&lt;50,"Low Profit",IF(M986&lt;200,"Medium Profit","High Profit")))</f>
        <v>Low Profit</v>
      </c>
      <c r="O986" s="10" t="str">
        <f aca="false">IF(J986&gt;=500,"High Value","Standard")</f>
        <v>Standard</v>
      </c>
      <c r="P986" s="10" t="str">
        <f aca="false">H986&amp;" &gt; "&amp;I986&amp;" ("&amp;K986&amp;" units)"</f>
        <v>Office Supplies &gt; Envelopes (4 units)</v>
      </c>
      <c r="Q986" s="10" t="str">
        <f aca="false">VLOOKUP(G986,Region_Manager_Table,2,FALSE())</f>
        <v>Aditya Rao</v>
      </c>
      <c r="R986" s="10" t="n">
        <f aca="false">INDEX(SLA_Days_Col,MATCH(A986,ShipMode_Col,0))</f>
        <v>6</v>
      </c>
    </row>
    <row r="987" customFormat="false" ht="15" hidden="false" customHeight="false" outlineLevel="0" collapsed="false">
      <c r="A987" s="16" t="s">
        <v>64</v>
      </c>
      <c r="B987" s="16" t="s">
        <v>80</v>
      </c>
      <c r="C987" s="16" t="s">
        <v>51</v>
      </c>
      <c r="D987" s="16" t="s">
        <v>149</v>
      </c>
      <c r="E987" s="16" t="s">
        <v>82</v>
      </c>
      <c r="F987" s="16" t="n">
        <v>77506</v>
      </c>
      <c r="G987" s="16" t="s">
        <v>83</v>
      </c>
      <c r="H987" s="16" t="s">
        <v>71</v>
      </c>
      <c r="I987" s="16" t="s">
        <v>159</v>
      </c>
      <c r="J987" s="17" t="n">
        <v>336.51</v>
      </c>
      <c r="K987" s="16" t="n">
        <v>3</v>
      </c>
      <c r="L987" s="18" t="n">
        <v>0.4</v>
      </c>
      <c r="M987" s="19" t="n">
        <v>44.868</v>
      </c>
      <c r="N987" s="16" t="str">
        <f aca="false">IF(M987&lt;0,"Loss",IF(M987&lt;50,"Low Profit",IF(M987&lt;200,"Medium Profit","High Profit")))</f>
        <v>Low Profit</v>
      </c>
      <c r="O987" s="16" t="str">
        <f aca="false">IF(J987&gt;=500,"High Value","Standard")</f>
        <v>Standard</v>
      </c>
      <c r="P987" s="16" t="str">
        <f aca="false">H987&amp;" &gt; "&amp;I987&amp;" ("&amp;K987&amp;" units)"</f>
        <v>Technology &gt; Machines (3 units)</v>
      </c>
      <c r="Q987" s="16" t="str">
        <f aca="false">VLOOKUP(G987,Region_Manager_Table,2,FALSE())</f>
        <v>Aditya Rao</v>
      </c>
      <c r="R987" s="16" t="n">
        <f aca="false">INDEX(SLA_Days_Col,MATCH(A987,ShipMode_Col,0))</f>
        <v>6</v>
      </c>
    </row>
    <row r="988" customFormat="false" ht="15" hidden="false" customHeight="false" outlineLevel="0" collapsed="false">
      <c r="A988" s="10" t="s">
        <v>204</v>
      </c>
      <c r="B988" s="10" t="s">
        <v>50</v>
      </c>
      <c r="C988" s="10" t="s">
        <v>51</v>
      </c>
      <c r="D988" s="10" t="s">
        <v>97</v>
      </c>
      <c r="E988" s="10" t="s">
        <v>82</v>
      </c>
      <c r="F988" s="10" t="n">
        <v>77041</v>
      </c>
      <c r="G988" s="10" t="s">
        <v>83</v>
      </c>
      <c r="H988" s="10" t="s">
        <v>62</v>
      </c>
      <c r="I988" s="10" t="s">
        <v>73</v>
      </c>
      <c r="J988" s="13" t="n">
        <v>1.112</v>
      </c>
      <c r="K988" s="10" t="n">
        <v>2</v>
      </c>
      <c r="L988" s="14" t="n">
        <v>0.8</v>
      </c>
      <c r="M988" s="15" t="n">
        <v>-1.8904</v>
      </c>
      <c r="N988" s="10" t="str">
        <f aca="false">IF(M988&lt;0,"Loss",IF(M988&lt;50,"Low Profit",IF(M988&lt;200,"Medium Profit","High Profit")))</f>
        <v>Loss</v>
      </c>
      <c r="O988" s="10" t="str">
        <f aca="false">IF(J988&gt;=500,"High Value","Standard")</f>
        <v>Standard</v>
      </c>
      <c r="P988" s="10" t="str">
        <f aca="false">H988&amp;" &gt; "&amp;I988&amp;" ("&amp;K988&amp;" units)"</f>
        <v>Office Supplies &gt; Binders (2 units)</v>
      </c>
      <c r="Q988" s="10" t="str">
        <f aca="false">VLOOKUP(G988,Region_Manager_Table,2,FALSE())</f>
        <v>Aditya Rao</v>
      </c>
      <c r="R988" s="10" t="n">
        <f aca="false">INDEX(SLA_Days_Col,MATCH(A988,ShipMode_Col,0))</f>
        <v>1</v>
      </c>
    </row>
    <row r="989" customFormat="false" ht="15" hidden="false" customHeight="false" outlineLevel="0" collapsed="false">
      <c r="A989" s="16" t="s">
        <v>64</v>
      </c>
      <c r="B989" s="16" t="s">
        <v>58</v>
      </c>
      <c r="C989" s="16" t="s">
        <v>51</v>
      </c>
      <c r="D989" s="16" t="s">
        <v>226</v>
      </c>
      <c r="E989" s="16" t="s">
        <v>112</v>
      </c>
      <c r="F989" s="16" t="n">
        <v>13021</v>
      </c>
      <c r="G989" s="16" t="s">
        <v>93</v>
      </c>
      <c r="H989" s="16" t="s">
        <v>55</v>
      </c>
      <c r="I989" s="16" t="s">
        <v>69</v>
      </c>
      <c r="J989" s="17" t="n">
        <v>520.05</v>
      </c>
      <c r="K989" s="16" t="n">
        <v>5</v>
      </c>
      <c r="L989" s="18" t="n">
        <v>0</v>
      </c>
      <c r="M989" s="19" t="n">
        <v>72.807</v>
      </c>
      <c r="N989" s="16" t="str">
        <f aca="false">IF(M989&lt;0,"Loss",IF(M989&lt;50,"Low Profit",IF(M989&lt;200,"Medium Profit","High Profit")))</f>
        <v>Medium Profit</v>
      </c>
      <c r="O989" s="16" t="str">
        <f aca="false">IF(J989&gt;=500,"High Value","Standard")</f>
        <v>High Value</v>
      </c>
      <c r="P989" s="16" t="str">
        <f aca="false">H989&amp;" &gt; "&amp;I989&amp;" ("&amp;K989&amp;" units)"</f>
        <v>Furniture &gt; Furnishings (5 units)</v>
      </c>
      <c r="Q989" s="16" t="str">
        <f aca="false">VLOOKUP(G989,Region_Manager_Table,2,FALSE())</f>
        <v>Priya Menon</v>
      </c>
      <c r="R989" s="16" t="n">
        <f aca="false">INDEX(SLA_Days_Col,MATCH(A989,ShipMode_Col,0))</f>
        <v>6</v>
      </c>
    </row>
    <row r="990" customFormat="false" ht="15" hidden="false" customHeight="false" outlineLevel="0" collapsed="false">
      <c r="A990" s="10" t="s">
        <v>64</v>
      </c>
      <c r="B990" s="10" t="s">
        <v>58</v>
      </c>
      <c r="C990" s="10" t="s">
        <v>51</v>
      </c>
      <c r="D990" s="10" t="s">
        <v>226</v>
      </c>
      <c r="E990" s="10" t="s">
        <v>112</v>
      </c>
      <c r="F990" s="10" t="n">
        <v>13021</v>
      </c>
      <c r="G990" s="10" t="s">
        <v>93</v>
      </c>
      <c r="H990" s="10" t="s">
        <v>62</v>
      </c>
      <c r="I990" s="10" t="s">
        <v>70</v>
      </c>
      <c r="J990" s="13" t="n">
        <v>17.97</v>
      </c>
      <c r="K990" s="10" t="n">
        <v>3</v>
      </c>
      <c r="L990" s="14" t="n">
        <v>0</v>
      </c>
      <c r="M990" s="15" t="n">
        <v>5.2113</v>
      </c>
      <c r="N990" s="10" t="str">
        <f aca="false">IF(M990&lt;0,"Loss",IF(M990&lt;50,"Low Profit",IF(M990&lt;200,"Medium Profit","High Profit")))</f>
        <v>Low Profit</v>
      </c>
      <c r="O990" s="10" t="str">
        <f aca="false">IF(J990&gt;=500,"High Value","Standard")</f>
        <v>Standard</v>
      </c>
      <c r="P990" s="10" t="str">
        <f aca="false">H990&amp;" &gt; "&amp;I990&amp;" ("&amp;K990&amp;" units)"</f>
        <v>Office Supplies &gt; Art (3 units)</v>
      </c>
      <c r="Q990" s="10" t="str">
        <f aca="false">VLOOKUP(G990,Region_Manager_Table,2,FALSE())</f>
        <v>Priya Menon</v>
      </c>
      <c r="R990" s="10" t="n">
        <f aca="false">INDEX(SLA_Days_Col,MATCH(A990,ShipMode_Col,0))</f>
        <v>6</v>
      </c>
    </row>
    <row r="991" customFormat="false" ht="15" hidden="false" customHeight="false" outlineLevel="0" collapsed="false">
      <c r="A991" s="16" t="s">
        <v>49</v>
      </c>
      <c r="B991" s="16" t="s">
        <v>80</v>
      </c>
      <c r="C991" s="16" t="s">
        <v>51</v>
      </c>
      <c r="D991" s="16" t="s">
        <v>225</v>
      </c>
      <c r="E991" s="16" t="s">
        <v>66</v>
      </c>
      <c r="F991" s="16" t="n">
        <v>32216</v>
      </c>
      <c r="G991" s="16" t="s">
        <v>54</v>
      </c>
      <c r="H991" s="16" t="s">
        <v>55</v>
      </c>
      <c r="I991" s="16" t="s">
        <v>57</v>
      </c>
      <c r="J991" s="17" t="n">
        <v>1166.92</v>
      </c>
      <c r="K991" s="16" t="n">
        <v>5</v>
      </c>
      <c r="L991" s="18" t="n">
        <v>0.2</v>
      </c>
      <c r="M991" s="19" t="n">
        <v>131.2785</v>
      </c>
      <c r="N991" s="16" t="str">
        <f aca="false">IF(M991&lt;0,"Loss",IF(M991&lt;50,"Low Profit",IF(M991&lt;200,"Medium Profit","High Profit")))</f>
        <v>Medium Profit</v>
      </c>
      <c r="O991" s="16" t="str">
        <f aca="false">IF(J991&gt;=500,"High Value","Standard")</f>
        <v>High Value</v>
      </c>
      <c r="P991" s="16" t="str">
        <f aca="false">H991&amp;" &gt; "&amp;I991&amp;" ("&amp;K991&amp;" units)"</f>
        <v>Furniture &gt; Chairs (5 units)</v>
      </c>
      <c r="Q991" s="16" t="str">
        <f aca="false">VLOOKUP(G991,Region_Manager_Table,2,FALSE())</f>
        <v>Karthik Iyer</v>
      </c>
      <c r="R991" s="16" t="n">
        <f aca="false">INDEX(SLA_Days_Col,MATCH(A991,ShipMode_Col,0))</f>
        <v>4</v>
      </c>
    </row>
    <row r="992" customFormat="false" ht="15" hidden="false" customHeight="false" outlineLevel="0" collapsed="false">
      <c r="A992" s="10" t="s">
        <v>98</v>
      </c>
      <c r="B992" s="10" t="s">
        <v>50</v>
      </c>
      <c r="C992" s="10" t="s">
        <v>51</v>
      </c>
      <c r="D992" s="10" t="s">
        <v>111</v>
      </c>
      <c r="E992" s="10" t="s">
        <v>112</v>
      </c>
      <c r="F992" s="10" t="n">
        <v>10024</v>
      </c>
      <c r="G992" s="10" t="s">
        <v>93</v>
      </c>
      <c r="H992" s="10" t="s">
        <v>62</v>
      </c>
      <c r="I992" s="10" t="s">
        <v>73</v>
      </c>
      <c r="J992" s="13" t="n">
        <v>14.624</v>
      </c>
      <c r="K992" s="10" t="n">
        <v>2</v>
      </c>
      <c r="L992" s="14" t="n">
        <v>0.2</v>
      </c>
      <c r="M992" s="15" t="n">
        <v>5.484</v>
      </c>
      <c r="N992" s="10" t="str">
        <f aca="false">IF(M992&lt;0,"Loss",IF(M992&lt;50,"Low Profit",IF(M992&lt;200,"Medium Profit","High Profit")))</f>
        <v>Low Profit</v>
      </c>
      <c r="O992" s="10" t="str">
        <f aca="false">IF(J992&gt;=500,"High Value","Standard")</f>
        <v>Standard</v>
      </c>
      <c r="P992" s="10" t="str">
        <f aca="false">H992&amp;" &gt; "&amp;I992&amp;" ("&amp;K992&amp;" units)"</f>
        <v>Office Supplies &gt; Binders (2 units)</v>
      </c>
      <c r="Q992" s="10" t="str">
        <f aca="false">VLOOKUP(G992,Region_Manager_Table,2,FALSE())</f>
        <v>Priya Menon</v>
      </c>
      <c r="R992" s="10" t="n">
        <f aca="false">INDEX(SLA_Days_Col,MATCH(A992,ShipMode_Col,0))</f>
        <v>2</v>
      </c>
    </row>
    <row r="993" customFormat="false" ht="15" hidden="false" customHeight="false" outlineLevel="0" collapsed="false">
      <c r="A993" s="16" t="s">
        <v>98</v>
      </c>
      <c r="B993" s="16" t="s">
        <v>50</v>
      </c>
      <c r="C993" s="16" t="s">
        <v>51</v>
      </c>
      <c r="D993" s="16" t="s">
        <v>153</v>
      </c>
      <c r="E993" s="16" t="s">
        <v>60</v>
      </c>
      <c r="F993" s="16" t="n">
        <v>95123</v>
      </c>
      <c r="G993" s="16" t="s">
        <v>61</v>
      </c>
      <c r="H993" s="16" t="s">
        <v>62</v>
      </c>
      <c r="I993" s="16" t="s">
        <v>113</v>
      </c>
      <c r="J993" s="17" t="n">
        <v>10.23</v>
      </c>
      <c r="K993" s="16" t="n">
        <v>3</v>
      </c>
      <c r="L993" s="18" t="n">
        <v>0</v>
      </c>
      <c r="M993" s="19" t="n">
        <v>4.9104</v>
      </c>
      <c r="N993" s="16" t="str">
        <f aca="false">IF(M993&lt;0,"Loss",IF(M993&lt;50,"Low Profit",IF(M993&lt;200,"Medium Profit","High Profit")))</f>
        <v>Low Profit</v>
      </c>
      <c r="O993" s="16" t="str">
        <f aca="false">IF(J993&gt;=500,"High Value","Standard")</f>
        <v>Standard</v>
      </c>
      <c r="P993" s="16" t="str">
        <f aca="false">H993&amp;" &gt; "&amp;I993&amp;" ("&amp;K993&amp;" units)"</f>
        <v>Office Supplies &gt; Fasteners (3 units)</v>
      </c>
      <c r="Q993" s="16" t="str">
        <f aca="false">VLOOKUP(G993,Region_Manager_Table,2,FALSE())</f>
        <v>Sana Sheikh</v>
      </c>
      <c r="R993" s="16" t="n">
        <f aca="false">INDEX(SLA_Days_Col,MATCH(A993,ShipMode_Col,0))</f>
        <v>2</v>
      </c>
    </row>
    <row r="994" customFormat="false" ht="15" hidden="false" customHeight="false" outlineLevel="0" collapsed="false">
      <c r="A994" s="10" t="s">
        <v>98</v>
      </c>
      <c r="B994" s="10" t="s">
        <v>50</v>
      </c>
      <c r="C994" s="10" t="s">
        <v>51</v>
      </c>
      <c r="D994" s="10" t="s">
        <v>153</v>
      </c>
      <c r="E994" s="10" t="s">
        <v>60</v>
      </c>
      <c r="F994" s="10" t="n">
        <v>95123</v>
      </c>
      <c r="G994" s="10" t="s">
        <v>61</v>
      </c>
      <c r="H994" s="10" t="s">
        <v>62</v>
      </c>
      <c r="I994" s="10" t="s">
        <v>77</v>
      </c>
      <c r="J994" s="13" t="n">
        <v>154.9</v>
      </c>
      <c r="K994" s="10" t="n">
        <v>5</v>
      </c>
      <c r="L994" s="14" t="n">
        <v>0</v>
      </c>
      <c r="M994" s="15" t="n">
        <v>69.705</v>
      </c>
      <c r="N994" s="10" t="str">
        <f aca="false">IF(M994&lt;0,"Loss",IF(M994&lt;50,"Low Profit",IF(M994&lt;200,"Medium Profit","High Profit")))</f>
        <v>Medium Profit</v>
      </c>
      <c r="O994" s="10" t="str">
        <f aca="false">IF(J994&gt;=500,"High Value","Standard")</f>
        <v>Standard</v>
      </c>
      <c r="P994" s="10" t="str">
        <f aca="false">H994&amp;" &gt; "&amp;I994&amp;" ("&amp;K994&amp;" units)"</f>
        <v>Office Supplies &gt; Paper (5 units)</v>
      </c>
      <c r="Q994" s="10" t="str">
        <f aca="false">VLOOKUP(G994,Region_Manager_Table,2,FALSE())</f>
        <v>Sana Sheikh</v>
      </c>
      <c r="R994" s="10" t="n">
        <f aca="false">INDEX(SLA_Days_Col,MATCH(A994,ShipMode_Col,0))</f>
        <v>2</v>
      </c>
    </row>
    <row r="995" customFormat="false" ht="15" hidden="false" customHeight="false" outlineLevel="0" collapsed="false">
      <c r="A995" s="16" t="s">
        <v>64</v>
      </c>
      <c r="B995" s="16" t="s">
        <v>58</v>
      </c>
      <c r="C995" s="16" t="s">
        <v>51</v>
      </c>
      <c r="D995" s="16" t="s">
        <v>294</v>
      </c>
      <c r="E995" s="16" t="s">
        <v>119</v>
      </c>
      <c r="F995" s="16" t="n">
        <v>23464</v>
      </c>
      <c r="G995" s="16" t="s">
        <v>54</v>
      </c>
      <c r="H995" s="16" t="s">
        <v>62</v>
      </c>
      <c r="I995" s="16" t="s">
        <v>73</v>
      </c>
      <c r="J995" s="17" t="n">
        <v>2715.93</v>
      </c>
      <c r="K995" s="16" t="n">
        <v>7</v>
      </c>
      <c r="L995" s="18" t="n">
        <v>0</v>
      </c>
      <c r="M995" s="19" t="n">
        <v>1276.4871</v>
      </c>
      <c r="N995" s="16" t="str">
        <f aca="false">IF(M995&lt;0,"Loss",IF(M995&lt;50,"Low Profit",IF(M995&lt;200,"Medium Profit","High Profit")))</f>
        <v>High Profit</v>
      </c>
      <c r="O995" s="16" t="str">
        <f aca="false">IF(J995&gt;=500,"High Value","Standard")</f>
        <v>High Value</v>
      </c>
      <c r="P995" s="16" t="str">
        <f aca="false">H995&amp;" &gt; "&amp;I995&amp;" ("&amp;K995&amp;" units)"</f>
        <v>Office Supplies &gt; Binders (7 units)</v>
      </c>
      <c r="Q995" s="16" t="str">
        <f aca="false">VLOOKUP(G995,Region_Manager_Table,2,FALSE())</f>
        <v>Karthik Iyer</v>
      </c>
      <c r="R995" s="16" t="n">
        <f aca="false">INDEX(SLA_Days_Col,MATCH(A995,ShipMode_Col,0))</f>
        <v>6</v>
      </c>
    </row>
    <row r="996" customFormat="false" ht="15" hidden="false" customHeight="false" outlineLevel="0" collapsed="false">
      <c r="A996" s="10" t="s">
        <v>64</v>
      </c>
      <c r="B996" s="10" t="s">
        <v>58</v>
      </c>
      <c r="C996" s="10" t="s">
        <v>51</v>
      </c>
      <c r="D996" s="10" t="s">
        <v>294</v>
      </c>
      <c r="E996" s="10" t="s">
        <v>119</v>
      </c>
      <c r="F996" s="10" t="n">
        <v>23464</v>
      </c>
      <c r="G996" s="10" t="s">
        <v>54</v>
      </c>
      <c r="H996" s="10" t="s">
        <v>71</v>
      </c>
      <c r="I996" s="10" t="s">
        <v>72</v>
      </c>
      <c r="J996" s="13" t="n">
        <v>617.97</v>
      </c>
      <c r="K996" s="10" t="n">
        <v>3</v>
      </c>
      <c r="L996" s="14" t="n">
        <v>0</v>
      </c>
      <c r="M996" s="15" t="n">
        <v>173.0316</v>
      </c>
      <c r="N996" s="10" t="str">
        <f aca="false">IF(M996&lt;0,"Loss",IF(M996&lt;50,"Low Profit",IF(M996&lt;200,"Medium Profit","High Profit")))</f>
        <v>Medium Profit</v>
      </c>
      <c r="O996" s="10" t="str">
        <f aca="false">IF(J996&gt;=500,"High Value","Standard")</f>
        <v>High Value</v>
      </c>
      <c r="P996" s="10" t="str">
        <f aca="false">H996&amp;" &gt; "&amp;I996&amp;" ("&amp;K996&amp;" units)"</f>
        <v>Technology &gt; Phones (3 units)</v>
      </c>
      <c r="Q996" s="10" t="str">
        <f aca="false">VLOOKUP(G996,Region_Manager_Table,2,FALSE())</f>
        <v>Karthik Iyer</v>
      </c>
      <c r="R996" s="10" t="n">
        <f aca="false">INDEX(SLA_Days_Col,MATCH(A996,ShipMode_Col,0))</f>
        <v>6</v>
      </c>
    </row>
    <row r="997" customFormat="false" ht="15" hidden="false" customHeight="false" outlineLevel="0" collapsed="false">
      <c r="A997" s="16" t="s">
        <v>64</v>
      </c>
      <c r="B997" s="16" t="s">
        <v>50</v>
      </c>
      <c r="C997" s="16" t="s">
        <v>51</v>
      </c>
      <c r="D997" s="16" t="s">
        <v>52</v>
      </c>
      <c r="E997" s="16" t="s">
        <v>53</v>
      </c>
      <c r="F997" s="16" t="n">
        <v>42420</v>
      </c>
      <c r="G997" s="16" t="s">
        <v>54</v>
      </c>
      <c r="H997" s="16" t="s">
        <v>62</v>
      </c>
      <c r="I997" s="16" t="s">
        <v>96</v>
      </c>
      <c r="J997" s="17" t="n">
        <v>10.67</v>
      </c>
      <c r="K997" s="16" t="n">
        <v>1</v>
      </c>
      <c r="L997" s="18" t="n">
        <v>0</v>
      </c>
      <c r="M997" s="19" t="n">
        <v>4.9082</v>
      </c>
      <c r="N997" s="16" t="str">
        <f aca="false">IF(M997&lt;0,"Loss",IF(M997&lt;50,"Low Profit",IF(M997&lt;200,"Medium Profit","High Profit")))</f>
        <v>Low Profit</v>
      </c>
      <c r="O997" s="16" t="str">
        <f aca="false">IF(J997&gt;=500,"High Value","Standard")</f>
        <v>Standard</v>
      </c>
      <c r="P997" s="16" t="str">
        <f aca="false">H997&amp;" &gt; "&amp;I997&amp;" ("&amp;K997&amp;" units)"</f>
        <v>Office Supplies &gt; Envelopes (1 units)</v>
      </c>
      <c r="Q997" s="16" t="str">
        <f aca="false">VLOOKUP(G997,Region_Manager_Table,2,FALSE())</f>
        <v>Karthik Iyer</v>
      </c>
      <c r="R997" s="16" t="n">
        <f aca="false">INDEX(SLA_Days_Col,MATCH(A997,ShipMode_Col,0))</f>
        <v>6</v>
      </c>
    </row>
    <row r="998" customFormat="false" ht="15" hidden="false" customHeight="false" outlineLevel="0" collapsed="false">
      <c r="A998" s="10" t="s">
        <v>64</v>
      </c>
      <c r="B998" s="10" t="s">
        <v>50</v>
      </c>
      <c r="C998" s="10" t="s">
        <v>51</v>
      </c>
      <c r="D998" s="10" t="s">
        <v>52</v>
      </c>
      <c r="E998" s="10" t="s">
        <v>53</v>
      </c>
      <c r="F998" s="10" t="n">
        <v>42420</v>
      </c>
      <c r="G998" s="10" t="s">
        <v>54</v>
      </c>
      <c r="H998" s="10" t="s">
        <v>62</v>
      </c>
      <c r="I998" s="10" t="s">
        <v>68</v>
      </c>
      <c r="J998" s="13" t="n">
        <v>36.63</v>
      </c>
      <c r="K998" s="10" t="n">
        <v>3</v>
      </c>
      <c r="L998" s="14" t="n">
        <v>0</v>
      </c>
      <c r="M998" s="15" t="n">
        <v>9.8901</v>
      </c>
      <c r="N998" s="10" t="str">
        <f aca="false">IF(M998&lt;0,"Loss",IF(M998&lt;50,"Low Profit",IF(M998&lt;200,"Medium Profit","High Profit")))</f>
        <v>Low Profit</v>
      </c>
      <c r="O998" s="10" t="str">
        <f aca="false">IF(J998&gt;=500,"High Value","Standard")</f>
        <v>Standard</v>
      </c>
      <c r="P998" s="10" t="str">
        <f aca="false">H998&amp;" &gt; "&amp;I998&amp;" ("&amp;K998&amp;" units)"</f>
        <v>Office Supplies &gt; Storage (3 units)</v>
      </c>
      <c r="Q998" s="10" t="str">
        <f aca="false">VLOOKUP(G998,Region_Manager_Table,2,FALSE())</f>
        <v>Karthik Iyer</v>
      </c>
      <c r="R998" s="10" t="n">
        <f aca="false">INDEX(SLA_Days_Col,MATCH(A998,ShipMode_Col,0))</f>
        <v>6</v>
      </c>
    </row>
    <row r="999" customFormat="false" ht="15" hidden="false" customHeight="false" outlineLevel="0" collapsed="false">
      <c r="A999" s="16" t="s">
        <v>64</v>
      </c>
      <c r="B999" s="16" t="s">
        <v>50</v>
      </c>
      <c r="C999" s="16" t="s">
        <v>51</v>
      </c>
      <c r="D999" s="16" t="s">
        <v>52</v>
      </c>
      <c r="E999" s="16" t="s">
        <v>53</v>
      </c>
      <c r="F999" s="16" t="n">
        <v>42420</v>
      </c>
      <c r="G999" s="16" t="s">
        <v>54</v>
      </c>
      <c r="H999" s="16" t="s">
        <v>55</v>
      </c>
      <c r="I999" s="16" t="s">
        <v>69</v>
      </c>
      <c r="J999" s="17" t="n">
        <v>24.1</v>
      </c>
      <c r="K999" s="16" t="n">
        <v>5</v>
      </c>
      <c r="L999" s="18" t="n">
        <v>0</v>
      </c>
      <c r="M999" s="19" t="n">
        <v>9.158</v>
      </c>
      <c r="N999" s="16" t="str">
        <f aca="false">IF(M999&lt;0,"Loss",IF(M999&lt;50,"Low Profit",IF(M999&lt;200,"Medium Profit","High Profit")))</f>
        <v>Low Profit</v>
      </c>
      <c r="O999" s="16" t="str">
        <f aca="false">IF(J999&gt;=500,"High Value","Standard")</f>
        <v>Standard</v>
      </c>
      <c r="P999" s="16" t="str">
        <f aca="false">H999&amp;" &gt; "&amp;I999&amp;" ("&amp;K999&amp;" units)"</f>
        <v>Furniture &gt; Furnishings (5 units)</v>
      </c>
      <c r="Q999" s="16" t="str">
        <f aca="false">VLOOKUP(G999,Region_Manager_Table,2,FALSE())</f>
        <v>Karthik Iyer</v>
      </c>
      <c r="R999" s="16" t="n">
        <f aca="false">INDEX(SLA_Days_Col,MATCH(A999,ShipMode_Col,0))</f>
        <v>6</v>
      </c>
    </row>
    <row r="1000" customFormat="false" ht="15" hidden="false" customHeight="false" outlineLevel="0" collapsed="false">
      <c r="A1000" s="10" t="s">
        <v>64</v>
      </c>
      <c r="B1000" s="10" t="s">
        <v>50</v>
      </c>
      <c r="C1000" s="10" t="s">
        <v>51</v>
      </c>
      <c r="D1000" s="10" t="s">
        <v>52</v>
      </c>
      <c r="E1000" s="10" t="s">
        <v>53</v>
      </c>
      <c r="F1000" s="10" t="n">
        <v>42420</v>
      </c>
      <c r="G1000" s="10" t="s">
        <v>54</v>
      </c>
      <c r="H1000" s="10" t="s">
        <v>55</v>
      </c>
      <c r="I1000" s="10" t="s">
        <v>69</v>
      </c>
      <c r="J1000" s="13" t="n">
        <v>33.11</v>
      </c>
      <c r="K1000" s="10" t="n">
        <v>7</v>
      </c>
      <c r="L1000" s="14" t="n">
        <v>0</v>
      </c>
      <c r="M1000" s="15" t="n">
        <v>12.9129</v>
      </c>
      <c r="N1000" s="10" t="str">
        <f aca="false">IF(M1000&lt;0,"Loss",IF(M1000&lt;50,"Low Profit",IF(M1000&lt;200,"Medium Profit","High Profit")))</f>
        <v>Low Profit</v>
      </c>
      <c r="O1000" s="10" t="str">
        <f aca="false">IF(J1000&gt;=500,"High Value","Standard")</f>
        <v>Standard</v>
      </c>
      <c r="P1000" s="10" t="str">
        <f aca="false">H1000&amp;" &gt; "&amp;I1000&amp;" ("&amp;K1000&amp;" units)"</f>
        <v>Furniture &gt; Furnishings (7 units)</v>
      </c>
      <c r="Q1000" s="10" t="str">
        <f aca="false">VLOOKUP(G1000,Region_Manager_Table,2,FALSE())</f>
        <v>Karthik Iyer</v>
      </c>
      <c r="R1000" s="10" t="n">
        <f aca="false">INDEX(SLA_Days_Col,MATCH(A1000,ShipMode_Col,0))</f>
        <v>6</v>
      </c>
    </row>
    <row r="1001" customFormat="false" ht="15" hidden="false" customHeight="false" outlineLevel="0" collapsed="false">
      <c r="A1001" s="16" t="s">
        <v>64</v>
      </c>
      <c r="B1001" s="16" t="s">
        <v>80</v>
      </c>
      <c r="C1001" s="16" t="s">
        <v>51</v>
      </c>
      <c r="D1001" s="16" t="s">
        <v>256</v>
      </c>
      <c r="E1001" s="16" t="s">
        <v>79</v>
      </c>
      <c r="F1001" s="16" t="n">
        <v>98661</v>
      </c>
      <c r="G1001" s="16" t="s">
        <v>61</v>
      </c>
      <c r="H1001" s="16" t="s">
        <v>62</v>
      </c>
      <c r="I1001" s="16" t="s">
        <v>70</v>
      </c>
      <c r="J1001" s="17" t="n">
        <v>44.02</v>
      </c>
      <c r="K1001" s="16" t="n">
        <v>2</v>
      </c>
      <c r="L1001" s="18" t="n">
        <v>0</v>
      </c>
      <c r="M1001" s="19" t="n">
        <v>11.4452</v>
      </c>
      <c r="N1001" s="16" t="str">
        <f aca="false">IF(M1001&lt;0,"Loss",IF(M1001&lt;50,"Low Profit",IF(M1001&lt;200,"Medium Profit","High Profit")))</f>
        <v>Low Profit</v>
      </c>
      <c r="O1001" s="16" t="str">
        <f aca="false">IF(J1001&gt;=500,"High Value","Standard")</f>
        <v>Standard</v>
      </c>
      <c r="P1001" s="16" t="str">
        <f aca="false">H1001&amp;" &gt; "&amp;I1001&amp;" ("&amp;K1001&amp;" units)"</f>
        <v>Office Supplies &gt; Art (2 units)</v>
      </c>
      <c r="Q1001" s="16" t="str">
        <f aca="false">VLOOKUP(G1001,Region_Manager_Table,2,FALSE())</f>
        <v>Sana Sheikh</v>
      </c>
      <c r="R1001" s="16" t="n">
        <f aca="false">INDEX(SLA_Days_Col,MATCH(A1001,ShipMode_Col,0))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0" t="s">
        <v>295</v>
      </c>
      <c r="B1" s="20"/>
      <c r="D1" s="20" t="s">
        <v>296</v>
      </c>
      <c r="E1" s="20"/>
    </row>
    <row r="2" customFormat="false" ht="15" hidden="false" customHeight="false" outlineLevel="0" collapsed="false">
      <c r="A2" s="6" t="s">
        <v>37</v>
      </c>
      <c r="B2" s="6" t="s">
        <v>297</v>
      </c>
      <c r="D2" s="6" t="s">
        <v>31</v>
      </c>
      <c r="E2" s="6" t="s">
        <v>298</v>
      </c>
    </row>
    <row r="3" customFormat="false" ht="15" hidden="false" customHeight="false" outlineLevel="0" collapsed="false">
      <c r="A3" s="21" t="s">
        <v>83</v>
      </c>
      <c r="B3" s="21" t="s">
        <v>299</v>
      </c>
      <c r="D3" s="21" t="s">
        <v>204</v>
      </c>
      <c r="E3" s="21" t="n">
        <v>1</v>
      </c>
    </row>
    <row r="4" customFormat="false" ht="15" hidden="false" customHeight="false" outlineLevel="0" collapsed="false">
      <c r="A4" s="21" t="s">
        <v>93</v>
      </c>
      <c r="B4" s="21" t="s">
        <v>300</v>
      </c>
      <c r="D4" s="21" t="s">
        <v>98</v>
      </c>
      <c r="E4" s="21" t="n">
        <v>2</v>
      </c>
    </row>
    <row r="5" customFormat="false" ht="15" hidden="false" customHeight="false" outlineLevel="0" collapsed="false">
      <c r="A5" s="21" t="s">
        <v>54</v>
      </c>
      <c r="B5" s="21" t="s">
        <v>301</v>
      </c>
      <c r="D5" s="21" t="s">
        <v>49</v>
      </c>
      <c r="E5" s="21" t="n">
        <v>4</v>
      </c>
    </row>
    <row r="6" customFormat="false" ht="15" hidden="false" customHeight="false" outlineLevel="0" collapsed="false">
      <c r="A6" s="21" t="s">
        <v>61</v>
      </c>
      <c r="B6" s="21" t="s">
        <v>302</v>
      </c>
      <c r="D6" s="21" t="s">
        <v>64</v>
      </c>
      <c r="E6" s="21" t="n">
        <v>6</v>
      </c>
    </row>
    <row r="8" customFormat="false" ht="30" hidden="false" customHeight="true" outlineLevel="0" collapsed="false">
      <c r="A8" s="22" t="s">
        <v>303</v>
      </c>
      <c r="B8" s="22"/>
      <c r="C8" s="22"/>
      <c r="D8" s="22"/>
      <c r="E8" s="22"/>
      <c r="F8" s="22"/>
    </row>
  </sheetData>
  <mergeCells count="3">
    <mergeCell ref="A1:B1"/>
    <mergeCell ref="D1:E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7" min="4" style="0" width="18"/>
    <col collapsed="false" customWidth="true" hidden="false" outlineLevel="0" max="8" min="8" style="0" width="10"/>
  </cols>
  <sheetData>
    <row r="2" customFormat="false" ht="17.35" hidden="false" customHeight="false" outlineLevel="0" collapsed="false">
      <c r="B2" s="23" t="s">
        <v>304</v>
      </c>
      <c r="C2" s="23"/>
      <c r="D2" s="23"/>
      <c r="E2" s="23"/>
      <c r="F2" s="23"/>
      <c r="G2" s="23"/>
    </row>
    <row r="3" customFormat="false" ht="15" hidden="false" customHeight="false" outlineLevel="0" collapsed="false">
      <c r="B3" s="24" t="s">
        <v>305</v>
      </c>
      <c r="C3" s="24"/>
      <c r="D3" s="24"/>
      <c r="E3" s="24"/>
      <c r="F3" s="24"/>
      <c r="G3" s="24"/>
    </row>
    <row r="5" customFormat="false" ht="15" hidden="false" customHeight="false" outlineLevel="0" collapsed="false">
      <c r="B5" s="4" t="s">
        <v>306</v>
      </c>
      <c r="C5" s="25" t="s">
        <v>61</v>
      </c>
    </row>
    <row r="7" customFormat="false" ht="15" hidden="false" customHeight="false" outlineLevel="0" collapsed="false">
      <c r="B7" s="6" t="s">
        <v>307</v>
      </c>
      <c r="C7" s="6" t="s">
        <v>308</v>
      </c>
      <c r="D7" s="6" t="s">
        <v>309</v>
      </c>
    </row>
    <row r="8" customFormat="false" ht="27.75" hidden="false" customHeight="true" outlineLevel="0" collapsed="false">
      <c r="B8" s="7" t="s">
        <v>310</v>
      </c>
      <c r="C8" s="26" t="str">
        <f aca="false">VLOOKUP(C5,Region_Manager_Table,2,FALSE())</f>
        <v>Sana Sheikh</v>
      </c>
      <c r="D8" s="22" t="s">
        <v>311</v>
      </c>
      <c r="E8" s="22"/>
      <c r="F8" s="22"/>
      <c r="G8" s="22"/>
      <c r="H8" s="22"/>
    </row>
    <row r="9" customFormat="false" ht="27.75" hidden="false" customHeight="true" outlineLevel="0" collapsed="false">
      <c r="B9" s="7" t="s">
        <v>312</v>
      </c>
      <c r="C9" s="26" t="str">
        <f aca="false">INDEX(Lookup_Tables!$B$3:$B$6,MATCH(C5,Lookup_Tables!$A$3:$A$6,0))</f>
        <v>Sana Sheikh</v>
      </c>
      <c r="D9" s="22" t="s">
        <v>313</v>
      </c>
      <c r="E9" s="22"/>
      <c r="F9" s="22"/>
      <c r="G9" s="22"/>
      <c r="H9" s="22"/>
    </row>
    <row r="11" customFormat="false" ht="45.75" hidden="false" customHeight="true" outlineLevel="0" collapsed="false">
      <c r="B11" s="7" t="s">
        <v>314</v>
      </c>
      <c r="C11" s="27" t="s">
        <v>315</v>
      </c>
      <c r="D11" s="28" t="s">
        <v>316</v>
      </c>
      <c r="E11" s="28"/>
      <c r="F11" s="28"/>
      <c r="G11" s="28"/>
      <c r="H11" s="28"/>
    </row>
    <row r="13" customFormat="false" ht="15" hidden="false" customHeight="false" outlineLevel="0" collapsed="false">
      <c r="B13" s="4" t="s">
        <v>317</v>
      </c>
      <c r="C13" s="25" t="s">
        <v>64</v>
      </c>
    </row>
    <row r="14" customFormat="false" ht="15" hidden="false" customHeight="false" outlineLevel="0" collapsed="false">
      <c r="B14" s="4" t="s">
        <v>318</v>
      </c>
      <c r="C14" s="29" t="str">
        <f aca="false">INDEX(SLA_Days_Col,MATCH(C13,ShipMode_Col,0))&amp;" day(s)"</f>
        <v>6 day(s)</v>
      </c>
    </row>
  </sheetData>
  <mergeCells count="5">
    <mergeCell ref="B2:G2"/>
    <mergeCell ref="B3:G3"/>
    <mergeCell ref="D8:H8"/>
    <mergeCell ref="D9:H9"/>
    <mergeCell ref="D11:H11"/>
  </mergeCells>
  <dataValidations count="2">
    <dataValidation allowBlank="false" errorStyle="stop" operator="between" showDropDown="false" showErrorMessage="false" showInputMessage="false" sqref="C5" type="list">
      <formula1>"Central,East,South,West"</formula1>
      <formula2>0</formula2>
    </dataValidation>
    <dataValidation allowBlank="false" errorStyle="stop" operator="between" showDropDown="false" showErrorMessage="false" showInputMessage="false" sqref="C13" type="list">
      <formula1>"Same Day,First Class,Second Class,Standard Class"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8" min="6" style="0" width="14"/>
  </cols>
  <sheetData>
    <row r="2" customFormat="false" ht="17.35" hidden="false" customHeight="false" outlineLevel="0" collapsed="false">
      <c r="B2" s="23" t="s">
        <v>319</v>
      </c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B4" s="4" t="s">
        <v>320</v>
      </c>
    </row>
    <row r="5" customFormat="false" ht="15" hidden="false" customHeight="false" outlineLevel="0" collapsed="false">
      <c r="B5" s="11" t="s">
        <v>37</v>
      </c>
      <c r="C5" s="30" t="s">
        <v>55</v>
      </c>
      <c r="D5" s="30" t="s">
        <v>62</v>
      </c>
      <c r="E5" s="30" t="s">
        <v>71</v>
      </c>
    </row>
    <row r="6" customFormat="false" ht="15" hidden="false" customHeight="false" outlineLevel="0" collapsed="false">
      <c r="B6" s="7" t="s">
        <v>83</v>
      </c>
      <c r="C6" s="31" t="n">
        <f aca="false">SUMIFS(Sales_Range,Region_Range,$B6,Category_Range,C$5)</f>
        <v>19092.9534</v>
      </c>
      <c r="D6" s="31" t="n">
        <f aca="false">SUMIFS(Sales_Range,Region_Range,$B6,Category_Range,D$5)</f>
        <v>13943.746</v>
      </c>
      <c r="E6" s="31" t="n">
        <f aca="false">SUMIFS(Sales_Range,Region_Range,$B6,Category_Range,E$5)</f>
        <v>33973.149</v>
      </c>
    </row>
    <row r="7" customFormat="false" ht="15" hidden="false" customHeight="false" outlineLevel="0" collapsed="false">
      <c r="B7" s="7" t="s">
        <v>93</v>
      </c>
      <c r="C7" s="31" t="n">
        <f aca="false">SUMIFS(Sales_Range,Region_Range,$B7,Category_Range,C$5)</f>
        <v>22471.887</v>
      </c>
      <c r="D7" s="31" t="n">
        <f aca="false">SUMIFS(Sales_Range,Region_Range,$B7,Category_Range,D$5)</f>
        <v>23129.244</v>
      </c>
      <c r="E7" s="31" t="n">
        <f aca="false">SUMIFS(Sales_Range,Region_Range,$B7,Category_Range,E$5)</f>
        <v>13874.958</v>
      </c>
    </row>
    <row r="8" customFormat="false" ht="15" hidden="false" customHeight="false" outlineLevel="0" collapsed="false">
      <c r="B8" s="7" t="s">
        <v>54</v>
      </c>
      <c r="C8" s="31" t="n">
        <f aca="false">SUMIFS(Sales_Range,Region_Range,$B8,Category_Range,C$5)</f>
        <v>11539.1375</v>
      </c>
      <c r="D8" s="31" t="n">
        <f aca="false">SUMIFS(Sales_Range,Region_Range,$B8,Category_Range,D$5)</f>
        <v>16146.66</v>
      </c>
      <c r="E8" s="31" t="n">
        <f aca="false">SUMIFS(Sales_Range,Region_Range,$B8,Category_Range,E$5)</f>
        <v>15878.161</v>
      </c>
    </row>
    <row r="9" customFormat="false" ht="15" hidden="false" customHeight="false" outlineLevel="0" collapsed="false">
      <c r="B9" s="7" t="s">
        <v>61</v>
      </c>
      <c r="C9" s="31" t="n">
        <f aca="false">SUMIFS(Sales_Range,Region_Range,$B9,Category_Range,C$5)</f>
        <v>26273.601</v>
      </c>
      <c r="D9" s="31" t="n">
        <f aca="false">SUMIFS(Sales_Range,Region_Range,$B9,Category_Range,D$5)</f>
        <v>15062.165</v>
      </c>
      <c r="E9" s="31" t="n">
        <f aca="false">SUMIFS(Sales_Range,Region_Range,$B9,Category_Range,E$5)</f>
        <v>29773.574</v>
      </c>
    </row>
    <row r="10" customFormat="false" ht="15" hidden="false" customHeight="false" outlineLevel="0" collapsed="false">
      <c r="B10" s="4" t="s">
        <v>321</v>
      </c>
      <c r="C10" s="32" t="n">
        <f aca="false">SUMIF(Category_Range,C$5,Sales_Range)</f>
        <v>79377.5789</v>
      </c>
      <c r="D10" s="32" t="n">
        <f aca="false">SUMIF(Category_Range,D$5,Sales_Range)</f>
        <v>68281.815</v>
      </c>
      <c r="E10" s="32" t="n">
        <f aca="false">SUMIF(Category_Range,E$5,Sales_Range)</f>
        <v>93499.842</v>
      </c>
    </row>
    <row r="13" customFormat="false" ht="15" hidden="false" customHeight="false" outlineLevel="0" collapsed="false">
      <c r="B13" s="4" t="s">
        <v>322</v>
      </c>
    </row>
    <row r="14" customFormat="false" ht="15" hidden="false" customHeight="false" outlineLevel="0" collapsed="false">
      <c r="B14" s="11" t="s">
        <v>37</v>
      </c>
      <c r="C14" s="30" t="s">
        <v>50</v>
      </c>
      <c r="D14" s="30" t="s">
        <v>58</v>
      </c>
      <c r="E14" s="30" t="s">
        <v>80</v>
      </c>
    </row>
    <row r="15" customFormat="false" ht="15" hidden="false" customHeight="false" outlineLevel="0" collapsed="false">
      <c r="B15" s="7" t="s">
        <v>83</v>
      </c>
      <c r="C15" s="33" t="n">
        <f aca="false">COUNTIFS(Region_Range,$B15,Segment_Range,C$14)</f>
        <v>123</v>
      </c>
      <c r="D15" s="33" t="n">
        <f aca="false">COUNTIFS(Region_Range,$B15,Segment_Range,D$14)</f>
        <v>76</v>
      </c>
      <c r="E15" s="33" t="n">
        <f aca="false">COUNTIFS(Region_Range,$B15,Segment_Range,E$14)</f>
        <v>46</v>
      </c>
    </row>
    <row r="16" customFormat="false" ht="15" hidden="false" customHeight="false" outlineLevel="0" collapsed="false">
      <c r="B16" s="7" t="s">
        <v>93</v>
      </c>
      <c r="C16" s="33" t="n">
        <f aca="false">COUNTIFS(Region_Range,$B16,Segment_Range,C$14)</f>
        <v>163</v>
      </c>
      <c r="D16" s="33" t="n">
        <f aca="false">COUNTIFS(Region_Range,$B16,Segment_Range,D$14)</f>
        <v>80</v>
      </c>
      <c r="E16" s="33" t="n">
        <f aca="false">COUNTIFS(Region_Range,$B16,Segment_Range,E$14)</f>
        <v>69</v>
      </c>
    </row>
    <row r="17" customFormat="false" ht="15" hidden="false" customHeight="false" outlineLevel="0" collapsed="false">
      <c r="B17" s="7" t="s">
        <v>54</v>
      </c>
      <c r="C17" s="33" t="n">
        <f aca="false">COUNTIFS(Region_Range,$B17,Segment_Range,C$14)</f>
        <v>76</v>
      </c>
      <c r="D17" s="33" t="n">
        <f aca="false">COUNTIFS(Region_Range,$B17,Segment_Range,D$14)</f>
        <v>46</v>
      </c>
      <c r="E17" s="33" t="n">
        <f aca="false">COUNTIFS(Region_Range,$B17,Segment_Range,E$14)</f>
        <v>19</v>
      </c>
    </row>
    <row r="18" customFormat="false" ht="15" hidden="false" customHeight="false" outlineLevel="0" collapsed="false">
      <c r="B18" s="7" t="s">
        <v>61</v>
      </c>
      <c r="C18" s="33" t="n">
        <f aca="false">COUNTIFS(Region_Range,$B18,Segment_Range,C$14)</f>
        <v>185</v>
      </c>
      <c r="D18" s="33" t="n">
        <f aca="false">COUNTIFS(Region_Range,$B18,Segment_Range,D$14)</f>
        <v>81</v>
      </c>
      <c r="E18" s="33" t="n">
        <f aca="false">COUNTIFS(Region_Range,$B18,Segment_Range,E$14)</f>
        <v>36</v>
      </c>
    </row>
    <row r="21" customFormat="false" ht="15" hidden="false" customHeight="false" outlineLevel="0" collapsed="false">
      <c r="B21" s="4" t="s">
        <v>323</v>
      </c>
    </row>
    <row r="22" customFormat="false" ht="15" hidden="false" customHeight="false" outlineLevel="0" collapsed="false">
      <c r="B22" s="34" t="s">
        <v>324</v>
      </c>
      <c r="C22" s="34"/>
      <c r="D22" s="34"/>
      <c r="E22" s="35" t="n">
        <f aca="false">SUMIF(Category_Range,"Technology",Sales_Range)</f>
        <v>93499.842</v>
      </c>
    </row>
    <row r="23" customFormat="false" ht="15" hidden="false" customHeight="false" outlineLevel="0" collapsed="false">
      <c r="B23" s="34" t="s">
        <v>325</v>
      </c>
      <c r="C23" s="34"/>
      <c r="D23" s="34"/>
      <c r="E23" s="35" t="n">
        <f aca="false">SUMIFS(Sales_Range,Category_Range,"Technology",Region_Range,"West")</f>
        <v>29773.574</v>
      </c>
    </row>
    <row r="24" customFormat="false" ht="15" hidden="false" customHeight="false" outlineLevel="0" collapsed="false">
      <c r="B24" s="34" t="s">
        <v>326</v>
      </c>
      <c r="C24" s="34"/>
      <c r="D24" s="34"/>
      <c r="E24" s="36" t="n">
        <f aca="false">COUNTIF(Discount_Range,"&gt;0")</f>
        <v>536</v>
      </c>
    </row>
    <row r="25" customFormat="false" ht="15" hidden="false" customHeight="false" outlineLevel="0" collapsed="false">
      <c r="B25" s="34" t="s">
        <v>327</v>
      </c>
      <c r="C25" s="34"/>
      <c r="D25" s="34"/>
      <c r="E25" s="36" t="n">
        <f aca="false">COUNTIFS(Category_Range,"Technology",Discount_Range,"&gt;0.2")</f>
        <v>23</v>
      </c>
    </row>
    <row r="27" customFormat="false" ht="15" hidden="false" customHeight="false" outlineLevel="0" collapsed="false">
      <c r="B27" s="4" t="s">
        <v>328</v>
      </c>
    </row>
    <row r="28" customFormat="false" ht="15" hidden="false" customHeight="false" outlineLevel="0" collapsed="false">
      <c r="B28" s="11" t="s">
        <v>38</v>
      </c>
      <c r="C28" s="11" t="s">
        <v>329</v>
      </c>
    </row>
    <row r="29" customFormat="false" ht="15" hidden="false" customHeight="false" outlineLevel="0" collapsed="false">
      <c r="B29" s="21" t="s">
        <v>55</v>
      </c>
      <c r="C29" s="37" t="n">
        <f aca="false">AVERAGEIFS(Discount_Range,Category_Range,$B29)</f>
        <v>0.178647342995169</v>
      </c>
    </row>
    <row r="30" customFormat="false" ht="15" hidden="false" customHeight="false" outlineLevel="0" collapsed="false">
      <c r="B30" s="21" t="s">
        <v>62</v>
      </c>
      <c r="C30" s="37" t="n">
        <f aca="false">AVERAGEIFS(Discount_Range,Category_Range,$B30)</f>
        <v>0.163515754560531</v>
      </c>
    </row>
    <row r="31" customFormat="false" ht="15" hidden="false" customHeight="false" outlineLevel="0" collapsed="false">
      <c r="B31" s="21" t="s">
        <v>71</v>
      </c>
      <c r="C31" s="37" t="n">
        <f aca="false">AVERAGEIFS(Discount_Range,Category_Range,$B31)</f>
        <v>0.141578947368421</v>
      </c>
    </row>
  </sheetData>
  <mergeCells count="5">
    <mergeCell ref="B2:H2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38" t="s">
        <v>330</v>
      </c>
      <c r="B1" s="38"/>
      <c r="C1" s="38"/>
      <c r="D1" s="38"/>
      <c r="E1" s="38"/>
      <c r="F1" s="38"/>
      <c r="G1" s="38"/>
      <c r="H1" s="38"/>
      <c r="I1" s="38"/>
      <c r="J1" s="38"/>
    </row>
    <row r="3" customFormat="false" ht="33.75" hidden="false" customHeight="true" outlineLevel="0" collapsed="false">
      <c r="A3" s="39" t="s">
        <v>331</v>
      </c>
      <c r="B3" s="39" t="s">
        <v>332</v>
      </c>
      <c r="C3" s="39" t="s">
        <v>333</v>
      </c>
      <c r="D3" s="39" t="s">
        <v>334</v>
      </c>
      <c r="E3" s="39" t="s">
        <v>335</v>
      </c>
      <c r="F3" s="39" t="s">
        <v>336</v>
      </c>
      <c r="G3" s="39" t="s">
        <v>337</v>
      </c>
      <c r="H3" s="39" t="s">
        <v>338</v>
      </c>
      <c r="I3" s="39" t="s">
        <v>339</v>
      </c>
      <c r="J3" s="39" t="s">
        <v>340</v>
      </c>
    </row>
    <row r="4" customFormat="false" ht="15" hidden="false" customHeight="false" outlineLevel="0" collapsed="false">
      <c r="A4" s="21" t="n">
        <v>1</v>
      </c>
      <c r="B4" s="21" t="str">
        <f aca="false">Data!D2</f>
        <v>Henderson</v>
      </c>
      <c r="C4" s="21" t="str">
        <f aca="false">Data!E2</f>
        <v>Kentucky</v>
      </c>
      <c r="D4" s="21" t="str">
        <f aca="false">LEFT(B4,3)</f>
        <v>Hen</v>
      </c>
      <c r="E4" s="21" t="str">
        <f aca="false">RIGHT(C4,3)</f>
        <v>cky</v>
      </c>
      <c r="F4" s="21" t="str">
        <f aca="false">MID(B4,2,4)</f>
        <v>ende</v>
      </c>
      <c r="G4" s="21" t="n">
        <f aca="false">LEN(B4)</f>
        <v>9</v>
      </c>
      <c r="H4" s="21" t="str">
        <f aca="false">UPPER(LEFT(Data!B2,1))&amp;LOWER(MID(Data!B2,2,50))</f>
        <v>Consumer</v>
      </c>
      <c r="I4" s="21" t="str">
        <f aca="false">B4&amp;", "&amp;C4</f>
        <v>Henderson, Kentucky</v>
      </c>
      <c r="J4" s="21" t="str">
        <f aca="false">_xlfn.TEXTJOIN(" | ",TRUE(),B4,C4,Data!B2)</f>
        <v>Henderson | Kentucky | Consumer</v>
      </c>
    </row>
    <row r="5" customFormat="false" ht="15" hidden="false" customHeight="false" outlineLevel="0" collapsed="false">
      <c r="A5" s="40" t="n">
        <v>2</v>
      </c>
      <c r="B5" s="40" t="str">
        <f aca="false">Data!D3</f>
        <v>Henderson</v>
      </c>
      <c r="C5" s="40" t="str">
        <f aca="false">Data!E3</f>
        <v>Kentucky</v>
      </c>
      <c r="D5" s="40" t="str">
        <f aca="false">LEFT(B5,3)</f>
        <v>Hen</v>
      </c>
      <c r="E5" s="40" t="str">
        <f aca="false">RIGHT(C5,3)</f>
        <v>cky</v>
      </c>
      <c r="F5" s="40" t="str">
        <f aca="false">MID(B5,2,4)</f>
        <v>ende</v>
      </c>
      <c r="G5" s="40" t="n">
        <f aca="false">LEN(B5)</f>
        <v>9</v>
      </c>
      <c r="H5" s="40" t="str">
        <f aca="false">UPPER(LEFT(Data!B3,1))&amp;LOWER(MID(Data!B3,2,50))</f>
        <v>Consumer</v>
      </c>
      <c r="I5" s="40" t="str">
        <f aca="false">B5&amp;", "&amp;C5</f>
        <v>Henderson, Kentucky</v>
      </c>
      <c r="J5" s="40" t="str">
        <f aca="false">_xlfn.TEXTJOIN(" | ",TRUE(),B5,C5,Data!B3)</f>
        <v>Henderson | Kentucky | Consumer</v>
      </c>
    </row>
    <row r="6" customFormat="false" ht="15" hidden="false" customHeight="false" outlineLevel="0" collapsed="false">
      <c r="A6" s="21" t="n">
        <v>3</v>
      </c>
      <c r="B6" s="21" t="str">
        <f aca="false">Data!D4</f>
        <v>Los Angeles</v>
      </c>
      <c r="C6" s="21" t="str">
        <f aca="false">Data!E4</f>
        <v>California</v>
      </c>
      <c r="D6" s="21" t="str">
        <f aca="false">LEFT(B6,3)</f>
        <v>Los</v>
      </c>
      <c r="E6" s="21" t="str">
        <f aca="false">RIGHT(C6,3)</f>
        <v>nia</v>
      </c>
      <c r="F6" s="21" t="str">
        <f aca="false">MID(B6,2,4)</f>
        <v>os A</v>
      </c>
      <c r="G6" s="21" t="n">
        <f aca="false">LEN(B6)</f>
        <v>11</v>
      </c>
      <c r="H6" s="21" t="str">
        <f aca="false">UPPER(LEFT(Data!B4,1))&amp;LOWER(MID(Data!B4,2,50))</f>
        <v>Corporate</v>
      </c>
      <c r="I6" s="21" t="str">
        <f aca="false">B6&amp;", "&amp;C6</f>
        <v>Los Angeles, California</v>
      </c>
      <c r="J6" s="21" t="str">
        <f aca="false">_xlfn.TEXTJOIN(" | ",TRUE(),B6,C6,Data!B4)</f>
        <v>Los Angeles | California | Corporate</v>
      </c>
    </row>
    <row r="7" customFormat="false" ht="15" hidden="false" customHeight="false" outlineLevel="0" collapsed="false">
      <c r="A7" s="40" t="n">
        <v>4</v>
      </c>
      <c r="B7" s="40" t="str">
        <f aca="false">Data!D5</f>
        <v>Fort Lauderdale</v>
      </c>
      <c r="C7" s="40" t="str">
        <f aca="false">Data!E5</f>
        <v>Florida</v>
      </c>
      <c r="D7" s="40" t="str">
        <f aca="false">LEFT(B7,3)</f>
        <v>For</v>
      </c>
      <c r="E7" s="40" t="str">
        <f aca="false">RIGHT(C7,3)</f>
        <v>ida</v>
      </c>
      <c r="F7" s="40" t="str">
        <f aca="false">MID(B7,2,4)</f>
        <v>ort </v>
      </c>
      <c r="G7" s="40" t="n">
        <f aca="false">LEN(B7)</f>
        <v>15</v>
      </c>
      <c r="H7" s="40" t="str">
        <f aca="false">UPPER(LEFT(Data!B5,1))&amp;LOWER(MID(Data!B5,2,50))</f>
        <v>Consumer</v>
      </c>
      <c r="I7" s="40" t="str">
        <f aca="false">B7&amp;", "&amp;C7</f>
        <v>Fort Lauderdale, Florida</v>
      </c>
      <c r="J7" s="40" t="str">
        <f aca="false">_xlfn.TEXTJOIN(" | ",TRUE(),B7,C7,Data!B5)</f>
        <v>Fort Lauderdale | Florida | Consumer</v>
      </c>
    </row>
    <row r="8" customFormat="false" ht="15" hidden="false" customHeight="false" outlineLevel="0" collapsed="false">
      <c r="A8" s="21" t="n">
        <v>5</v>
      </c>
      <c r="B8" s="21" t="str">
        <f aca="false">Data!D6</f>
        <v>Fort Lauderdale</v>
      </c>
      <c r="C8" s="21" t="str">
        <f aca="false">Data!E6</f>
        <v>Florida</v>
      </c>
      <c r="D8" s="21" t="str">
        <f aca="false">LEFT(B8,3)</f>
        <v>For</v>
      </c>
      <c r="E8" s="21" t="str">
        <f aca="false">RIGHT(C8,3)</f>
        <v>ida</v>
      </c>
      <c r="F8" s="21" t="str">
        <f aca="false">MID(B8,2,4)</f>
        <v>ort </v>
      </c>
      <c r="G8" s="21" t="n">
        <f aca="false">LEN(B8)</f>
        <v>15</v>
      </c>
      <c r="H8" s="21" t="str">
        <f aca="false">UPPER(LEFT(Data!B6,1))&amp;LOWER(MID(Data!B6,2,50))</f>
        <v>Consumer</v>
      </c>
      <c r="I8" s="21" t="str">
        <f aca="false">B8&amp;", "&amp;C8</f>
        <v>Fort Lauderdale, Florida</v>
      </c>
      <c r="J8" s="21" t="str">
        <f aca="false">_xlfn.TEXTJOIN(" | ",TRUE(),B8,C8,Data!B6)</f>
        <v>Fort Lauderdale | Florida | Consumer</v>
      </c>
    </row>
    <row r="9" customFormat="false" ht="15" hidden="false" customHeight="false" outlineLevel="0" collapsed="false">
      <c r="A9" s="40" t="n">
        <v>6</v>
      </c>
      <c r="B9" s="40" t="str">
        <f aca="false">Data!D7</f>
        <v>Los Angeles</v>
      </c>
      <c r="C9" s="40" t="str">
        <f aca="false">Data!E7</f>
        <v>California</v>
      </c>
      <c r="D9" s="40" t="str">
        <f aca="false">LEFT(B9,3)</f>
        <v>Los</v>
      </c>
      <c r="E9" s="40" t="str">
        <f aca="false">RIGHT(C9,3)</f>
        <v>nia</v>
      </c>
      <c r="F9" s="40" t="str">
        <f aca="false">MID(B9,2,4)</f>
        <v>os A</v>
      </c>
      <c r="G9" s="40" t="n">
        <f aca="false">LEN(B9)</f>
        <v>11</v>
      </c>
      <c r="H9" s="40" t="str">
        <f aca="false">UPPER(LEFT(Data!B7,1))&amp;LOWER(MID(Data!B7,2,50))</f>
        <v>Consumer</v>
      </c>
      <c r="I9" s="40" t="str">
        <f aca="false">B9&amp;", "&amp;C9</f>
        <v>Los Angeles, California</v>
      </c>
      <c r="J9" s="40" t="str">
        <f aca="false">_xlfn.TEXTJOIN(" | ",TRUE(),B9,C9,Data!B7)</f>
        <v>Los Angeles | California | Consumer</v>
      </c>
    </row>
    <row r="10" customFormat="false" ht="15" hidden="false" customHeight="false" outlineLevel="0" collapsed="false">
      <c r="A10" s="21" t="n">
        <v>7</v>
      </c>
      <c r="B10" s="21" t="str">
        <f aca="false">Data!D8</f>
        <v>Los Angeles</v>
      </c>
      <c r="C10" s="21" t="str">
        <f aca="false">Data!E8</f>
        <v>California</v>
      </c>
      <c r="D10" s="21" t="str">
        <f aca="false">LEFT(B10,3)</f>
        <v>Los</v>
      </c>
      <c r="E10" s="21" t="str">
        <f aca="false">RIGHT(C10,3)</f>
        <v>nia</v>
      </c>
      <c r="F10" s="21" t="str">
        <f aca="false">MID(B10,2,4)</f>
        <v>os A</v>
      </c>
      <c r="G10" s="21" t="n">
        <f aca="false">LEN(B10)</f>
        <v>11</v>
      </c>
      <c r="H10" s="21" t="str">
        <f aca="false">UPPER(LEFT(Data!B8,1))&amp;LOWER(MID(Data!B8,2,50))</f>
        <v>Consumer</v>
      </c>
      <c r="I10" s="21" t="str">
        <f aca="false">B10&amp;", "&amp;C10</f>
        <v>Los Angeles, California</v>
      </c>
      <c r="J10" s="21" t="str">
        <f aca="false">_xlfn.TEXTJOIN(" | ",TRUE(),B10,C10,Data!B8)</f>
        <v>Los Angeles | California | Consumer</v>
      </c>
    </row>
    <row r="11" customFormat="false" ht="15" hidden="false" customHeight="false" outlineLevel="0" collapsed="false">
      <c r="A11" s="40" t="n">
        <v>8</v>
      </c>
      <c r="B11" s="40" t="str">
        <f aca="false">Data!D9</f>
        <v>Los Angeles</v>
      </c>
      <c r="C11" s="40" t="str">
        <f aca="false">Data!E9</f>
        <v>California</v>
      </c>
      <c r="D11" s="40" t="str">
        <f aca="false">LEFT(B11,3)</f>
        <v>Los</v>
      </c>
      <c r="E11" s="40" t="str">
        <f aca="false">RIGHT(C11,3)</f>
        <v>nia</v>
      </c>
      <c r="F11" s="40" t="str">
        <f aca="false">MID(B11,2,4)</f>
        <v>os A</v>
      </c>
      <c r="G11" s="40" t="n">
        <f aca="false">LEN(B11)</f>
        <v>11</v>
      </c>
      <c r="H11" s="40" t="str">
        <f aca="false">UPPER(LEFT(Data!B9,1))&amp;LOWER(MID(Data!B9,2,50))</f>
        <v>Consumer</v>
      </c>
      <c r="I11" s="40" t="str">
        <f aca="false">B11&amp;", "&amp;C11</f>
        <v>Los Angeles, California</v>
      </c>
      <c r="J11" s="40" t="str">
        <f aca="false">_xlfn.TEXTJOIN(" | ",TRUE(),B11,C11,Data!B9)</f>
        <v>Los Angeles | California | Consumer</v>
      </c>
    </row>
    <row r="12" customFormat="false" ht="15" hidden="false" customHeight="false" outlineLevel="0" collapsed="false">
      <c r="A12" s="21" t="n">
        <v>9</v>
      </c>
      <c r="B12" s="21" t="str">
        <f aca="false">Data!D10</f>
        <v>Los Angeles</v>
      </c>
      <c r="C12" s="21" t="str">
        <f aca="false">Data!E10</f>
        <v>California</v>
      </c>
      <c r="D12" s="21" t="str">
        <f aca="false">LEFT(B12,3)</f>
        <v>Los</v>
      </c>
      <c r="E12" s="21" t="str">
        <f aca="false">RIGHT(C12,3)</f>
        <v>nia</v>
      </c>
      <c r="F12" s="21" t="str">
        <f aca="false">MID(B12,2,4)</f>
        <v>os A</v>
      </c>
      <c r="G12" s="21" t="n">
        <f aca="false">LEN(B12)</f>
        <v>11</v>
      </c>
      <c r="H12" s="21" t="str">
        <f aca="false">UPPER(LEFT(Data!B10,1))&amp;LOWER(MID(Data!B10,2,50))</f>
        <v>Consumer</v>
      </c>
      <c r="I12" s="21" t="str">
        <f aca="false">B12&amp;", "&amp;C12</f>
        <v>Los Angeles, California</v>
      </c>
      <c r="J12" s="21" t="str">
        <f aca="false">_xlfn.TEXTJOIN(" | ",TRUE(),B12,C12,Data!B10)</f>
        <v>Los Angeles | California | Consumer</v>
      </c>
    </row>
    <row r="13" customFormat="false" ht="15" hidden="false" customHeight="false" outlineLevel="0" collapsed="false">
      <c r="A13" s="40" t="n">
        <v>10</v>
      </c>
      <c r="B13" s="40" t="str">
        <f aca="false">Data!D11</f>
        <v>Los Angeles</v>
      </c>
      <c r="C13" s="40" t="str">
        <f aca="false">Data!E11</f>
        <v>California</v>
      </c>
      <c r="D13" s="40" t="str">
        <f aca="false">LEFT(B13,3)</f>
        <v>Los</v>
      </c>
      <c r="E13" s="40" t="str">
        <f aca="false">RIGHT(C13,3)</f>
        <v>nia</v>
      </c>
      <c r="F13" s="40" t="str">
        <f aca="false">MID(B13,2,4)</f>
        <v>os A</v>
      </c>
      <c r="G13" s="40" t="n">
        <f aca="false">LEN(B13)</f>
        <v>11</v>
      </c>
      <c r="H13" s="40" t="str">
        <f aca="false">UPPER(LEFT(Data!B11,1))&amp;LOWER(MID(Data!B11,2,50))</f>
        <v>Consumer</v>
      </c>
      <c r="I13" s="40" t="str">
        <f aca="false">B13&amp;", "&amp;C13</f>
        <v>Los Angeles, California</v>
      </c>
      <c r="J13" s="40" t="str">
        <f aca="false">_xlfn.TEXTJOIN(" | ",TRUE(),B13,C13,Data!B11)</f>
        <v>Los Angeles | California | Consumer</v>
      </c>
    </row>
    <row r="14" customFormat="false" ht="15" hidden="false" customHeight="false" outlineLevel="0" collapsed="false">
      <c r="A14" s="21" t="n">
        <v>11</v>
      </c>
      <c r="B14" s="21" t="str">
        <f aca="false">Data!D12</f>
        <v>Los Angeles</v>
      </c>
      <c r="C14" s="21" t="str">
        <f aca="false">Data!E12</f>
        <v>California</v>
      </c>
      <c r="D14" s="21" t="str">
        <f aca="false">LEFT(B14,3)</f>
        <v>Los</v>
      </c>
      <c r="E14" s="21" t="str">
        <f aca="false">RIGHT(C14,3)</f>
        <v>nia</v>
      </c>
      <c r="F14" s="21" t="str">
        <f aca="false">MID(B14,2,4)</f>
        <v>os A</v>
      </c>
      <c r="G14" s="21" t="n">
        <f aca="false">LEN(B14)</f>
        <v>11</v>
      </c>
      <c r="H14" s="21" t="str">
        <f aca="false">UPPER(LEFT(Data!B12,1))&amp;LOWER(MID(Data!B12,2,50))</f>
        <v>Consumer</v>
      </c>
      <c r="I14" s="21" t="str">
        <f aca="false">B14&amp;", "&amp;C14</f>
        <v>Los Angeles, California</v>
      </c>
      <c r="J14" s="21" t="str">
        <f aca="false">_xlfn.TEXTJOIN(" | ",TRUE(),B14,C14,Data!B12)</f>
        <v>Los Angeles | California | Consumer</v>
      </c>
    </row>
    <row r="15" customFormat="false" ht="15" hidden="false" customHeight="false" outlineLevel="0" collapsed="false">
      <c r="A15" s="40" t="n">
        <v>12</v>
      </c>
      <c r="B15" s="40" t="str">
        <f aca="false">Data!D13</f>
        <v>Los Angeles</v>
      </c>
      <c r="C15" s="40" t="str">
        <f aca="false">Data!E13</f>
        <v>California</v>
      </c>
      <c r="D15" s="40" t="str">
        <f aca="false">LEFT(B15,3)</f>
        <v>Los</v>
      </c>
      <c r="E15" s="40" t="str">
        <f aca="false">RIGHT(C15,3)</f>
        <v>nia</v>
      </c>
      <c r="F15" s="40" t="str">
        <f aca="false">MID(B15,2,4)</f>
        <v>os A</v>
      </c>
      <c r="G15" s="40" t="n">
        <f aca="false">LEN(B15)</f>
        <v>11</v>
      </c>
      <c r="H15" s="40" t="str">
        <f aca="false">UPPER(LEFT(Data!B13,1))&amp;LOWER(MID(Data!B13,2,50))</f>
        <v>Consumer</v>
      </c>
      <c r="I15" s="40" t="str">
        <f aca="false">B15&amp;", "&amp;C15</f>
        <v>Los Angeles, California</v>
      </c>
      <c r="J15" s="40" t="str">
        <f aca="false">_xlfn.TEXTJOIN(" | ",TRUE(),B15,C15,Data!B13)</f>
        <v>Los Angeles | California | Consumer</v>
      </c>
    </row>
    <row r="16" customFormat="false" ht="15" hidden="false" customHeight="false" outlineLevel="0" collapsed="false">
      <c r="A16" s="21" t="n">
        <v>13</v>
      </c>
      <c r="B16" s="21" t="str">
        <f aca="false">Data!D14</f>
        <v>Concord</v>
      </c>
      <c r="C16" s="21" t="str">
        <f aca="false">Data!E14</f>
        <v>North Carolina</v>
      </c>
      <c r="D16" s="21" t="str">
        <f aca="false">LEFT(B16,3)</f>
        <v>Con</v>
      </c>
      <c r="E16" s="21" t="str">
        <f aca="false">RIGHT(C16,3)</f>
        <v>ina</v>
      </c>
      <c r="F16" s="21" t="str">
        <f aca="false">MID(B16,2,4)</f>
        <v>onco</v>
      </c>
      <c r="G16" s="21" t="n">
        <f aca="false">LEN(B16)</f>
        <v>7</v>
      </c>
      <c r="H16" s="21" t="str">
        <f aca="false">UPPER(LEFT(Data!B14,1))&amp;LOWER(MID(Data!B14,2,50))</f>
        <v>Consumer</v>
      </c>
      <c r="I16" s="21" t="str">
        <f aca="false">B16&amp;", "&amp;C16</f>
        <v>Concord, North Carolina</v>
      </c>
      <c r="J16" s="21" t="str">
        <f aca="false">_xlfn.TEXTJOIN(" | ",TRUE(),B16,C16,Data!B14)</f>
        <v>Concord | North Carolina | Consumer</v>
      </c>
    </row>
    <row r="17" customFormat="false" ht="15" hidden="false" customHeight="false" outlineLevel="0" collapsed="false">
      <c r="A17" s="40" t="n">
        <v>14</v>
      </c>
      <c r="B17" s="40" t="str">
        <f aca="false">Data!D15</f>
        <v>Seattle</v>
      </c>
      <c r="C17" s="40" t="str">
        <f aca="false">Data!E15</f>
        <v>Washington</v>
      </c>
      <c r="D17" s="40" t="str">
        <f aca="false">LEFT(B17,3)</f>
        <v>Sea</v>
      </c>
      <c r="E17" s="40" t="str">
        <f aca="false">RIGHT(C17,3)</f>
        <v>ton</v>
      </c>
      <c r="F17" s="40" t="str">
        <f aca="false">MID(B17,2,4)</f>
        <v>eatt</v>
      </c>
      <c r="G17" s="40" t="n">
        <f aca="false">LEN(B17)</f>
        <v>7</v>
      </c>
      <c r="H17" s="40" t="str">
        <f aca="false">UPPER(LEFT(Data!B15,1))&amp;LOWER(MID(Data!B15,2,50))</f>
        <v>Consumer</v>
      </c>
      <c r="I17" s="40" t="str">
        <f aca="false">B17&amp;", "&amp;C17</f>
        <v>Seattle, Washington</v>
      </c>
      <c r="J17" s="40" t="str">
        <f aca="false">_xlfn.TEXTJOIN(" | ",TRUE(),B17,C17,Data!B15)</f>
        <v>Seattle | Washington | Consumer</v>
      </c>
    </row>
    <row r="18" customFormat="false" ht="15" hidden="false" customHeight="false" outlineLevel="0" collapsed="false">
      <c r="A18" s="21" t="n">
        <v>15</v>
      </c>
      <c r="B18" s="21" t="str">
        <f aca="false">Data!D16</f>
        <v>Fort Worth</v>
      </c>
      <c r="C18" s="21" t="str">
        <f aca="false">Data!E16</f>
        <v>Texas</v>
      </c>
      <c r="D18" s="21" t="str">
        <f aca="false">LEFT(B18,3)</f>
        <v>For</v>
      </c>
      <c r="E18" s="21" t="str">
        <f aca="false">RIGHT(C18,3)</f>
        <v>xas</v>
      </c>
      <c r="F18" s="21" t="str">
        <f aca="false">MID(B18,2,4)</f>
        <v>ort </v>
      </c>
      <c r="G18" s="21" t="n">
        <f aca="false">LEN(B18)</f>
        <v>10</v>
      </c>
      <c r="H18" s="21" t="str">
        <f aca="false">UPPER(LEFT(Data!B16,1))&amp;LOWER(MID(Data!B16,2,50))</f>
        <v>Home office</v>
      </c>
      <c r="I18" s="21" t="str">
        <f aca="false">B18&amp;", "&amp;C18</f>
        <v>Fort Worth, Texas</v>
      </c>
      <c r="J18" s="21" t="str">
        <f aca="false">_xlfn.TEXTJOIN(" | ",TRUE(),B18,C18,Data!B16)</f>
        <v>Fort Worth | Texas | Home Office</v>
      </c>
    </row>
    <row r="21" customFormat="false" ht="15" hidden="false" customHeight="false" outlineLevel="0" collapsed="false">
      <c r="A21" s="4" t="s">
        <v>341</v>
      </c>
    </row>
    <row r="22" customFormat="false" ht="27.75" hidden="false" customHeight="true" outlineLevel="0" collapsed="false">
      <c r="A22" s="4" t="s">
        <v>342</v>
      </c>
      <c r="B22" s="41" t="n">
        <f aca="false">FIND("Office",Data!H4)</f>
        <v>1</v>
      </c>
      <c r="C22" s="22" t="s">
        <v>343</v>
      </c>
      <c r="D22" s="22"/>
      <c r="E22" s="22"/>
      <c r="F22" s="22"/>
      <c r="G22" s="22"/>
      <c r="H22" s="22"/>
      <c r="I22" s="22"/>
      <c r="J22" s="22"/>
    </row>
    <row r="23" customFormat="false" ht="27.75" hidden="false" customHeight="true" outlineLevel="0" collapsed="false">
      <c r="A23" s="4" t="s">
        <v>344</v>
      </c>
      <c r="B23" s="41" t="n">
        <f aca="false">SEARCH("office",Data!H4)</f>
        <v>1</v>
      </c>
      <c r="C23" s="22" t="s">
        <v>345</v>
      </c>
      <c r="D23" s="22"/>
      <c r="E23" s="22"/>
      <c r="F23" s="22"/>
      <c r="G23" s="22"/>
      <c r="H23" s="22"/>
      <c r="I23" s="22"/>
      <c r="J23" s="22"/>
    </row>
    <row r="24" customFormat="false" ht="27.75" hidden="false" customHeight="true" outlineLevel="0" collapsed="false">
      <c r="A24" s="4" t="s">
        <v>346</v>
      </c>
      <c r="B24" s="41" t="str">
        <f aca="false">SUBSTITUTE(Data!A2,"Class","Tier")</f>
        <v>Second Tier</v>
      </c>
      <c r="C24" s="22" t="s">
        <v>347</v>
      </c>
      <c r="D24" s="22"/>
      <c r="E24" s="22"/>
      <c r="F24" s="22"/>
      <c r="G24" s="22"/>
      <c r="H24" s="22"/>
      <c r="I24" s="22"/>
      <c r="J24" s="22"/>
    </row>
    <row r="25" customFormat="false" ht="27.75" hidden="false" customHeight="true" outlineLevel="0" collapsed="false">
      <c r="A25" s="4" t="s">
        <v>348</v>
      </c>
      <c r="B25" s="41" t="str">
        <f aca="false">TRIM("  Second Class   ")</f>
        <v>Second Class</v>
      </c>
      <c r="C25" s="22" t="s">
        <v>349</v>
      </c>
      <c r="D25" s="22"/>
      <c r="E25" s="22"/>
      <c r="F25" s="22"/>
      <c r="G25" s="22"/>
      <c r="H25" s="22"/>
      <c r="I25" s="22"/>
      <c r="J25" s="22"/>
    </row>
    <row r="26" customFormat="false" ht="27.75" hidden="false" customHeight="true" outlineLevel="0" collapsed="false">
      <c r="A26" s="4" t="s">
        <v>350</v>
      </c>
      <c r="B26" s="41" t="n">
        <f aca="false">VALUE("1250")</f>
        <v>1250</v>
      </c>
      <c r="C26" s="22" t="s">
        <v>351</v>
      </c>
      <c r="D26" s="22"/>
      <c r="E26" s="22"/>
      <c r="F26" s="22"/>
      <c r="G26" s="22"/>
      <c r="H26" s="22"/>
      <c r="I26" s="22"/>
      <c r="J26" s="22"/>
    </row>
  </sheetData>
  <mergeCells count="6">
    <mergeCell ref="A1:J1"/>
    <mergeCell ref="C22:J22"/>
    <mergeCell ref="C23:J23"/>
    <mergeCell ref="C24:J24"/>
    <mergeCell ref="C25:J25"/>
    <mergeCell ref="C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8" min="5" style="0" width="16"/>
  </cols>
  <sheetData>
    <row r="1" customFormat="false" ht="16.15" hidden="false" customHeight="false" outlineLevel="0" collapsed="false">
      <c r="A1" s="38" t="s">
        <v>352</v>
      </c>
      <c r="B1" s="38"/>
      <c r="C1" s="38"/>
      <c r="D1" s="38"/>
      <c r="E1" s="38"/>
      <c r="F1" s="38"/>
    </row>
    <row r="2" customFormat="false" ht="27.75" hidden="false" customHeight="true" outlineLevel="0" collapsed="false">
      <c r="A2" s="24" t="s">
        <v>353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30" t="s">
        <v>354</v>
      </c>
      <c r="B4" s="30" t="s">
        <v>355</v>
      </c>
      <c r="C4" s="30" t="s">
        <v>40</v>
      </c>
      <c r="D4" s="30" t="s">
        <v>24</v>
      </c>
    </row>
    <row r="5" customFormat="false" ht="15" hidden="false" customHeight="false" outlineLevel="0" collapsed="false">
      <c r="A5" s="21" t="s">
        <v>356</v>
      </c>
      <c r="B5" s="21" t="n">
        <v>5</v>
      </c>
      <c r="C5" s="21" t="n">
        <v>250</v>
      </c>
      <c r="D5" s="42" t="s">
        <v>357</v>
      </c>
    </row>
    <row r="6" customFormat="false" ht="15" hidden="false" customHeight="false" outlineLevel="0" collapsed="false">
      <c r="A6" s="21" t="s">
        <v>358</v>
      </c>
      <c r="B6" s="21"/>
      <c r="C6" s="21" t="n">
        <v>180</v>
      </c>
      <c r="D6" s="42" t="s">
        <v>359</v>
      </c>
    </row>
    <row r="7" customFormat="false" ht="15" hidden="false" customHeight="false" outlineLevel="0" collapsed="false">
      <c r="A7" s="21" t="s">
        <v>360</v>
      </c>
      <c r="B7" s="21" t="s">
        <v>361</v>
      </c>
      <c r="C7" s="21" t="n">
        <v>90</v>
      </c>
      <c r="D7" s="42" t="s">
        <v>362</v>
      </c>
    </row>
    <row r="8" customFormat="false" ht="15" hidden="false" customHeight="false" outlineLevel="0" collapsed="false">
      <c r="A8" s="21" t="s">
        <v>363</v>
      </c>
      <c r="B8" s="21" t="s">
        <v>364</v>
      </c>
      <c r="C8" s="21" t="n">
        <v>340</v>
      </c>
      <c r="D8" s="42" t="s">
        <v>365</v>
      </c>
    </row>
    <row r="11" customFormat="false" ht="15" hidden="false" customHeight="false" outlineLevel="0" collapsed="false">
      <c r="A11" s="4" t="s">
        <v>366</v>
      </c>
    </row>
    <row r="12" customFormat="false" ht="30" hidden="false" customHeight="true" outlineLevel="0" collapsed="false">
      <c r="A12" s="43" t="s">
        <v>367</v>
      </c>
      <c r="B12" s="43"/>
      <c r="C12" s="41" t="n">
        <f aca="false">SUM(B5:B8)</f>
        <v>5</v>
      </c>
      <c r="D12" s="22" t="s">
        <v>368</v>
      </c>
      <c r="E12" s="22"/>
      <c r="F12" s="22"/>
      <c r="G12" s="22"/>
      <c r="H12" s="22"/>
    </row>
    <row r="13" customFormat="false" ht="30" hidden="false" customHeight="true" outlineLevel="0" collapsed="false">
      <c r="A13" s="43" t="s">
        <v>369</v>
      </c>
      <c r="B13" s="43"/>
      <c r="C13" s="41" t="str">
        <f aca="false">IF(ISBLANK(B6),"Missing quantity — check source","OK")</f>
        <v>Missing quantity — check source</v>
      </c>
      <c r="D13" s="22" t="s">
        <v>370</v>
      </c>
      <c r="E13" s="22"/>
      <c r="F13" s="22"/>
      <c r="G13" s="22"/>
      <c r="H13" s="22"/>
    </row>
    <row r="14" customFormat="false" ht="30" hidden="false" customHeight="true" outlineLevel="0" collapsed="false">
      <c r="A14" s="43" t="s">
        <v>371</v>
      </c>
      <c r="B14" s="43"/>
      <c r="C14" s="41" t="str">
        <f aca="false">IF(ISNUMBER(B7),"Numeric","Stored as text — fix before summing")</f>
        <v>Stored as text — fix before summing</v>
      </c>
      <c r="D14" s="22" t="s">
        <v>372</v>
      </c>
      <c r="E14" s="22"/>
      <c r="F14" s="22"/>
      <c r="G14" s="22"/>
      <c r="H14" s="22"/>
    </row>
    <row r="15" customFormat="false" ht="30" hidden="false" customHeight="true" outlineLevel="0" collapsed="false">
      <c r="A15" s="43" t="s">
        <v>373</v>
      </c>
      <c r="B15" s="43"/>
      <c r="C15" s="41" t="n">
        <f aca="false">VALUE(TRIM(B8))</f>
        <v>6</v>
      </c>
      <c r="D15" s="22" t="s">
        <v>374</v>
      </c>
      <c r="E15" s="22"/>
      <c r="F15" s="22"/>
      <c r="G15" s="22"/>
      <c r="H15" s="22"/>
    </row>
    <row r="16" customFormat="false" ht="30" hidden="false" customHeight="true" outlineLevel="0" collapsed="false">
      <c r="A16" s="43" t="s">
        <v>375</v>
      </c>
      <c r="B16" s="43"/>
      <c r="C16" s="41" t="n">
        <f aca="false">IFERROR(VALUE(B5),"n/a")</f>
        <v>5</v>
      </c>
      <c r="D16" s="22" t="s">
        <v>376</v>
      </c>
      <c r="E16" s="22"/>
      <c r="F16" s="22"/>
      <c r="G16" s="22"/>
      <c r="H16" s="22"/>
    </row>
  </sheetData>
  <mergeCells count="12">
    <mergeCell ref="A1:F1"/>
    <mergeCell ref="A2:F2"/>
    <mergeCell ref="A12:B12"/>
    <mergeCell ref="D12:H12"/>
    <mergeCell ref="A13:B13"/>
    <mergeCell ref="D13:H13"/>
    <mergeCell ref="A14:B14"/>
    <mergeCell ref="D14:H14"/>
    <mergeCell ref="A15:B15"/>
    <mergeCell ref="D15:H15"/>
    <mergeCell ref="A16:B16"/>
    <mergeCell ref="D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4" min="3" style="0" width="18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44" t="s">
        <v>377</v>
      </c>
      <c r="B1" s="44"/>
      <c r="C1" s="44"/>
      <c r="D1" s="44"/>
      <c r="E1" s="44"/>
      <c r="F1" s="44"/>
    </row>
    <row r="3" customFormat="false" ht="19.5" hidden="false" customHeight="true" outlineLevel="0" collapsed="false">
      <c r="A3" s="20" t="s">
        <v>378</v>
      </c>
      <c r="B3" s="20"/>
      <c r="C3" s="20"/>
      <c r="D3" s="20"/>
      <c r="E3" s="20"/>
      <c r="F3" s="20"/>
    </row>
    <row r="4" customFormat="false" ht="42" hidden="false" customHeight="true" outlineLevel="0" collapsed="false">
      <c r="A4" s="7" t="s">
        <v>310</v>
      </c>
      <c r="B4" s="8" t="s">
        <v>379</v>
      </c>
      <c r="C4" s="8"/>
      <c r="D4" s="8"/>
      <c r="E4" s="45" t="s">
        <v>380</v>
      </c>
      <c r="F4" s="45"/>
    </row>
    <row r="5" customFormat="false" ht="42" hidden="false" customHeight="true" outlineLevel="0" collapsed="false">
      <c r="A5" s="7" t="s">
        <v>312</v>
      </c>
      <c r="B5" s="8" t="s">
        <v>381</v>
      </c>
      <c r="C5" s="8"/>
      <c r="D5" s="8"/>
      <c r="E5" s="45" t="s">
        <v>382</v>
      </c>
      <c r="F5" s="45"/>
    </row>
    <row r="6" customFormat="false" ht="42" hidden="false" customHeight="true" outlineLevel="0" collapsed="false">
      <c r="A6" s="7" t="s">
        <v>314</v>
      </c>
      <c r="B6" s="8" t="s">
        <v>383</v>
      </c>
      <c r="C6" s="8"/>
      <c r="D6" s="8"/>
      <c r="E6" s="45" t="s">
        <v>384</v>
      </c>
      <c r="F6" s="45"/>
    </row>
    <row r="8" customFormat="false" ht="19.5" hidden="false" customHeight="true" outlineLevel="0" collapsed="false">
      <c r="A8" s="20" t="s">
        <v>385</v>
      </c>
      <c r="B8" s="20"/>
      <c r="C8" s="20"/>
      <c r="D8" s="20"/>
      <c r="E8" s="20"/>
      <c r="F8" s="20"/>
    </row>
    <row r="9" customFormat="false" ht="42" hidden="false" customHeight="true" outlineLevel="0" collapsed="false">
      <c r="A9" s="7" t="s">
        <v>386</v>
      </c>
      <c r="B9" s="8" t="s">
        <v>387</v>
      </c>
      <c r="C9" s="8"/>
      <c r="D9" s="8"/>
      <c r="E9" s="45" t="s">
        <v>388</v>
      </c>
      <c r="F9" s="45"/>
    </row>
    <row r="10" customFormat="false" ht="42" hidden="false" customHeight="true" outlineLevel="0" collapsed="false">
      <c r="A10" s="7" t="s">
        <v>389</v>
      </c>
      <c r="B10" s="8" t="s">
        <v>390</v>
      </c>
      <c r="C10" s="8"/>
      <c r="D10" s="8"/>
      <c r="E10" s="45" t="s">
        <v>391</v>
      </c>
      <c r="F10" s="45"/>
    </row>
    <row r="11" customFormat="false" ht="42" hidden="false" customHeight="true" outlineLevel="0" collapsed="false">
      <c r="A11" s="7" t="s">
        <v>392</v>
      </c>
      <c r="B11" s="8" t="s">
        <v>393</v>
      </c>
      <c r="C11" s="8"/>
      <c r="D11" s="8"/>
      <c r="E11" s="45" t="s">
        <v>394</v>
      </c>
      <c r="F11" s="45"/>
    </row>
    <row r="13" customFormat="false" ht="19.5" hidden="false" customHeight="true" outlineLevel="0" collapsed="false">
      <c r="A13" s="20" t="s">
        <v>395</v>
      </c>
      <c r="B13" s="20"/>
      <c r="C13" s="20"/>
      <c r="D13" s="20"/>
      <c r="E13" s="20"/>
      <c r="F13" s="20"/>
    </row>
    <row r="14" customFormat="false" ht="42" hidden="false" customHeight="true" outlineLevel="0" collapsed="false">
      <c r="A14" s="7" t="s">
        <v>396</v>
      </c>
      <c r="B14" s="8" t="s">
        <v>397</v>
      </c>
      <c r="C14" s="8"/>
      <c r="D14" s="8"/>
      <c r="E14" s="45" t="s">
        <v>398</v>
      </c>
      <c r="F14" s="45"/>
    </row>
    <row r="15" customFormat="false" ht="42" hidden="false" customHeight="true" outlineLevel="0" collapsed="false">
      <c r="A15" s="7" t="s">
        <v>399</v>
      </c>
      <c r="B15" s="8" t="s">
        <v>400</v>
      </c>
      <c r="C15" s="8"/>
      <c r="D15" s="8"/>
      <c r="E15" s="45" t="s">
        <v>401</v>
      </c>
      <c r="F15" s="45"/>
    </row>
    <row r="17" customFormat="false" ht="19.5" hidden="false" customHeight="true" outlineLevel="0" collapsed="false">
      <c r="A17" s="20" t="s">
        <v>402</v>
      </c>
      <c r="B17" s="20"/>
      <c r="C17" s="20"/>
      <c r="D17" s="20"/>
      <c r="E17" s="20"/>
      <c r="F17" s="20"/>
    </row>
    <row r="18" customFormat="false" ht="42" hidden="false" customHeight="true" outlineLevel="0" collapsed="false">
      <c r="A18" s="7" t="s">
        <v>403</v>
      </c>
      <c r="B18" s="8" t="s">
        <v>404</v>
      </c>
      <c r="C18" s="8"/>
      <c r="D18" s="8"/>
      <c r="E18" s="45" t="s">
        <v>405</v>
      </c>
      <c r="F18" s="45"/>
    </row>
    <row r="19" customFormat="false" ht="42" hidden="false" customHeight="true" outlineLevel="0" collapsed="false">
      <c r="A19" s="7" t="s">
        <v>406</v>
      </c>
      <c r="B19" s="8" t="s">
        <v>407</v>
      </c>
      <c r="C19" s="8"/>
      <c r="D19" s="8"/>
      <c r="E19" s="45" t="s">
        <v>408</v>
      </c>
      <c r="F19" s="45"/>
    </row>
    <row r="20" customFormat="false" ht="42" hidden="false" customHeight="true" outlineLevel="0" collapsed="false">
      <c r="A20" s="7" t="s">
        <v>409</v>
      </c>
      <c r="B20" s="8" t="s">
        <v>410</v>
      </c>
      <c r="C20" s="8"/>
      <c r="D20" s="8"/>
      <c r="E20" s="45"/>
      <c r="F20" s="45"/>
    </row>
    <row r="21" customFormat="false" ht="42" hidden="false" customHeight="true" outlineLevel="0" collapsed="false">
      <c r="A21" s="7" t="s">
        <v>411</v>
      </c>
      <c r="B21" s="8" t="s">
        <v>412</v>
      </c>
      <c r="C21" s="8"/>
      <c r="D21" s="8"/>
      <c r="E21" s="45" t="s">
        <v>413</v>
      </c>
      <c r="F21" s="45"/>
    </row>
    <row r="22" customFormat="false" ht="42" hidden="false" customHeight="true" outlineLevel="0" collapsed="false">
      <c r="A22" s="7" t="s">
        <v>414</v>
      </c>
      <c r="B22" s="8" t="s">
        <v>415</v>
      </c>
      <c r="C22" s="8"/>
      <c r="D22" s="8"/>
      <c r="E22" s="45" t="s">
        <v>416</v>
      </c>
      <c r="F22" s="45"/>
    </row>
    <row r="24" customFormat="false" ht="19.5" hidden="false" customHeight="true" outlineLevel="0" collapsed="false">
      <c r="A24" s="20" t="s">
        <v>417</v>
      </c>
      <c r="B24" s="20"/>
      <c r="C24" s="20"/>
      <c r="D24" s="20"/>
      <c r="E24" s="20"/>
      <c r="F24" s="20"/>
    </row>
    <row r="25" customFormat="false" ht="42" hidden="false" customHeight="true" outlineLevel="0" collapsed="false">
      <c r="A25" s="7" t="s">
        <v>418</v>
      </c>
      <c r="B25" s="8" t="s">
        <v>419</v>
      </c>
      <c r="C25" s="8"/>
      <c r="D25" s="8"/>
      <c r="E25" s="45" t="s">
        <v>420</v>
      </c>
      <c r="F25" s="45"/>
    </row>
    <row r="26" customFormat="false" ht="42" hidden="false" customHeight="true" outlineLevel="0" collapsed="false">
      <c r="A26" s="7" t="s">
        <v>421</v>
      </c>
      <c r="B26" s="8" t="s">
        <v>422</v>
      </c>
      <c r="C26" s="8"/>
      <c r="D26" s="8"/>
      <c r="E26" s="45" t="s">
        <v>423</v>
      </c>
      <c r="F26" s="45"/>
    </row>
    <row r="28" customFormat="false" ht="19.5" hidden="false" customHeight="true" outlineLevel="0" collapsed="false">
      <c r="A28" s="20" t="s">
        <v>424</v>
      </c>
      <c r="B28" s="20"/>
      <c r="C28" s="20"/>
      <c r="D28" s="20"/>
      <c r="E28" s="20"/>
      <c r="F28" s="20"/>
    </row>
    <row r="29" customFormat="false" ht="42" hidden="false" customHeight="true" outlineLevel="0" collapsed="false">
      <c r="A29" s="7" t="s">
        <v>425</v>
      </c>
      <c r="B29" s="8" t="s">
        <v>426</v>
      </c>
      <c r="C29" s="8"/>
      <c r="D29" s="8"/>
      <c r="E29" s="45" t="s">
        <v>427</v>
      </c>
      <c r="F29" s="45"/>
    </row>
    <row r="32" customFormat="false" ht="19.5" hidden="false" customHeight="true" outlineLevel="0" collapsed="false">
      <c r="A32" s="20" t="s">
        <v>428</v>
      </c>
      <c r="B32" s="20"/>
      <c r="C32" s="20"/>
      <c r="D32" s="20"/>
      <c r="E32" s="20"/>
      <c r="F32" s="20"/>
    </row>
    <row r="33" customFormat="false" ht="55.5" hidden="false" customHeight="true" outlineLevel="0" collapsed="false">
      <c r="A33" s="7" t="s">
        <v>429</v>
      </c>
      <c r="B33" s="8" t="s">
        <v>430</v>
      </c>
      <c r="C33" s="8"/>
      <c r="D33" s="8"/>
      <c r="E33" s="45"/>
      <c r="F33" s="45"/>
    </row>
    <row r="34" customFormat="false" ht="63.75" hidden="false" customHeight="true" outlineLevel="0" collapsed="false">
      <c r="A34" s="7" t="s">
        <v>431</v>
      </c>
      <c r="B34" s="8" t="s">
        <v>432</v>
      </c>
      <c r="C34" s="8"/>
      <c r="D34" s="8"/>
      <c r="E34" s="45"/>
      <c r="F34" s="45"/>
    </row>
    <row r="35" customFormat="false" ht="55.5" hidden="false" customHeight="true" outlineLevel="0" collapsed="false">
      <c r="A35" s="7" t="s">
        <v>433</v>
      </c>
      <c r="B35" s="8" t="s">
        <v>434</v>
      </c>
      <c r="C35" s="8"/>
      <c r="D35" s="8"/>
      <c r="E35" s="45"/>
      <c r="F35" s="45"/>
    </row>
  </sheetData>
  <mergeCells count="46">
    <mergeCell ref="A1:F1"/>
    <mergeCell ref="A3:F3"/>
    <mergeCell ref="B4:D4"/>
    <mergeCell ref="E4:F4"/>
    <mergeCell ref="B5:D5"/>
    <mergeCell ref="E5:F5"/>
    <mergeCell ref="B6:D6"/>
    <mergeCell ref="E6:F6"/>
    <mergeCell ref="A8:F8"/>
    <mergeCell ref="B9:D9"/>
    <mergeCell ref="E9:F9"/>
    <mergeCell ref="B10:D10"/>
    <mergeCell ref="E10:F10"/>
    <mergeCell ref="B11:D11"/>
    <mergeCell ref="E11:F11"/>
    <mergeCell ref="A13:F13"/>
    <mergeCell ref="B14:D14"/>
    <mergeCell ref="E14:F14"/>
    <mergeCell ref="B15:D15"/>
    <mergeCell ref="E15:F15"/>
    <mergeCell ref="A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A24:F24"/>
    <mergeCell ref="B25:D25"/>
    <mergeCell ref="E25:F25"/>
    <mergeCell ref="B26:D26"/>
    <mergeCell ref="E26:F26"/>
    <mergeCell ref="A28:F28"/>
    <mergeCell ref="B29:D29"/>
    <mergeCell ref="E29:F29"/>
    <mergeCell ref="A32:F32"/>
    <mergeCell ref="B33:D33"/>
    <mergeCell ref="E33:F33"/>
    <mergeCell ref="B34:D34"/>
    <mergeCell ref="E34:F34"/>
    <mergeCell ref="B35:D35"/>
    <mergeCell ref="E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2026-09-13T05:36:11Z</dcterms:created>
  <dc:creator>openpyxl</dc:creator>
  <dc:description/>
  <dc:language>en-US</dc:language>
  <cp:lastModifiedBy/>
  <dcterms:modified xsi:type="dcterms:W3CDTF">2026-09-13T05:36:13Z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